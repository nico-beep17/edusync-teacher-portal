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10464" firstSheet="7" activeTab="13"/>
  </bookViews>
  <sheets>
    <sheet name="INPUT DATA" sheetId="16" r:id="rId1"/>
    <sheet name="FILIPINO" sheetId="11" r:id="rId2"/>
    <sheet name="ENGLISH" sheetId="10" r:id="rId3"/>
    <sheet name="MATHEMATICS" sheetId="9" r:id="rId4"/>
    <sheet name="SCIENCE" sheetId="8" r:id="rId5"/>
    <sheet name="AP" sheetId="7" r:id="rId6"/>
    <sheet name="VALED" sheetId="6" r:id="rId7"/>
    <sheet name="TLE" sheetId="5" r:id="rId8"/>
    <sheet name="MUSIC-ARTS" sheetId="12" r:id="rId9"/>
    <sheet name="ARTS" sheetId="13" r:id="rId10"/>
    <sheet name="PE-HEALTH" sheetId="14" r:id="rId11"/>
    <sheet name="HEALTH" sheetId="15" r:id="rId12"/>
    <sheet name=" MAPEH FINAL" sheetId="4" r:id="rId13"/>
    <sheet name="SUMMARY - FINAL GRADES" sheetId="2" r:id="rId14"/>
    <sheet name="1ST QTR" sheetId="17" r:id="rId15"/>
    <sheet name="2ND QTR" sheetId="18" r:id="rId16"/>
    <sheet name="3RD QTR" sheetId="19" r:id="rId17"/>
    <sheet name="4TH QTR" sheetId="20" r:id="rId18"/>
    <sheet name="HOMEROOM GUIDANCE" sheetId="21" r:id="rId19"/>
    <sheet name="Sheet2" sheetId="22" r:id="rId20"/>
  </sheets>
  <definedNames>
    <definedName name="_xlnm.Print_Titles" localSheetId="13">'SUMMARY - FINAL GRADES'!$7:$9</definedName>
  </definedNames>
  <calcPr calcId="144525"/>
</workbook>
</file>

<file path=xl/sharedStrings.xml><?xml version="1.0" encoding="utf-8"?>
<sst xmlns="http://schemas.openxmlformats.org/spreadsheetml/2006/main" count="711" uniqueCount="137">
  <si>
    <t>Input Data Sheet for E-Class Record</t>
  </si>
  <si>
    <t>REGION</t>
  </si>
  <si>
    <t>XI</t>
  </si>
  <si>
    <t>DIVISION</t>
  </si>
  <si>
    <t>PANABO CITY</t>
  </si>
  <si>
    <t>SCHOOL NAME</t>
  </si>
  <si>
    <t>QUEZON NATIONAL HIGH SCHOOL</t>
  </si>
  <si>
    <t>SCHOOL ID</t>
  </si>
  <si>
    <t>SCHOOL YEAR</t>
  </si>
  <si>
    <t>2025 - 2026</t>
  </si>
  <si>
    <t>FOURTH QUARTER</t>
  </si>
  <si>
    <t xml:space="preserve">GRADE &amp; SECTION: </t>
  </si>
  <si>
    <t>8 - ARIES</t>
  </si>
  <si>
    <t>TEACHER:</t>
  </si>
  <si>
    <t>JENIVIVE ORTEGA PUNAY</t>
  </si>
  <si>
    <t>SUBJECT:</t>
  </si>
  <si>
    <t>LEARNERS' NAMES</t>
  </si>
  <si>
    <t xml:space="preserve">MALE </t>
  </si>
  <si>
    <t>ANUBLING, REGIE C.</t>
  </si>
  <si>
    <t>BANGCOY, JOHN PAUL P.</t>
  </si>
  <si>
    <t>BARRIENTOS, JOHN PAUL M.</t>
  </si>
  <si>
    <t>BRIGOLE, ROMEL</t>
  </si>
  <si>
    <t>BULAHAN,ROVIC L.</t>
  </si>
  <si>
    <t>CIJAS, ROLIE JR. A.</t>
  </si>
  <si>
    <t>GARCIA, DAVE P.</t>
  </si>
  <si>
    <t>GONZALES, JAMES A.</t>
  </si>
  <si>
    <t>LAGUNA, J.B. B.</t>
  </si>
  <si>
    <t>LARODA, STEVEN S.</t>
  </si>
  <si>
    <t>MERINO, SEDRIK R.</t>
  </si>
  <si>
    <t>MONTERAS, VINCENT S.</t>
  </si>
  <si>
    <t>NACAWILI, ANDRIE L.</t>
  </si>
  <si>
    <t>OLIVERIO, CYREL JAY G.</t>
  </si>
  <si>
    <t>ORBITA,BRENN JOHN A.</t>
  </si>
  <si>
    <t>PAINLO,SHERWIN V.</t>
  </si>
  <si>
    <t>RAMIREZ, MATTEO JOHN DAVE D.</t>
  </si>
  <si>
    <t>SIGUIRA, JASTINE B.</t>
  </si>
  <si>
    <t>TAA, JHONVINZ Y.</t>
  </si>
  <si>
    <t>ZOILO, JOHN LORENCE M.</t>
  </si>
  <si>
    <t>CABO, JEREM CARL B.</t>
  </si>
  <si>
    <t xml:space="preserve">FEMALE </t>
  </si>
  <si>
    <t>ANGCOY, PRINCESS NAILLE T.</t>
  </si>
  <si>
    <t>BIMOS, SHEILLA KATE O.</t>
  </si>
  <si>
    <t>BONGABONG, DWEYN ZHAIRA A.</t>
  </si>
  <si>
    <t>CABEL, LOURENE A.</t>
  </si>
  <si>
    <t>CAMIGAO, DHENISE CLARE V.</t>
  </si>
  <si>
    <t>CARISMA, NATHALIA MAE M.</t>
  </si>
  <si>
    <t>CLARO, REANZ P.</t>
  </si>
  <si>
    <t>FRANCISCO, YSABELLA BEATRICE B.</t>
  </si>
  <si>
    <t>GALDO, ALYSSA RHIAN P.</t>
  </si>
  <si>
    <t>HURAÑO, RIOMI M.</t>
  </si>
  <si>
    <t>LAGUNA, WELLAIZA O.</t>
  </si>
  <si>
    <t>LAZAGA, PRINCESS JEAN O.</t>
  </si>
  <si>
    <t>LIBRES, MIKYLLA B.</t>
  </si>
  <si>
    <t>LIM, LENNIE GRACE S.</t>
  </si>
  <si>
    <t>MASAYON, RHEA JANE L.</t>
  </si>
  <si>
    <t>MORANCIL, JENEVI A.</t>
  </si>
  <si>
    <t>PATRICIO, MICHA ELLA P.</t>
  </si>
  <si>
    <t>PELINGON , ASHLEY C.</t>
  </si>
  <si>
    <t>PEREZ, MERCY JEAN T.</t>
  </si>
  <si>
    <t>PINGOT, RHEA L.</t>
  </si>
  <si>
    <t>QUILAT, FERRA MAE</t>
  </si>
  <si>
    <t>ROSALES, RYZA MAE C.</t>
  </si>
  <si>
    <t>Summary of Quarterly Grades</t>
  </si>
  <si>
    <t>Panabo City</t>
  </si>
  <si>
    <t>SCHOOL YEAR:</t>
  </si>
  <si>
    <t>FILIPINO</t>
  </si>
  <si>
    <t>FINAL</t>
  </si>
  <si>
    <t>REMARK</t>
  </si>
  <si>
    <t>1st Quarter</t>
  </si>
  <si>
    <t>2nd Quarter</t>
  </si>
  <si>
    <t>3rd Quarter</t>
  </si>
  <si>
    <t>4th Quarter</t>
  </si>
  <si>
    <t>GRADE</t>
  </si>
  <si>
    <t xml:space="preserve">CABO, JEREM </t>
  </si>
  <si>
    <t/>
  </si>
  <si>
    <t>EHLA AMOR V. LIGAD</t>
  </si>
  <si>
    <t>ENGLISH</t>
  </si>
  <si>
    <t>MARK KRISTOFFER AROCHA</t>
  </si>
  <si>
    <t>MATHEMATICS</t>
  </si>
  <si>
    <t>ARMAN LOUIE T. CAÑETE</t>
  </si>
  <si>
    <t>SCIENCE</t>
  </si>
  <si>
    <t>JAY R. COGAL</t>
  </si>
  <si>
    <t>ARALING PANLIPUNAN</t>
  </si>
  <si>
    <t>AP</t>
  </si>
  <si>
    <t>NOEMI TIMBAL</t>
  </si>
  <si>
    <t>EDUKASYON SA PAGPAPAKATAO</t>
  </si>
  <si>
    <t>ESP</t>
  </si>
  <si>
    <t>MARILOU B. MASAYON</t>
  </si>
  <si>
    <t>TECHNOLOGY AND LIVELIHOOD EDUCATION</t>
  </si>
  <si>
    <t>TLE</t>
  </si>
  <si>
    <t>JUVELYN MATUTIS</t>
  </si>
  <si>
    <t>MUSIC AND ARTS</t>
  </si>
  <si>
    <t>FINAL GRADE</t>
  </si>
  <si>
    <t>ARTS</t>
  </si>
  <si>
    <t xml:space="preserve">QUEZON NATIONAL HIGH SCHOOL </t>
  </si>
  <si>
    <t>PE AND HEALTH</t>
  </si>
  <si>
    <t>HEALTH</t>
  </si>
  <si>
    <t>MAPEH Final Grades</t>
  </si>
  <si>
    <t>MAPEH</t>
  </si>
  <si>
    <t>FINAL GRADES AND GENERAL AVERAGE</t>
  </si>
  <si>
    <t>GRADE &amp; SECTION</t>
  </si>
  <si>
    <t>NAMES OF LEARNERS</t>
  </si>
  <si>
    <t>VAL ED</t>
  </si>
  <si>
    <t>Gen. Ave</t>
  </si>
  <si>
    <t>RANK</t>
  </si>
  <si>
    <t>QUARTER</t>
  </si>
  <si>
    <t>MALE</t>
  </si>
  <si>
    <t>1ST QUARTER SY 2025-2026</t>
  </si>
  <si>
    <t>FIL</t>
  </si>
  <si>
    <t>ENG</t>
  </si>
  <si>
    <t>MATH</t>
  </si>
  <si>
    <t>SCI</t>
  </si>
  <si>
    <t>MUSIC - ARTS</t>
  </si>
  <si>
    <t>PE-Health</t>
  </si>
  <si>
    <t>PE</t>
  </si>
  <si>
    <t>90-95</t>
  </si>
  <si>
    <t>WITH HONORS</t>
  </si>
  <si>
    <t>85-89.9</t>
  </si>
  <si>
    <t>WITH MERITS</t>
  </si>
  <si>
    <t>CALL ATTENTION OF STUDENTS/INCOMPLETE GRADES</t>
  </si>
  <si>
    <t>BONGABONG, DWEYN ZAIRA A.</t>
  </si>
  <si>
    <t>LAGUNA, JB</t>
  </si>
  <si>
    <t>BIMOS, SHEILLA KATE</t>
  </si>
  <si>
    <t>Prepared by:</t>
  </si>
  <si>
    <t>Approved by:</t>
  </si>
  <si>
    <t>CAROLYN N. RUBINO</t>
  </si>
  <si>
    <t>Class Adviser</t>
  </si>
  <si>
    <t>Principal II</t>
  </si>
  <si>
    <t>2ND QUARTER SY 2025-2026</t>
  </si>
  <si>
    <t>CALL PARENTS</t>
  </si>
  <si>
    <t>ROBILLO</t>
  </si>
  <si>
    <t>PITUGO</t>
  </si>
  <si>
    <t>CAPESOS</t>
  </si>
  <si>
    <t>3RD QUARTER SY 2025-2026</t>
  </si>
  <si>
    <t>4TH QUARTER SY 2025-2026</t>
  </si>
  <si>
    <t>HOMEROOM GUIDANCE DEVELOPMENT ASSESSMENT</t>
  </si>
  <si>
    <t>HRGP</t>
  </si>
</sst>
</file>

<file path=xl/styles.xml><?xml version="1.0" encoding="utf-8"?>
<styleSheet xmlns="http://schemas.openxmlformats.org/spreadsheetml/2006/main" xmlns:xr9="http://schemas.microsoft.com/office/spreadsheetml/2016/revision9">
  <numFmts count="9">
    <numFmt numFmtId="41" formatCode="_-* #,##0_-;\-* #,##0_-;_-* &quot;-&quot;_-;_-@_-"/>
    <numFmt numFmtId="42" formatCode="_-&quot;₱&quot;* #,##0_-;\-&quot;₱&quot;* #,##0_-;_-&quot;₱&quot;* &quot;-&quot;_-;_-@_-"/>
    <numFmt numFmtId="44" formatCode="_-&quot;₱&quot;* #,##0.00_-;\-&quot;₱&quot;* #,##0.00_-;_-&quot;₱&quot;* &quot;-&quot;??_-;_-@_-"/>
    <numFmt numFmtId="176" formatCode="_(* #,##0.00_);_(* \(#,##0.00\);_(* &quot;-&quot;??_);_(@_)"/>
    <numFmt numFmtId="177" formatCode="0;;"/>
    <numFmt numFmtId="178" formatCode="0.00;;"/>
    <numFmt numFmtId="179" formatCode="0_);[Red]\(0\)"/>
    <numFmt numFmtId="180" formatCode="0.00_ "/>
    <numFmt numFmtId="181" formatCode="0.000"/>
  </numFmts>
  <fonts count="52">
    <font>
      <sz val="10"/>
      <name val="Arial"/>
      <charset val="134"/>
    </font>
    <font>
      <b/>
      <sz val="21"/>
      <name val="Arial"/>
      <charset val="134"/>
    </font>
    <font>
      <i/>
      <sz val="7"/>
      <name val="Arial Narrow"/>
      <charset val="134"/>
    </font>
    <font>
      <sz val="11"/>
      <name val="Arial"/>
      <charset val="134"/>
    </font>
    <font>
      <sz val="14"/>
      <name val="Arial"/>
      <charset val="134"/>
    </font>
    <font>
      <b/>
      <sz val="14"/>
      <name val="Arial"/>
      <charset val="134"/>
    </font>
    <font>
      <sz val="12"/>
      <name val="Arial"/>
      <charset val="134"/>
    </font>
    <font>
      <b/>
      <sz val="11"/>
      <name val="Arial"/>
      <charset val="134"/>
    </font>
    <font>
      <b/>
      <sz val="12"/>
      <name val="Arial"/>
      <charset val="134"/>
    </font>
    <font>
      <sz val="11"/>
      <name val="SansSerif"/>
      <charset val="134"/>
    </font>
    <font>
      <b/>
      <sz val="10"/>
      <name val="Arial"/>
      <charset val="134"/>
    </font>
    <font>
      <sz val="12"/>
      <color theme="1"/>
      <name val="Arial"/>
      <charset val="134"/>
    </font>
    <font>
      <sz val="12"/>
      <color rgb="FF000000"/>
      <name val="Arial"/>
      <charset val="134"/>
    </font>
    <font>
      <sz val="10"/>
      <color rgb="FFFF0000"/>
      <name val="Arial"/>
      <charset val="134"/>
    </font>
    <font>
      <b/>
      <sz val="24"/>
      <name val="Arial"/>
      <charset val="134"/>
    </font>
    <font>
      <sz val="8"/>
      <name val="Arial"/>
      <charset val="134"/>
    </font>
    <font>
      <b/>
      <sz val="9"/>
      <name val="Arial"/>
      <charset val="134"/>
    </font>
    <font>
      <b/>
      <sz val="9"/>
      <color rgb="FF00B0F0"/>
      <name val="Arial"/>
      <charset val="134"/>
    </font>
    <font>
      <sz val="9"/>
      <name val="Arial Narrow"/>
      <charset val="134"/>
    </font>
    <font>
      <sz val="10"/>
      <color theme="1" tint="0.149998474074526"/>
      <name val="Arial Narrow"/>
      <charset val="134"/>
    </font>
    <font>
      <sz val="9"/>
      <color theme="1"/>
      <name val="Arial"/>
      <charset val="134"/>
    </font>
    <font>
      <sz val="10"/>
      <color rgb="FF222222"/>
      <name val="Calibri Light"/>
      <charset val="134"/>
    </font>
    <font>
      <sz val="11"/>
      <name val="Arial Narrow"/>
      <charset val="134"/>
    </font>
    <font>
      <b/>
      <sz val="6"/>
      <name val="Arial"/>
      <charset val="134"/>
    </font>
    <font>
      <b/>
      <sz val="8"/>
      <name val="Arial"/>
      <charset val="134"/>
    </font>
    <font>
      <sz val="12"/>
      <color rgb="FF222222"/>
      <name val="Arial"/>
      <charset val="134"/>
    </font>
    <font>
      <sz val="6"/>
      <name val="Arial"/>
      <charset val="134"/>
    </font>
    <font>
      <sz val="10"/>
      <name val="SansSerif"/>
      <charset val="134"/>
    </font>
    <font>
      <sz val="12"/>
      <color theme="7" tint="-0.249977111117893"/>
      <name val="Arial"/>
      <charset val="134"/>
    </font>
    <font>
      <sz val="7"/>
      <name val="SansSerif"/>
      <charset val="134"/>
    </font>
    <font>
      <sz val="9"/>
      <name val="SansSerif"/>
      <charset val="134"/>
    </font>
    <font>
      <sz val="9"/>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6">
    <fill>
      <patternFill patternType="none"/>
    </fill>
    <fill>
      <patternFill patternType="gray125"/>
    </fill>
    <fill>
      <patternFill patternType="solid">
        <fgColor theme="0" tint="-0.249977111117893"/>
        <bgColor indexed="64"/>
      </patternFill>
    </fill>
    <fill>
      <patternFill patternType="solid">
        <fgColor theme="8" tint="0.6"/>
        <bgColor indexed="64"/>
      </patternFill>
    </fill>
    <fill>
      <patternFill patternType="solid">
        <fgColor theme="3" tint="0.6"/>
        <bgColor indexed="64"/>
      </patternFill>
    </fill>
    <fill>
      <patternFill patternType="solid">
        <fgColor rgb="FFFFFF00"/>
        <bgColor indexed="64"/>
      </patternFill>
    </fill>
    <fill>
      <patternFill patternType="solid">
        <fgColor theme="9" tint="0.6"/>
        <bgColor indexed="64"/>
      </patternFill>
    </fill>
    <fill>
      <patternFill patternType="solid">
        <fgColor theme="4" tint="0.6"/>
        <bgColor indexed="64"/>
      </patternFill>
    </fill>
    <fill>
      <patternFill patternType="solid">
        <fgColor theme="6" tint="0.6"/>
        <bgColor indexed="64"/>
      </patternFill>
    </fill>
    <fill>
      <patternFill patternType="solid">
        <fgColor theme="0"/>
        <bgColor indexed="64"/>
      </patternFill>
    </fill>
    <fill>
      <patternFill patternType="solid">
        <fgColor theme="0" tint="-0.149998474074526"/>
        <bgColor indexed="64"/>
      </patternFill>
    </fill>
    <fill>
      <patternFill patternType="solid">
        <fgColor theme="0" tint="-0.15"/>
        <bgColor indexed="64"/>
      </patternFill>
    </fill>
    <fill>
      <patternFill patternType="solid">
        <fgColor theme="9" tint="0.4"/>
        <bgColor indexed="64"/>
      </patternFill>
    </fill>
    <fill>
      <patternFill patternType="solid">
        <fgColor theme="2" tint="-0.25"/>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1">
    <border>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diagonal/>
    </border>
    <border>
      <left/>
      <right/>
      <top style="thin">
        <color auto="1"/>
      </top>
      <bottom/>
      <diagonal/>
    </border>
    <border>
      <left/>
      <right style="thin">
        <color auto="1"/>
      </right>
      <top style="thin">
        <color auto="1"/>
      </top>
      <bottom/>
      <diagonal/>
    </border>
    <border>
      <left style="medium">
        <color auto="1"/>
      </left>
      <right/>
      <top style="thin">
        <color auto="1"/>
      </top>
      <bottom/>
      <diagonal/>
    </border>
    <border>
      <left/>
      <right/>
      <top style="thin">
        <color auto="1"/>
      </top>
      <bottom style="medium">
        <color auto="1"/>
      </bottom>
      <diagonal/>
    </border>
    <border>
      <left/>
      <right style="thin">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thin">
        <color auto="1"/>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medium">
        <color auto="1"/>
      </top>
      <bottom style="medium">
        <color auto="1"/>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style="thin">
        <color auto="1"/>
      </top>
      <bottom style="medium">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right style="thick">
        <color auto="1"/>
      </right>
      <top/>
      <bottom/>
      <diagonal/>
    </border>
    <border>
      <left style="medium">
        <color auto="1"/>
      </left>
      <right style="medium">
        <color auto="1"/>
      </right>
      <top style="medium">
        <color auto="1"/>
      </top>
      <bottom style="medium">
        <color auto="1"/>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top/>
      <bottom/>
      <diagonal/>
    </border>
    <border>
      <left/>
      <right style="medium">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xf numFmtId="176" fontId="0" fillId="0" borderId="0" applyFont="0" applyFill="0" applyBorder="0" applyAlignment="0" applyProtection="0"/>
    <xf numFmtId="44" fontId="32" fillId="0" borderId="0" applyFont="0" applyFill="0" applyBorder="0" applyAlignment="0" applyProtection="0">
      <alignment vertical="center"/>
    </xf>
    <xf numFmtId="9" fontId="0" fillId="0" borderId="0" applyFont="0" applyFill="0" applyBorder="0" applyAlignment="0" applyProtection="0"/>
    <xf numFmtId="41" fontId="32" fillId="0" borderId="0" applyFont="0" applyFill="0" applyBorder="0" applyAlignment="0" applyProtection="0">
      <alignment vertical="center"/>
    </xf>
    <xf numFmtId="42" fontId="32"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2" fillId="15" borderId="73"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74" applyNumberFormat="0" applyFill="0" applyAlignment="0" applyProtection="0">
      <alignment vertical="center"/>
    </xf>
    <xf numFmtId="0" fontId="39" fillId="0" borderId="74" applyNumberFormat="0" applyFill="0" applyAlignment="0" applyProtection="0">
      <alignment vertical="center"/>
    </xf>
    <xf numFmtId="0" fontId="40" fillId="0" borderId="75" applyNumberFormat="0" applyFill="0" applyAlignment="0" applyProtection="0">
      <alignment vertical="center"/>
    </xf>
    <xf numFmtId="0" fontId="40" fillId="0" borderId="0" applyNumberFormat="0" applyFill="0" applyBorder="0" applyAlignment="0" applyProtection="0">
      <alignment vertical="center"/>
    </xf>
    <xf numFmtId="0" fontId="41" fillId="16" borderId="76" applyNumberFormat="0" applyAlignment="0" applyProtection="0">
      <alignment vertical="center"/>
    </xf>
    <xf numFmtId="0" fontId="42" fillId="17" borderId="77" applyNumberFormat="0" applyAlignment="0" applyProtection="0">
      <alignment vertical="center"/>
    </xf>
    <xf numFmtId="0" fontId="43" fillId="17" borderId="76" applyNumberFormat="0" applyAlignment="0" applyProtection="0">
      <alignment vertical="center"/>
    </xf>
    <xf numFmtId="0" fontId="44" fillId="18" borderId="78" applyNumberFormat="0" applyAlignment="0" applyProtection="0">
      <alignment vertical="center"/>
    </xf>
    <xf numFmtId="0" fontId="45" fillId="0" borderId="79" applyNumberFormat="0" applyFill="0" applyAlignment="0" applyProtection="0">
      <alignment vertical="center"/>
    </xf>
    <xf numFmtId="0" fontId="46" fillId="0" borderId="80" applyNumberFormat="0" applyFill="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0" fillId="25" borderId="0" applyNumberFormat="0" applyBorder="0" applyAlignment="0" applyProtection="0">
      <alignment vertical="center"/>
    </xf>
    <xf numFmtId="0" fontId="50" fillId="26"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0" fillId="29" borderId="0" applyNumberFormat="0" applyBorder="0" applyAlignment="0" applyProtection="0">
      <alignment vertical="center"/>
    </xf>
    <xf numFmtId="0" fontId="50" fillId="30"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33" borderId="0" applyNumberFormat="0" applyBorder="0" applyAlignment="0" applyProtection="0">
      <alignment vertical="center"/>
    </xf>
    <xf numFmtId="0" fontId="50" fillId="34" borderId="0" applyNumberFormat="0" applyBorder="0" applyAlignment="0" applyProtection="0">
      <alignment vertical="center"/>
    </xf>
    <xf numFmtId="0" fontId="51" fillId="35" borderId="0" applyNumberFormat="0" applyBorder="0" applyAlignment="0" applyProtection="0">
      <alignment vertical="center"/>
    </xf>
    <xf numFmtId="0" fontId="51" fillId="36" borderId="0" applyNumberFormat="0" applyBorder="0" applyAlignment="0" applyProtection="0">
      <alignment vertical="center"/>
    </xf>
    <xf numFmtId="0" fontId="50" fillId="37" borderId="0" applyNumberFormat="0" applyBorder="0" applyAlignment="0" applyProtection="0">
      <alignment vertical="center"/>
    </xf>
    <xf numFmtId="0" fontId="50" fillId="38" borderId="0" applyNumberFormat="0" applyBorder="0" applyAlignment="0" applyProtection="0">
      <alignment vertical="center"/>
    </xf>
    <xf numFmtId="0" fontId="51" fillId="39" borderId="0" applyNumberFormat="0" applyBorder="0" applyAlignment="0" applyProtection="0">
      <alignment vertical="center"/>
    </xf>
    <xf numFmtId="0" fontId="51" fillId="40" borderId="0" applyNumberFormat="0" applyBorder="0" applyAlignment="0" applyProtection="0">
      <alignment vertical="center"/>
    </xf>
    <xf numFmtId="0" fontId="50" fillId="41" borderId="0" applyNumberFormat="0" applyBorder="0" applyAlignment="0" applyProtection="0">
      <alignment vertical="center"/>
    </xf>
    <xf numFmtId="0" fontId="50" fillId="42" borderId="0" applyNumberFormat="0" applyBorder="0" applyAlignment="0" applyProtection="0">
      <alignment vertical="center"/>
    </xf>
    <xf numFmtId="0" fontId="51" fillId="43" borderId="0" applyNumberFormat="0" applyBorder="0" applyAlignment="0" applyProtection="0">
      <alignment vertical="center"/>
    </xf>
    <xf numFmtId="0" fontId="51" fillId="44" borderId="0" applyNumberFormat="0" applyBorder="0" applyAlignment="0" applyProtection="0">
      <alignment vertical="center"/>
    </xf>
    <xf numFmtId="0" fontId="50" fillId="45" borderId="0" applyNumberFormat="0" applyBorder="0" applyAlignment="0" applyProtection="0">
      <alignment vertical="center"/>
    </xf>
    <xf numFmtId="0" fontId="0" fillId="0" borderId="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9" fontId="0" fillId="0" borderId="0" applyFont="0" applyFill="0" applyBorder="0" applyAlignment="0" applyProtection="0"/>
  </cellStyleXfs>
  <cellXfs count="494">
    <xf numFmtId="0" fontId="0" fillId="0" borderId="0" xfId="0"/>
    <xf numFmtId="0" fontId="1" fillId="0" borderId="0" xfId="0" applyNumberFormat="1" applyFont="1" applyFill="1" applyBorder="1" applyAlignment="1" applyProtection="1">
      <alignment horizontal="center" vertical="top" wrapText="1"/>
      <protection locked="0"/>
    </xf>
    <xf numFmtId="0" fontId="2" fillId="0" borderId="0" xfId="0" applyNumberFormat="1" applyFont="1" applyFill="1" applyBorder="1" applyAlignment="1" applyProtection="1">
      <alignment vertical="top" wrapText="1"/>
      <protection locked="0"/>
    </xf>
    <xf numFmtId="0" fontId="3" fillId="0" borderId="0" xfId="0" applyFont="1" applyFill="1" applyAlignment="1" applyProtection="1">
      <alignment horizontal="center"/>
      <protection locked="0"/>
    </xf>
    <xf numFmtId="0" fontId="4" fillId="0" borderId="0" xfId="0" applyFont="1" applyFill="1" applyAlignment="1" applyProtection="1">
      <alignment horizontal="center"/>
      <protection locked="0"/>
    </xf>
    <xf numFmtId="0" fontId="5" fillId="0" borderId="0" xfId="0" applyFont="1" applyFill="1" applyAlignment="1" applyProtection="1">
      <alignment horizontal="right" vertical="center"/>
      <protection locked="0"/>
    </xf>
    <xf numFmtId="0" fontId="5" fillId="0" borderId="1" xfId="0" applyFont="1" applyFill="1" applyBorder="1" applyAlignment="1" applyProtection="1">
      <alignment horizontal="right" vertical="center"/>
      <protection locked="0"/>
    </xf>
    <xf numFmtId="177" fontId="6" fillId="0" borderId="2" xfId="0" applyNumberFormat="1" applyFont="1" applyFill="1" applyBorder="1" applyAlignment="1" applyProtection="1">
      <alignment horizontal="center" vertical="center"/>
      <protection locked="0"/>
    </xf>
    <xf numFmtId="177" fontId="6" fillId="0" borderId="3" xfId="0" applyNumberFormat="1" applyFont="1" applyFill="1" applyBorder="1" applyAlignment="1" applyProtection="1">
      <alignment horizontal="center" vertical="center"/>
      <protection locked="0"/>
    </xf>
    <xf numFmtId="177" fontId="6" fillId="0" borderId="4" xfId="0" applyNumberFormat="1" applyFont="1" applyFill="1" applyBorder="1" applyAlignment="1" applyProtection="1">
      <alignment horizontal="center" vertical="center"/>
      <protection locked="0"/>
    </xf>
    <xf numFmtId="0" fontId="7" fillId="0" borderId="5"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shrinkToFit="1"/>
      <protection locked="0"/>
    </xf>
    <xf numFmtId="0" fontId="5" fillId="0" borderId="7" xfId="0" applyFont="1" applyFill="1" applyBorder="1" applyAlignment="1" applyProtection="1">
      <alignment horizontal="center" vertical="center" shrinkToFit="1"/>
      <protection locked="0"/>
    </xf>
    <xf numFmtId="0" fontId="7" fillId="0" borderId="8" xfId="0" applyFont="1" applyFill="1" applyBorder="1" applyAlignment="1" applyProtection="1">
      <alignment horizontal="right" vertical="center"/>
      <protection locked="0"/>
    </xf>
    <xf numFmtId="0" fontId="7" fillId="0" borderId="9" xfId="0" applyFont="1" applyFill="1" applyBorder="1" applyAlignment="1" applyProtection="1">
      <alignment horizontal="right" vertical="center"/>
      <protection locked="0"/>
    </xf>
    <xf numFmtId="0" fontId="7" fillId="0" borderId="10" xfId="0" applyFont="1" applyFill="1" applyBorder="1" applyAlignment="1" applyProtection="1">
      <alignment horizontal="center" vertical="center"/>
      <protection locked="0"/>
    </xf>
    <xf numFmtId="0" fontId="5" fillId="0" borderId="0" xfId="0" applyFont="1" applyFill="1" applyBorder="1" applyAlignment="1" applyProtection="1">
      <alignment horizontal="center" vertical="center" shrinkToFit="1"/>
      <protection locked="0"/>
    </xf>
    <xf numFmtId="0" fontId="5" fillId="0" borderId="11" xfId="0" applyFont="1" applyFill="1" applyBorder="1" applyAlignment="1" applyProtection="1">
      <alignment horizontal="center" vertical="center" shrinkToFit="1"/>
      <protection locked="0"/>
    </xf>
    <xf numFmtId="177" fontId="7" fillId="0" borderId="8" xfId="0" applyNumberFormat="1" applyFont="1" applyFill="1" applyBorder="1" applyAlignment="1" applyProtection="1">
      <alignment horizontal="center" vertical="center"/>
      <protection locked="0"/>
    </xf>
    <xf numFmtId="177" fontId="7" fillId="0" borderId="9" xfId="0" applyNumberFormat="1" applyFont="1" applyFill="1" applyBorder="1" applyAlignment="1" applyProtection="1">
      <alignment horizontal="center" vertical="center"/>
      <protection locked="0"/>
    </xf>
    <xf numFmtId="0" fontId="8" fillId="0" borderId="12" xfId="0" applyFont="1" applyFill="1" applyBorder="1" applyAlignment="1" applyProtection="1">
      <alignment horizontal="center"/>
      <protection locked="0"/>
    </xf>
    <xf numFmtId="0" fontId="8" fillId="0" borderId="6" xfId="0" applyFont="1" applyFill="1" applyBorder="1" applyAlignment="1" applyProtection="1">
      <alignment horizontal="center"/>
      <protection locked="0"/>
    </xf>
    <xf numFmtId="0" fontId="7" fillId="0" borderId="13" xfId="0" applyFont="1" applyFill="1" applyBorder="1" applyAlignment="1" applyProtection="1">
      <alignment horizontal="center" vertical="center"/>
      <protection locked="0"/>
    </xf>
    <xf numFmtId="0" fontId="5" fillId="0" borderId="14" xfId="0" applyFont="1" applyFill="1" applyBorder="1" applyAlignment="1" applyProtection="1">
      <alignment horizontal="center" vertical="center" shrinkToFit="1"/>
      <protection locked="0"/>
    </xf>
    <xf numFmtId="0" fontId="5" fillId="0" borderId="15" xfId="0" applyFont="1" applyFill="1" applyBorder="1" applyAlignment="1" applyProtection="1">
      <alignment horizontal="center" vertical="center" shrinkToFit="1"/>
      <protection locked="0"/>
    </xf>
    <xf numFmtId="0" fontId="8" fillId="0" borderId="16" xfId="0" applyFont="1" applyFill="1" applyBorder="1" applyAlignment="1" applyProtection="1">
      <alignment horizontal="center" shrinkToFit="1"/>
      <protection locked="0"/>
    </xf>
    <xf numFmtId="0" fontId="8" fillId="0" borderId="14" xfId="0" applyFont="1" applyFill="1" applyBorder="1" applyAlignment="1" applyProtection="1">
      <alignment horizontal="center" shrinkToFit="1"/>
      <protection locked="0"/>
    </xf>
    <xf numFmtId="0" fontId="7" fillId="2" borderId="8" xfId="0" applyFont="1" applyFill="1" applyBorder="1" applyAlignment="1" applyProtection="1">
      <alignment horizontal="center" shrinkToFit="1"/>
      <protection locked="0"/>
    </xf>
    <xf numFmtId="0" fontId="7" fillId="2" borderId="8" xfId="0" applyFont="1" applyFill="1" applyBorder="1" applyAlignment="1" applyProtection="1">
      <alignment horizontal="left" vertical="center" shrinkToFit="1"/>
      <protection locked="0"/>
    </xf>
    <xf numFmtId="0" fontId="7" fillId="2" borderId="9" xfId="0" applyFont="1" applyFill="1" applyBorder="1" applyAlignment="1" applyProtection="1">
      <alignment horizontal="left" vertical="center" shrinkToFit="1"/>
      <protection locked="0"/>
    </xf>
    <xf numFmtId="0" fontId="7" fillId="2" borderId="16" xfId="0" applyFont="1" applyFill="1" applyBorder="1" applyAlignment="1" applyProtection="1">
      <alignment horizontal="center" shrinkToFit="1"/>
      <protection locked="0"/>
    </xf>
    <xf numFmtId="0" fontId="7" fillId="2" borderId="14" xfId="0" applyFont="1" applyFill="1" applyBorder="1" applyAlignment="1" applyProtection="1">
      <alignment horizontal="center" shrinkToFit="1"/>
      <protection locked="0"/>
    </xf>
    <xf numFmtId="0" fontId="7" fillId="0" borderId="17" xfId="0" applyFont="1" applyFill="1" applyBorder="1" applyAlignment="1" applyProtection="1">
      <alignment horizontal="center"/>
      <protection locked="0"/>
    </xf>
    <xf numFmtId="177" fontId="3" fillId="0" borderId="17" xfId="0" applyNumberFormat="1" applyFont="1" applyFill="1" applyBorder="1" applyAlignment="1" applyProtection="1">
      <alignment horizontal="left"/>
      <protection locked="0"/>
    </xf>
    <xf numFmtId="177" fontId="9" fillId="0" borderId="18" xfId="0" applyNumberFormat="1" applyFont="1" applyFill="1" applyBorder="1" applyAlignment="1" applyProtection="1">
      <alignment horizontal="left" vertical="center" wrapText="1"/>
      <protection locked="0"/>
    </xf>
    <xf numFmtId="177" fontId="6" fillId="0" borderId="19" xfId="0" applyNumberFormat="1" applyFont="1" applyFill="1" applyBorder="1" applyAlignment="1" applyProtection="1">
      <alignment horizontal="center"/>
      <protection locked="0"/>
    </xf>
    <xf numFmtId="177" fontId="6" fillId="0" borderId="20" xfId="0" applyNumberFormat="1" applyFont="1" applyFill="1" applyBorder="1" applyAlignment="1" applyProtection="1">
      <alignment horizontal="center"/>
      <protection locked="0"/>
    </xf>
    <xf numFmtId="0" fontId="7" fillId="0" borderId="21" xfId="0" applyFont="1" applyFill="1" applyBorder="1" applyAlignment="1" applyProtection="1">
      <alignment horizontal="center"/>
      <protection locked="0"/>
    </xf>
    <xf numFmtId="177" fontId="9" fillId="0" borderId="4" xfId="0" applyNumberFormat="1" applyFont="1" applyFill="1" applyBorder="1" applyAlignment="1" applyProtection="1">
      <alignment horizontal="left" vertical="center" wrapText="1"/>
      <protection locked="0"/>
    </xf>
    <xf numFmtId="177" fontId="6" fillId="0" borderId="21" xfId="0" applyNumberFormat="1" applyFont="1" applyFill="1" applyBorder="1" applyAlignment="1" applyProtection="1">
      <alignment horizontal="center"/>
      <protection locked="0"/>
    </xf>
    <xf numFmtId="177" fontId="6" fillId="0" borderId="4" xfId="0" applyNumberFormat="1" applyFont="1" applyFill="1" applyBorder="1" applyAlignment="1" applyProtection="1">
      <alignment horizontal="center"/>
      <protection locked="0"/>
    </xf>
    <xf numFmtId="177" fontId="9" fillId="0" borderId="22" xfId="0" applyNumberFormat="1" applyFont="1" applyFill="1" applyBorder="1" applyAlignment="1" applyProtection="1">
      <alignment horizontal="left" vertical="center" wrapText="1"/>
      <protection locked="0"/>
    </xf>
    <xf numFmtId="0" fontId="7" fillId="0" borderId="23" xfId="0" applyFont="1" applyFill="1" applyBorder="1" applyAlignment="1" applyProtection="1">
      <alignment horizontal="center"/>
      <protection locked="0"/>
    </xf>
    <xf numFmtId="177" fontId="9" fillId="0" borderId="24" xfId="0" applyNumberFormat="1" applyFont="1" applyFill="1" applyBorder="1" applyAlignment="1" applyProtection="1">
      <alignment horizontal="left" vertical="center" wrapText="1"/>
      <protection locked="0"/>
    </xf>
    <xf numFmtId="177" fontId="9" fillId="0" borderId="25" xfId="0" applyNumberFormat="1" applyFont="1" applyFill="1" applyBorder="1" applyAlignment="1" applyProtection="1">
      <alignment horizontal="left" vertical="center" wrapText="1"/>
      <protection locked="0"/>
    </xf>
    <xf numFmtId="177" fontId="3" fillId="0" borderId="23" xfId="0" applyNumberFormat="1" applyFont="1" applyFill="1" applyBorder="1" applyAlignment="1" applyProtection="1">
      <alignment horizontal="left"/>
      <protection locked="0"/>
    </xf>
    <xf numFmtId="177" fontId="3" fillId="0" borderId="26" xfId="0" applyNumberFormat="1" applyFont="1" applyFill="1" applyBorder="1" applyAlignment="1" applyProtection="1">
      <alignment horizontal="left"/>
      <protection locked="0"/>
    </xf>
    <xf numFmtId="177" fontId="3" fillId="0" borderId="21" xfId="0" applyNumberFormat="1" applyFont="1" applyFill="1" applyBorder="1" applyAlignment="1" applyProtection="1">
      <alignment horizontal="left"/>
      <protection locked="0"/>
    </xf>
    <xf numFmtId="177" fontId="9" fillId="0" borderId="27" xfId="0" applyNumberFormat="1" applyFont="1" applyFill="1" applyBorder="1" applyAlignment="1" applyProtection="1">
      <alignment horizontal="left" vertical="center" wrapText="1"/>
      <protection locked="0"/>
    </xf>
    <xf numFmtId="177" fontId="9" fillId="0" borderId="28" xfId="0" applyNumberFormat="1" applyFont="1" applyFill="1" applyBorder="1" applyAlignment="1" applyProtection="1">
      <alignment horizontal="left" vertical="center" wrapText="1"/>
      <protection locked="0"/>
    </xf>
    <xf numFmtId="0" fontId="7" fillId="2" borderId="29" xfId="0" applyFont="1" applyFill="1" applyBorder="1" applyAlignment="1" applyProtection="1">
      <alignment horizontal="left" vertical="center" shrinkToFit="1"/>
      <protection locked="0"/>
    </xf>
    <xf numFmtId="177" fontId="6" fillId="2" borderId="30" xfId="0" applyNumberFormat="1" applyFont="1" applyFill="1" applyBorder="1" applyAlignment="1" applyProtection="1">
      <alignment horizontal="center"/>
      <protection locked="0"/>
    </xf>
    <xf numFmtId="177" fontId="6" fillId="2" borderId="31" xfId="0" applyNumberFormat="1" applyFont="1" applyFill="1" applyBorder="1" applyAlignment="1" applyProtection="1">
      <alignment horizontal="center"/>
      <protection locked="0"/>
    </xf>
    <xf numFmtId="177" fontId="9" fillId="0" borderId="32" xfId="0" applyNumberFormat="1" applyFont="1" applyFill="1" applyBorder="1" applyAlignment="1" applyProtection="1">
      <alignment horizontal="left" vertical="center" wrapText="1"/>
      <protection locked="0"/>
    </xf>
    <xf numFmtId="177" fontId="6" fillId="0" borderId="17" xfId="0" applyNumberFormat="1" applyFont="1" applyFill="1" applyBorder="1" applyAlignment="1" applyProtection="1">
      <alignment horizontal="center"/>
      <protection locked="0"/>
    </xf>
    <xf numFmtId="177" fontId="6" fillId="0" borderId="18" xfId="0" applyNumberFormat="1" applyFont="1" applyFill="1" applyBorder="1" applyAlignment="1" applyProtection="1">
      <alignment horizontal="center"/>
      <protection locked="0"/>
    </xf>
    <xf numFmtId="177" fontId="3" fillId="0" borderId="0" xfId="0" applyNumberFormat="1" applyFont="1" applyFill="1" applyAlignment="1" applyProtection="1">
      <alignment horizontal="center"/>
      <protection locked="0"/>
    </xf>
    <xf numFmtId="177" fontId="5" fillId="0" borderId="18" xfId="0" applyNumberFormat="1" applyFont="1" applyFill="1" applyBorder="1" applyAlignment="1" applyProtection="1">
      <alignment horizontal="right" vertical="center"/>
      <protection locked="0"/>
    </xf>
    <xf numFmtId="177" fontId="5" fillId="0" borderId="33" xfId="0" applyNumberFormat="1" applyFont="1" applyFill="1" applyBorder="1" applyAlignment="1" applyProtection="1">
      <alignment horizontal="right" vertical="center"/>
      <protection locked="0"/>
    </xf>
    <xf numFmtId="177" fontId="3" fillId="0" borderId="9" xfId="0" applyNumberFormat="1" applyFont="1" applyFill="1" applyBorder="1" applyAlignment="1" applyProtection="1">
      <alignment horizontal="center" vertical="center"/>
      <protection hidden="1"/>
    </xf>
    <xf numFmtId="177" fontId="3" fillId="0" borderId="6" xfId="0" applyNumberFormat="1" applyFont="1" applyFill="1" applyBorder="1" applyAlignment="1" applyProtection="1">
      <alignment horizontal="center" vertical="center"/>
      <protection hidden="1"/>
    </xf>
    <xf numFmtId="0" fontId="8" fillId="0" borderId="7" xfId="0" applyFont="1" applyFill="1" applyBorder="1" applyAlignment="1" applyProtection="1">
      <alignment horizontal="center"/>
      <protection locked="0"/>
    </xf>
    <xf numFmtId="0" fontId="8" fillId="0" borderId="15" xfId="0" applyFont="1" applyFill="1" applyBorder="1" applyAlignment="1" applyProtection="1">
      <alignment horizontal="center" shrinkToFit="1"/>
      <protection locked="0"/>
    </xf>
    <xf numFmtId="0" fontId="7" fillId="2" borderId="15" xfId="0" applyFont="1" applyFill="1" applyBorder="1" applyAlignment="1" applyProtection="1">
      <alignment horizontal="center" shrinkToFit="1"/>
      <protection locked="0"/>
    </xf>
    <xf numFmtId="177" fontId="6" fillId="0" borderId="34" xfId="0" applyNumberFormat="1" applyFont="1" applyFill="1" applyBorder="1" applyAlignment="1" applyProtection="1">
      <alignment horizontal="center"/>
      <protection locked="0"/>
    </xf>
    <xf numFmtId="177" fontId="6" fillId="0" borderId="12" xfId="0" applyNumberFormat="1" applyFont="1" applyFill="1" applyBorder="1" applyAlignment="1" applyProtection="1">
      <alignment horizontal="center"/>
      <protection locked="0"/>
    </xf>
    <xf numFmtId="177" fontId="6" fillId="0" borderId="6" xfId="0" applyNumberFormat="1" applyFont="1" applyFill="1" applyBorder="1" applyAlignment="1" applyProtection="1">
      <alignment horizontal="center"/>
      <protection locked="0"/>
    </xf>
    <xf numFmtId="177" fontId="6" fillId="0" borderId="7" xfId="0" applyNumberFormat="1" applyFont="1" applyFill="1" applyBorder="1" applyAlignment="1" applyProtection="1">
      <alignment horizontal="center"/>
      <protection locked="0"/>
    </xf>
    <xf numFmtId="177" fontId="6" fillId="0" borderId="22" xfId="0" applyNumberFormat="1" applyFont="1" applyFill="1" applyBorder="1" applyAlignment="1" applyProtection="1">
      <alignment horizontal="center"/>
      <protection locked="0"/>
    </xf>
    <xf numFmtId="177" fontId="6" fillId="2" borderId="35" xfId="0" applyNumberFormat="1" applyFont="1" applyFill="1" applyBorder="1" applyAlignment="1" applyProtection="1">
      <alignment horizontal="center"/>
      <protection locked="0"/>
    </xf>
    <xf numFmtId="177" fontId="6" fillId="2" borderId="8" xfId="0" applyNumberFormat="1" applyFont="1" applyFill="1" applyBorder="1" applyAlignment="1" applyProtection="1">
      <alignment horizontal="center"/>
      <protection locked="0"/>
    </xf>
    <xf numFmtId="177" fontId="6" fillId="2" borderId="9" xfId="0" applyNumberFormat="1" applyFont="1" applyFill="1" applyBorder="1" applyAlignment="1" applyProtection="1">
      <alignment horizontal="center"/>
      <protection locked="0"/>
    </xf>
    <xf numFmtId="177" fontId="6" fillId="2" borderId="29" xfId="0" applyNumberFormat="1" applyFont="1" applyFill="1" applyBorder="1" applyAlignment="1" applyProtection="1">
      <alignment horizontal="center"/>
      <protection locked="0"/>
    </xf>
    <xf numFmtId="177" fontId="6" fillId="0" borderId="32" xfId="0" applyNumberFormat="1" applyFont="1" applyFill="1" applyBorder="1" applyAlignment="1" applyProtection="1">
      <alignment horizontal="center"/>
      <protection locked="0"/>
    </xf>
    <xf numFmtId="177" fontId="6" fillId="0" borderId="36" xfId="0" applyNumberFormat="1" applyFont="1" applyFill="1" applyBorder="1" applyAlignment="1" applyProtection="1">
      <alignment horizontal="center" vertical="center"/>
      <protection locked="0"/>
    </xf>
    <xf numFmtId="177" fontId="5" fillId="0" borderId="0" xfId="0" applyNumberFormat="1" applyFont="1" applyFill="1" applyBorder="1" applyAlignment="1" applyProtection="1">
      <alignment horizontal="right" vertical="center"/>
      <protection locked="0"/>
    </xf>
    <xf numFmtId="177" fontId="6" fillId="0" borderId="0" xfId="0" applyNumberFormat="1" applyFont="1" applyFill="1" applyBorder="1" applyAlignment="1" applyProtection="1">
      <alignment horizontal="center" vertical="center"/>
      <protection locked="0"/>
    </xf>
    <xf numFmtId="177" fontId="6" fillId="0" borderId="37" xfId="0" applyNumberFormat="1" applyFont="1" applyFill="1" applyBorder="1" applyAlignment="1" applyProtection="1">
      <alignment horizontal="center" vertical="center"/>
      <protection locked="0"/>
    </xf>
    <xf numFmtId="177" fontId="3" fillId="0" borderId="29" xfId="0" applyNumberFormat="1" applyFont="1" applyFill="1" applyBorder="1" applyAlignment="1" applyProtection="1">
      <alignment horizontal="center" vertical="center"/>
      <protection hidden="1"/>
    </xf>
    <xf numFmtId="177" fontId="3" fillId="0" borderId="7" xfId="0" applyNumberFormat="1" applyFont="1" applyFill="1" applyBorder="1" applyAlignment="1" applyProtection="1">
      <alignment horizontal="center" vertical="center"/>
      <protection hidden="1"/>
    </xf>
    <xf numFmtId="177" fontId="3" fillId="0" borderId="9" xfId="0" applyNumberFormat="1" applyFont="1" applyFill="1" applyBorder="1" applyAlignment="1" applyProtection="1">
      <alignment horizontal="center" vertical="center"/>
      <protection locked="0"/>
    </xf>
    <xf numFmtId="177" fontId="6" fillId="0" borderId="38" xfId="0" applyNumberFormat="1" applyFont="1" applyFill="1" applyBorder="1" applyAlignment="1" applyProtection="1">
      <alignment horizontal="center"/>
      <protection hidden="1"/>
    </xf>
    <xf numFmtId="177" fontId="6" fillId="0" borderId="39" xfId="0" applyNumberFormat="1" applyFont="1" applyFill="1" applyBorder="1" applyAlignment="1" applyProtection="1">
      <alignment horizontal="center"/>
      <protection hidden="1"/>
    </xf>
    <xf numFmtId="177" fontId="6" fillId="0" borderId="37" xfId="0" applyNumberFormat="1" applyFont="1" applyFill="1" applyBorder="1" applyAlignment="1" applyProtection="1">
      <alignment horizontal="center"/>
      <protection hidden="1"/>
    </xf>
    <xf numFmtId="177" fontId="6" fillId="2" borderId="30" xfId="0" applyNumberFormat="1" applyFont="1" applyFill="1" applyBorder="1" applyAlignment="1" applyProtection="1">
      <alignment horizontal="center"/>
      <protection hidden="1"/>
    </xf>
    <xf numFmtId="177" fontId="6" fillId="2" borderId="31" xfId="0" applyNumberFormat="1" applyFont="1" applyFill="1" applyBorder="1" applyAlignment="1" applyProtection="1">
      <alignment horizontal="center"/>
      <protection hidden="1"/>
    </xf>
    <xf numFmtId="177" fontId="3" fillId="0" borderId="29" xfId="0" applyNumberFormat="1" applyFont="1" applyFill="1" applyBorder="1" applyAlignment="1" applyProtection="1">
      <alignment horizontal="center" vertical="center"/>
      <protection locked="0"/>
    </xf>
    <xf numFmtId="0" fontId="8" fillId="0" borderId="12" xfId="0" applyFont="1" applyFill="1" applyBorder="1" applyAlignment="1" applyProtection="1">
      <alignment horizontal="center" vertical="center" shrinkToFit="1"/>
      <protection locked="0"/>
    </xf>
    <xf numFmtId="0" fontId="8" fillId="0" borderId="6" xfId="0" applyFont="1" applyFill="1" applyBorder="1" applyAlignment="1" applyProtection="1">
      <alignment horizontal="center" vertical="center" shrinkToFit="1"/>
      <protection locked="0"/>
    </xf>
    <xf numFmtId="0" fontId="8" fillId="0" borderId="7" xfId="0" applyFont="1" applyFill="1" applyBorder="1" applyAlignment="1" applyProtection="1">
      <alignment horizontal="center" vertical="center" shrinkToFit="1"/>
      <protection locked="0"/>
    </xf>
    <xf numFmtId="0" fontId="8" fillId="0" borderId="16" xfId="0" applyFont="1" applyFill="1" applyBorder="1" applyAlignment="1" applyProtection="1">
      <alignment horizontal="center" vertical="center" shrinkToFit="1"/>
      <protection locked="0"/>
    </xf>
    <xf numFmtId="0" fontId="8" fillId="0" borderId="14" xfId="0" applyFont="1" applyFill="1" applyBorder="1" applyAlignment="1" applyProtection="1">
      <alignment horizontal="center" vertical="center" shrinkToFit="1"/>
      <protection locked="0"/>
    </xf>
    <xf numFmtId="0" fontId="8" fillId="0" borderId="15" xfId="0" applyFont="1" applyFill="1" applyBorder="1" applyAlignment="1" applyProtection="1">
      <alignment horizontal="center" vertical="center" shrinkToFit="1"/>
      <protection locked="0"/>
    </xf>
    <xf numFmtId="177" fontId="6" fillId="0" borderId="40" xfId="0" applyNumberFormat="1" applyFont="1" applyFill="1" applyBorder="1" applyAlignment="1" applyProtection="1">
      <alignment horizontal="center"/>
      <protection hidden="1"/>
    </xf>
    <xf numFmtId="0" fontId="6" fillId="0" borderId="19" xfId="0" applyFont="1" applyFill="1" applyBorder="1" applyAlignment="1" applyProtection="1">
      <alignment horizontal="center"/>
      <protection hidden="1"/>
    </xf>
    <xf numFmtId="0" fontId="6" fillId="0" borderId="20" xfId="0" applyFont="1" applyFill="1" applyBorder="1" applyAlignment="1" applyProtection="1">
      <alignment horizontal="center"/>
      <protection hidden="1"/>
    </xf>
    <xf numFmtId="0" fontId="6" fillId="0" borderId="34" xfId="0" applyFont="1" applyFill="1" applyBorder="1" applyAlignment="1" applyProtection="1">
      <alignment horizontal="center"/>
      <protection hidden="1"/>
    </xf>
    <xf numFmtId="0" fontId="6" fillId="0" borderId="21" xfId="0" applyFont="1" applyFill="1" applyBorder="1" applyAlignment="1" applyProtection="1">
      <alignment horizontal="center"/>
      <protection hidden="1"/>
    </xf>
    <xf numFmtId="0" fontId="6" fillId="0" borderId="4" xfId="0" applyFont="1" applyFill="1" applyBorder="1" applyAlignment="1" applyProtection="1">
      <alignment horizontal="center"/>
      <protection hidden="1"/>
    </xf>
    <xf numFmtId="0" fontId="6" fillId="0" borderId="22" xfId="0" applyFont="1" applyFill="1" applyBorder="1" applyAlignment="1" applyProtection="1">
      <alignment horizontal="center"/>
      <protection hidden="1"/>
    </xf>
    <xf numFmtId="177" fontId="6" fillId="2" borderId="35" xfId="0" applyNumberFormat="1" applyFont="1" applyFill="1" applyBorder="1" applyAlignment="1" applyProtection="1">
      <alignment horizontal="center"/>
      <protection hidden="1"/>
    </xf>
    <xf numFmtId="0" fontId="6" fillId="2" borderId="8" xfId="0" applyFont="1" applyFill="1" applyBorder="1" applyAlignment="1" applyProtection="1">
      <alignment horizontal="center"/>
      <protection hidden="1"/>
    </xf>
    <xf numFmtId="0" fontId="6" fillId="2" borderId="9" xfId="0" applyFont="1" applyFill="1" applyBorder="1" applyAlignment="1" applyProtection="1">
      <alignment horizontal="center"/>
      <protection hidden="1"/>
    </xf>
    <xf numFmtId="0" fontId="6" fillId="2" borderId="29" xfId="0" applyFont="1" applyFill="1" applyBorder="1" applyAlignment="1" applyProtection="1">
      <alignment horizontal="center"/>
      <protection hidden="1"/>
    </xf>
    <xf numFmtId="0" fontId="6" fillId="0" borderId="17" xfId="0" applyFont="1" applyFill="1" applyBorder="1" applyAlignment="1" applyProtection="1">
      <alignment horizontal="center"/>
      <protection hidden="1"/>
    </xf>
    <xf numFmtId="0" fontId="6" fillId="0" borderId="18" xfId="0" applyFont="1" applyFill="1" applyBorder="1" applyAlignment="1" applyProtection="1">
      <alignment horizontal="center"/>
      <protection hidden="1"/>
    </xf>
    <xf numFmtId="0" fontId="6" fillId="0" borderId="32" xfId="0" applyFont="1" applyFill="1" applyBorder="1" applyAlignment="1" applyProtection="1">
      <alignment horizontal="center"/>
      <protection hidden="1"/>
    </xf>
    <xf numFmtId="0" fontId="0" fillId="0" borderId="4" xfId="0" applyBorder="1"/>
    <xf numFmtId="0" fontId="0" fillId="0" borderId="22" xfId="0" applyBorder="1"/>
    <xf numFmtId="0" fontId="0" fillId="0" borderId="18" xfId="0" applyBorder="1"/>
    <xf numFmtId="0" fontId="0" fillId="0" borderId="32" xfId="0" applyBorder="1"/>
    <xf numFmtId="0" fontId="0" fillId="0" borderId="0" xfId="0" applyFont="1"/>
    <xf numFmtId="0" fontId="8" fillId="0" borderId="0" xfId="0" applyFont="1" applyAlignment="1">
      <alignment horizontal="center"/>
    </xf>
    <xf numFmtId="0" fontId="10" fillId="0" borderId="0" xfId="0" applyFont="1" applyAlignment="1">
      <alignment horizontal="center"/>
    </xf>
    <xf numFmtId="0" fontId="8" fillId="2" borderId="37" xfId="0" applyFont="1" applyFill="1" applyBorder="1" applyAlignment="1" applyProtection="1">
      <alignment horizontal="center" shrinkToFit="1"/>
      <protection locked="0"/>
    </xf>
    <xf numFmtId="0" fontId="8" fillId="2" borderId="37" xfId="0" applyFont="1" applyFill="1" applyBorder="1" applyAlignment="1" applyProtection="1">
      <alignment vertical="center" shrinkToFit="1"/>
      <protection locked="0"/>
    </xf>
    <xf numFmtId="0" fontId="8" fillId="0" borderId="37" xfId="0" applyFont="1" applyFill="1" applyBorder="1" applyAlignment="1" applyProtection="1">
      <alignment horizontal="center"/>
      <protection locked="0"/>
    </xf>
    <xf numFmtId="177" fontId="6" fillId="0" borderId="17" xfId="0" applyNumberFormat="1" applyFont="1" applyFill="1" applyBorder="1" applyAlignment="1" applyProtection="1">
      <alignment horizontal="left"/>
      <protection hidden="1"/>
    </xf>
    <xf numFmtId="177" fontId="6" fillId="0" borderId="37" xfId="0" applyNumberFormat="1" applyFont="1" applyFill="1" applyBorder="1" applyAlignment="1" applyProtection="1">
      <alignment horizontal="left" vertical="center" wrapText="1"/>
      <protection hidden="1"/>
    </xf>
    <xf numFmtId="177" fontId="6" fillId="0" borderId="37" xfId="0" applyNumberFormat="1" applyFont="1" applyFill="1" applyBorder="1" applyAlignment="1" applyProtection="1">
      <alignment horizontal="left"/>
      <protection hidden="1"/>
    </xf>
    <xf numFmtId="177" fontId="8" fillId="2" borderId="37" xfId="0" applyNumberFormat="1" applyFont="1" applyFill="1" applyBorder="1" applyAlignment="1" applyProtection="1">
      <alignment vertical="center" shrinkToFit="1"/>
      <protection locked="0"/>
    </xf>
    <xf numFmtId="0" fontId="8" fillId="3" borderId="37" xfId="0" applyFont="1" applyFill="1" applyBorder="1" applyAlignment="1" applyProtection="1">
      <alignment horizontal="center"/>
      <protection locked="0"/>
    </xf>
    <xf numFmtId="177" fontId="6" fillId="3" borderId="37" xfId="0" applyNumberFormat="1" applyFont="1" applyFill="1" applyBorder="1" applyAlignment="1" applyProtection="1">
      <alignment horizontal="left"/>
      <protection hidden="1"/>
    </xf>
    <xf numFmtId="0" fontId="6" fillId="0" borderId="0" xfId="0" applyFont="1" applyFill="1"/>
    <xf numFmtId="0" fontId="6" fillId="0" borderId="0" xfId="0" applyFont="1"/>
    <xf numFmtId="0" fontId="8" fillId="0" borderId="0" xfId="0" applyFont="1"/>
    <xf numFmtId="177" fontId="6" fillId="0" borderId="37" xfId="0" applyNumberFormat="1" applyFont="1" applyFill="1" applyBorder="1" applyAlignment="1" applyProtection="1">
      <protection hidden="1"/>
    </xf>
    <xf numFmtId="178" fontId="6" fillId="0" borderId="37" xfId="0" applyNumberFormat="1" applyFont="1" applyFill="1" applyBorder="1" applyAlignment="1" applyProtection="1">
      <alignment horizontal="left" vertical="center" wrapText="1"/>
      <protection hidden="1"/>
    </xf>
    <xf numFmtId="177" fontId="6" fillId="3" borderId="37" xfId="0" applyNumberFormat="1" applyFont="1" applyFill="1" applyBorder="1" applyAlignment="1" applyProtection="1">
      <protection hidden="1"/>
    </xf>
    <xf numFmtId="178" fontId="6" fillId="3" borderId="37" xfId="0" applyNumberFormat="1" applyFont="1" applyFill="1" applyBorder="1" applyAlignment="1" applyProtection="1">
      <alignment horizontal="left" vertical="center" wrapText="1"/>
      <protection hidden="1"/>
    </xf>
    <xf numFmtId="177" fontId="0" fillId="0" borderId="37" xfId="0" applyNumberFormat="1" applyFont="1" applyFill="1" applyBorder="1" applyAlignment="1" applyProtection="1">
      <alignment horizontal="left"/>
      <protection hidden="1"/>
    </xf>
    <xf numFmtId="179" fontId="6" fillId="0" borderId="37" xfId="0" applyNumberFormat="1" applyFont="1" applyFill="1" applyBorder="1" applyAlignment="1" applyProtection="1">
      <alignment horizontal="left" vertical="center" wrapText="1"/>
      <protection hidden="1"/>
    </xf>
    <xf numFmtId="179" fontId="6" fillId="3" borderId="37" xfId="0" applyNumberFormat="1" applyFont="1" applyFill="1" applyBorder="1" applyAlignment="1" applyProtection="1">
      <alignment horizontal="left" vertical="center" wrapText="1"/>
      <protection hidden="1"/>
    </xf>
    <xf numFmtId="0" fontId="8" fillId="4" borderId="37" xfId="0" applyFont="1" applyFill="1" applyBorder="1" applyAlignment="1" applyProtection="1">
      <alignment horizontal="center"/>
      <protection locked="0"/>
    </xf>
    <xf numFmtId="177" fontId="6" fillId="4" borderId="17" xfId="0" applyNumberFormat="1" applyFont="1" applyFill="1" applyBorder="1" applyAlignment="1" applyProtection="1">
      <alignment horizontal="left"/>
      <protection hidden="1"/>
    </xf>
    <xf numFmtId="177" fontId="6" fillId="4" borderId="37" xfId="0" applyNumberFormat="1" applyFont="1" applyFill="1" applyBorder="1" applyAlignment="1" applyProtection="1">
      <alignment horizontal="left" vertical="center" wrapText="1"/>
      <protection hidden="1"/>
    </xf>
    <xf numFmtId="177" fontId="6" fillId="5" borderId="37" xfId="0" applyNumberFormat="1" applyFont="1" applyFill="1" applyBorder="1" applyAlignment="1" applyProtection="1">
      <alignment horizontal="left" vertical="center" wrapText="1"/>
      <protection hidden="1"/>
    </xf>
    <xf numFmtId="0" fontId="8" fillId="6" borderId="37" xfId="0" applyFont="1" applyFill="1" applyBorder="1" applyAlignment="1" applyProtection="1">
      <alignment horizontal="center"/>
      <protection locked="0"/>
    </xf>
    <xf numFmtId="177" fontId="6" fillId="6" borderId="17" xfId="0" applyNumberFormat="1" applyFont="1" applyFill="1" applyBorder="1" applyAlignment="1" applyProtection="1">
      <alignment horizontal="left"/>
      <protection hidden="1"/>
    </xf>
    <xf numFmtId="177" fontId="6" fillId="6" borderId="37" xfId="0" applyNumberFormat="1" applyFont="1" applyFill="1" applyBorder="1" applyAlignment="1" applyProtection="1">
      <alignment horizontal="left" vertical="center" wrapText="1"/>
      <protection hidden="1"/>
    </xf>
    <xf numFmtId="177" fontId="6" fillId="4" borderId="37" xfId="0" applyNumberFormat="1" applyFont="1" applyFill="1" applyBorder="1" applyAlignment="1" applyProtection="1">
      <alignment horizontal="left"/>
      <protection hidden="1"/>
    </xf>
    <xf numFmtId="177" fontId="6" fillId="5" borderId="37" xfId="0" applyNumberFormat="1" applyFont="1" applyFill="1" applyBorder="1" applyAlignment="1" applyProtection="1">
      <alignment horizontal="left"/>
      <protection hidden="1"/>
    </xf>
    <xf numFmtId="177" fontId="6" fillId="6" borderId="37" xfId="0" applyNumberFormat="1" applyFont="1" applyFill="1" applyBorder="1" applyAlignment="1" applyProtection="1">
      <alignment horizontal="left"/>
      <protection hidden="1"/>
    </xf>
    <xf numFmtId="177" fontId="6" fillId="4" borderId="37" xfId="0" applyNumberFormat="1" applyFont="1" applyFill="1" applyBorder="1" applyAlignment="1" applyProtection="1">
      <protection hidden="1"/>
    </xf>
    <xf numFmtId="177" fontId="6" fillId="5" borderId="37" xfId="0" applyNumberFormat="1" applyFont="1" applyFill="1" applyBorder="1" applyAlignment="1" applyProtection="1">
      <protection hidden="1"/>
    </xf>
    <xf numFmtId="178" fontId="6" fillId="4" borderId="37" xfId="0" applyNumberFormat="1" applyFont="1" applyFill="1" applyBorder="1" applyAlignment="1" applyProtection="1">
      <alignment horizontal="left" vertical="center" wrapText="1"/>
      <protection hidden="1"/>
    </xf>
    <xf numFmtId="177" fontId="6" fillId="6" borderId="37" xfId="0" applyNumberFormat="1" applyFont="1" applyFill="1" applyBorder="1" applyAlignment="1" applyProtection="1">
      <protection hidden="1"/>
    </xf>
    <xf numFmtId="178" fontId="6" fillId="6" borderId="37" xfId="0" applyNumberFormat="1" applyFont="1" applyFill="1" applyBorder="1" applyAlignment="1" applyProtection="1">
      <alignment horizontal="left" vertical="center" wrapText="1"/>
      <protection hidden="1"/>
    </xf>
    <xf numFmtId="177" fontId="6" fillId="7" borderId="37" xfId="0" applyNumberFormat="1" applyFont="1" applyFill="1" applyBorder="1" applyAlignment="1" applyProtection="1">
      <alignment horizontal="left"/>
      <protection hidden="1"/>
    </xf>
    <xf numFmtId="0" fontId="0" fillId="5" borderId="0" xfId="0" applyFill="1"/>
    <xf numFmtId="180" fontId="0" fillId="5" borderId="0" xfId="0" applyNumberFormat="1" applyFill="1"/>
    <xf numFmtId="0" fontId="11" fillId="0" borderId="3" xfId="0" applyFont="1" applyFill="1" applyBorder="1" applyAlignment="1">
      <alignment vertical="center"/>
    </xf>
    <xf numFmtId="0" fontId="12" fillId="0" borderId="37" xfId="0" applyFont="1" applyFill="1" applyBorder="1" applyAlignment="1">
      <alignment horizontal="left"/>
    </xf>
    <xf numFmtId="177" fontId="0" fillId="8" borderId="37" xfId="0" applyNumberFormat="1" applyFont="1" applyFill="1" applyBorder="1" applyAlignment="1" applyProtection="1">
      <alignment horizontal="left"/>
      <protection hidden="1"/>
    </xf>
    <xf numFmtId="0" fontId="0" fillId="0" borderId="0" xfId="0" applyFill="1"/>
    <xf numFmtId="0" fontId="8" fillId="7" borderId="37" xfId="0" applyFont="1" applyFill="1" applyBorder="1" applyAlignment="1" applyProtection="1">
      <alignment horizontal="center"/>
      <protection locked="0"/>
    </xf>
    <xf numFmtId="177" fontId="6" fillId="7" borderId="17" xfId="0" applyNumberFormat="1" applyFont="1" applyFill="1" applyBorder="1" applyAlignment="1" applyProtection="1">
      <alignment horizontal="left"/>
      <protection hidden="1"/>
    </xf>
    <xf numFmtId="177" fontId="6" fillId="7" borderId="37" xfId="0" applyNumberFormat="1" applyFont="1" applyFill="1" applyBorder="1" applyAlignment="1" applyProtection="1">
      <alignment horizontal="left" vertical="center" wrapText="1"/>
      <protection hidden="1"/>
    </xf>
    <xf numFmtId="177" fontId="6" fillId="7" borderId="37" xfId="0" applyNumberFormat="1" applyFont="1" applyFill="1" applyBorder="1" applyAlignment="1" applyProtection="1">
      <protection hidden="1"/>
    </xf>
    <xf numFmtId="178" fontId="6" fillId="7" borderId="37" xfId="0" applyNumberFormat="1" applyFont="1" applyFill="1" applyBorder="1" applyAlignment="1" applyProtection="1">
      <alignment horizontal="left" vertical="center" wrapText="1"/>
      <protection hidden="1"/>
    </xf>
    <xf numFmtId="0" fontId="0" fillId="6" borderId="0" xfId="0" applyFill="1"/>
    <xf numFmtId="179" fontId="6" fillId="7" borderId="37" xfId="0" applyNumberFormat="1" applyFont="1" applyFill="1" applyBorder="1" applyAlignment="1" applyProtection="1">
      <alignment horizontal="left" vertical="center" wrapText="1"/>
      <protection hidden="1"/>
    </xf>
    <xf numFmtId="0" fontId="0" fillId="7" borderId="0" xfId="0" applyFill="1"/>
    <xf numFmtId="179" fontId="6" fillId="6" borderId="37" xfId="0" applyNumberFormat="1" applyFont="1" applyFill="1" applyBorder="1" applyAlignment="1" applyProtection="1">
      <alignment horizontal="left" vertical="center" wrapText="1"/>
      <protection hidden="1"/>
    </xf>
    <xf numFmtId="180" fontId="0" fillId="7" borderId="0" xfId="0" applyNumberFormat="1" applyFill="1"/>
    <xf numFmtId="0" fontId="11" fillId="0" borderId="3" xfId="0" applyFont="1" applyFill="1" applyBorder="1" applyAlignment="1">
      <alignment horizontal="left" vertical="center"/>
    </xf>
    <xf numFmtId="0" fontId="11" fillId="0" borderId="22" xfId="0" applyFont="1" applyFill="1" applyBorder="1" applyAlignment="1">
      <alignment horizontal="left" vertical="center"/>
    </xf>
    <xf numFmtId="0" fontId="0" fillId="0" borderId="37" xfId="0" applyFont="1" applyFill="1" applyBorder="1" applyProtection="1">
      <protection locked="0"/>
    </xf>
    <xf numFmtId="0" fontId="0" fillId="0" borderId="37" xfId="0" applyFont="1" applyBorder="1" applyProtection="1">
      <protection locked="0"/>
    </xf>
    <xf numFmtId="0" fontId="0" fillId="0" borderId="0" xfId="0" applyFont="1" applyBorder="1" applyProtection="1">
      <protection locked="0"/>
    </xf>
    <xf numFmtId="0" fontId="0" fillId="0" borderId="0" xfId="0" applyProtection="1">
      <protection locked="0"/>
    </xf>
    <xf numFmtId="0" fontId="0" fillId="0" borderId="0" xfId="0" applyBorder="1" applyProtection="1">
      <protection locked="0"/>
    </xf>
    <xf numFmtId="0" fontId="0" fillId="0" borderId="0" xfId="0" applyBorder="1" applyAlignment="1" applyProtection="1">
      <alignment horizontal="center"/>
      <protection locked="0"/>
    </xf>
    <xf numFmtId="0" fontId="13" fillId="0" borderId="0" xfId="0" applyFont="1" applyAlignment="1" applyProtection="1">
      <alignment horizontal="center"/>
      <protection locked="0"/>
    </xf>
    <xf numFmtId="181" fontId="3" fillId="9" borderId="0" xfId="0" applyNumberFormat="1" applyFont="1" applyFill="1" applyProtection="1">
      <protection locked="0"/>
    </xf>
    <xf numFmtId="0" fontId="0" fillId="9" borderId="0" xfId="0" applyFill="1" applyProtection="1">
      <protection locked="0"/>
    </xf>
    <xf numFmtId="0" fontId="14" fillId="0" borderId="0" xfId="0" applyFont="1" applyFill="1" applyAlignment="1" applyProtection="1">
      <alignment horizontal="center" vertical="center"/>
      <protection locked="0"/>
    </xf>
    <xf numFmtId="0" fontId="15" fillId="0" borderId="0" xfId="0" applyFont="1" applyFill="1" applyAlignment="1" applyProtection="1">
      <alignment horizontal="center"/>
      <protection locked="0"/>
    </xf>
    <xf numFmtId="0" fontId="8" fillId="0" borderId="0" xfId="0" applyFont="1" applyFill="1" applyAlignment="1" applyProtection="1">
      <alignment horizontal="center"/>
      <protection locked="0"/>
    </xf>
    <xf numFmtId="0" fontId="8" fillId="0" borderId="1" xfId="0" applyFont="1" applyFill="1" applyBorder="1" applyAlignment="1" applyProtection="1">
      <alignment horizontal="center"/>
      <protection locked="0"/>
    </xf>
    <xf numFmtId="0" fontId="15" fillId="0" borderId="3" xfId="0" applyFont="1" applyFill="1" applyBorder="1" applyAlignment="1" applyProtection="1">
      <alignment horizontal="center"/>
      <protection locked="0"/>
    </xf>
    <xf numFmtId="0" fontId="0" fillId="0" borderId="4" xfId="0" applyBorder="1" applyProtection="1">
      <protection locked="0"/>
    </xf>
    <xf numFmtId="0" fontId="8" fillId="0" borderId="0" xfId="0" applyFont="1" applyFill="1" applyAlignment="1" applyProtection="1">
      <alignment horizontal="right"/>
      <protection locked="0"/>
    </xf>
    <xf numFmtId="0" fontId="15" fillId="0" borderId="0" xfId="0" applyFont="1" applyFill="1" applyAlignment="1" applyProtection="1">
      <alignment horizontal="right"/>
      <protection locked="0"/>
    </xf>
    <xf numFmtId="0" fontId="7" fillId="0" borderId="0" xfId="0" applyFont="1" applyFill="1" applyAlignment="1" applyProtection="1">
      <protection locked="0"/>
    </xf>
    <xf numFmtId="0" fontId="15" fillId="0" borderId="0" xfId="0" applyFont="1" applyFill="1" applyBorder="1" applyAlignment="1" applyProtection="1">
      <alignment horizontal="center"/>
      <protection locked="0"/>
    </xf>
    <xf numFmtId="0" fontId="0" fillId="0" borderId="3" xfId="0" applyFont="1" applyFill="1" applyBorder="1" applyAlignment="1" applyProtection="1">
      <alignment horizontal="center"/>
      <protection locked="0"/>
    </xf>
    <xf numFmtId="0" fontId="0" fillId="0" borderId="4" xfId="0" applyFont="1" applyFill="1" applyBorder="1" applyAlignment="1" applyProtection="1">
      <alignment horizontal="center"/>
      <protection locked="0"/>
    </xf>
    <xf numFmtId="0" fontId="8" fillId="0" borderId="12" xfId="0" applyFont="1" applyFill="1" applyBorder="1" applyAlignment="1" applyProtection="1">
      <alignment horizontal="left" vertical="center"/>
      <protection locked="0"/>
    </xf>
    <xf numFmtId="0" fontId="8" fillId="0" borderId="6" xfId="0" applyFont="1" applyFill="1" applyBorder="1" applyAlignment="1" applyProtection="1">
      <alignment horizontal="left" vertical="center"/>
      <protection locked="0"/>
    </xf>
    <xf numFmtId="0" fontId="7" fillId="0" borderId="19" xfId="0" applyFont="1" applyFill="1" applyBorder="1" applyAlignment="1" applyProtection="1">
      <alignment horizontal="center" vertical="center"/>
      <protection locked="0"/>
    </xf>
    <xf numFmtId="0" fontId="7" fillId="0" borderId="20" xfId="0" applyFont="1" applyFill="1" applyBorder="1" applyAlignment="1" applyProtection="1">
      <alignment horizontal="center" vertical="center"/>
      <protection locked="0"/>
    </xf>
    <xf numFmtId="0" fontId="8" fillId="0" borderId="23" xfId="0" applyFont="1" applyFill="1" applyBorder="1" applyAlignment="1" applyProtection="1">
      <alignment horizontal="left" vertical="center"/>
      <protection locked="0"/>
    </xf>
    <xf numFmtId="0" fontId="8" fillId="0" borderId="0" xfId="0" applyFont="1" applyFill="1" applyBorder="1" applyAlignment="1" applyProtection="1">
      <alignment horizontal="left" vertical="center"/>
      <protection locked="0"/>
    </xf>
    <xf numFmtId="0" fontId="16" fillId="0" borderId="21" xfId="0" applyFont="1" applyFill="1" applyBorder="1" applyAlignment="1" applyProtection="1">
      <alignment horizontal="center" vertical="center"/>
      <protection locked="0"/>
    </xf>
    <xf numFmtId="0" fontId="16" fillId="0" borderId="4" xfId="0" applyFont="1" applyFill="1" applyBorder="1" applyAlignment="1" applyProtection="1">
      <alignment horizontal="center" vertical="center"/>
      <protection locked="0"/>
    </xf>
    <xf numFmtId="0" fontId="8" fillId="0" borderId="17" xfId="0" applyFont="1" applyFill="1" applyBorder="1" applyAlignment="1" applyProtection="1">
      <alignment horizontal="left" vertical="center"/>
      <protection locked="0"/>
    </xf>
    <xf numFmtId="0" fontId="8" fillId="0" borderId="18" xfId="0" applyFont="1" applyFill="1" applyBorder="1" applyAlignment="1" applyProtection="1">
      <alignment horizontal="left" vertical="center"/>
      <protection locked="0"/>
    </xf>
    <xf numFmtId="0" fontId="16" fillId="0" borderId="41" xfId="0" applyFont="1" applyFill="1" applyBorder="1" applyAlignment="1" applyProtection="1">
      <alignment horizontal="center" vertical="center"/>
      <protection locked="0"/>
    </xf>
    <xf numFmtId="0" fontId="16" fillId="0" borderId="37" xfId="0" applyFont="1" applyFill="1" applyBorder="1" applyAlignment="1" applyProtection="1">
      <alignment horizontal="center" vertical="center"/>
      <protection locked="0"/>
    </xf>
    <xf numFmtId="0" fontId="17" fillId="10" borderId="41" xfId="0" applyFont="1" applyFill="1" applyBorder="1" applyAlignment="1" applyProtection="1">
      <protection locked="0"/>
    </xf>
    <xf numFmtId="0" fontId="16" fillId="10" borderId="3" xfId="0" applyFont="1" applyFill="1" applyBorder="1" applyAlignment="1" applyProtection="1">
      <alignment horizontal="center"/>
      <protection locked="0"/>
    </xf>
    <xf numFmtId="0" fontId="17" fillId="10" borderId="4" xfId="0" applyFont="1" applyFill="1" applyBorder="1" applyAlignment="1" applyProtection="1">
      <protection locked="0"/>
    </xf>
    <xf numFmtId="0" fontId="17" fillId="10" borderId="37" xfId="0" applyFont="1" applyFill="1" applyBorder="1" applyAlignment="1" applyProtection="1">
      <protection locked="0"/>
    </xf>
    <xf numFmtId="0" fontId="0" fillId="0" borderId="41" xfId="0" applyFont="1" applyBorder="1" applyProtection="1">
      <protection locked="0"/>
    </xf>
    <xf numFmtId="177" fontId="18" fillId="0" borderId="21" xfId="0" applyNumberFormat="1" applyFont="1" applyFill="1" applyBorder="1" applyAlignment="1" applyProtection="1">
      <alignment horizontal="left"/>
      <protection hidden="1"/>
    </xf>
    <xf numFmtId="0" fontId="19" fillId="0" borderId="4" xfId="0" applyFont="1" applyBorder="1" applyAlignment="1" applyProtection="1">
      <alignment vertical="center" wrapText="1"/>
      <protection locked="0"/>
    </xf>
    <xf numFmtId="1" fontId="20" fillId="0" borderId="41" xfId="0" applyNumberFormat="1" applyFont="1" applyFill="1" applyBorder="1" applyAlignment="1" applyProtection="1">
      <alignment horizontal="center"/>
      <protection locked="0"/>
    </xf>
    <xf numFmtId="1" fontId="20" fillId="0" borderId="37" xfId="0" applyNumberFormat="1" applyFont="1" applyFill="1" applyBorder="1" applyAlignment="1" applyProtection="1">
      <alignment horizontal="center" vertical="center"/>
      <protection locked="0"/>
    </xf>
    <xf numFmtId="1" fontId="20" fillId="0" borderId="37" xfId="51" applyNumberFormat="1" applyFont="1" applyFill="1" applyBorder="1" applyAlignment="1" applyProtection="1">
      <alignment horizontal="center" vertical="center"/>
      <protection locked="0"/>
    </xf>
    <xf numFmtId="0" fontId="19" fillId="0" borderId="4" xfId="0" applyFont="1" applyFill="1" applyBorder="1" applyAlignment="1" applyProtection="1">
      <alignment vertical="center" wrapText="1"/>
      <protection locked="0"/>
    </xf>
    <xf numFmtId="0" fontId="21" fillId="0" borderId="3" xfId="0" applyFont="1" applyFill="1" applyBorder="1" applyAlignment="1">
      <alignment horizontal="left"/>
    </xf>
    <xf numFmtId="0" fontId="21" fillId="0" borderId="22" xfId="0" applyFont="1" applyFill="1" applyBorder="1" applyAlignment="1">
      <alignment horizontal="left"/>
    </xf>
    <xf numFmtId="0" fontId="19" fillId="0" borderId="18" xfId="0" applyFont="1" applyBorder="1" applyAlignment="1" applyProtection="1">
      <alignment vertical="center" wrapText="1"/>
      <protection locked="0"/>
    </xf>
    <xf numFmtId="0" fontId="0" fillId="2" borderId="41" xfId="0" applyFont="1" applyFill="1" applyBorder="1" applyProtection="1">
      <protection locked="0"/>
    </xf>
    <xf numFmtId="177" fontId="22" fillId="2" borderId="21" xfId="0" applyNumberFormat="1" applyFont="1" applyFill="1" applyBorder="1" applyAlignment="1" applyProtection="1">
      <alignment horizontal="left"/>
      <protection hidden="1"/>
    </xf>
    <xf numFmtId="0" fontId="19" fillId="2" borderId="4" xfId="0" applyFont="1" applyFill="1" applyBorder="1" applyAlignment="1" applyProtection="1">
      <alignment vertical="center" wrapText="1"/>
      <protection locked="0"/>
    </xf>
    <xf numFmtId="1" fontId="20" fillId="2" borderId="41" xfId="0" applyNumberFormat="1" applyFont="1" applyFill="1" applyBorder="1" applyAlignment="1" applyProtection="1">
      <alignment horizontal="center"/>
      <protection locked="0"/>
    </xf>
    <xf numFmtId="1" fontId="20" fillId="2" borderId="37" xfId="0" applyNumberFormat="1" applyFont="1" applyFill="1" applyBorder="1" applyAlignment="1" applyProtection="1">
      <alignment horizontal="center" vertical="center"/>
      <protection locked="0"/>
    </xf>
    <xf numFmtId="1" fontId="20" fillId="2" borderId="37" xfId="51" applyNumberFormat="1" applyFont="1" applyFill="1" applyBorder="1" applyAlignment="1" applyProtection="1">
      <alignment horizontal="center" vertical="center"/>
      <protection locked="0"/>
    </xf>
    <xf numFmtId="0" fontId="0" fillId="0" borderId="41" xfId="0" applyFont="1" applyFill="1" applyBorder="1" applyProtection="1">
      <protection locked="0"/>
    </xf>
    <xf numFmtId="0" fontId="0" fillId="0" borderId="4" xfId="0" applyFont="1" applyBorder="1" applyProtection="1">
      <protection locked="0"/>
    </xf>
    <xf numFmtId="0" fontId="15" fillId="0" borderId="36" xfId="0" applyFont="1" applyFill="1" applyBorder="1" applyAlignment="1" applyProtection="1">
      <protection locked="0"/>
    </xf>
    <xf numFmtId="0" fontId="15" fillId="0" borderId="0" xfId="0" applyFont="1" applyFill="1" applyBorder="1" applyAlignment="1" applyProtection="1">
      <protection locked="0"/>
    </xf>
    <xf numFmtId="0" fontId="15" fillId="0" borderId="0" xfId="0" applyFont="1" applyFill="1" applyBorder="1" applyAlignment="1" applyProtection="1">
      <alignment horizontal="right"/>
      <protection locked="0"/>
    </xf>
    <xf numFmtId="177" fontId="15" fillId="0" borderId="0" xfId="0" applyNumberFormat="1" applyFont="1" applyFill="1" applyBorder="1" applyAlignment="1" applyProtection="1">
      <alignment horizontal="center"/>
      <protection locked="0"/>
    </xf>
    <xf numFmtId="0" fontId="0" fillId="0" borderId="36" xfId="0" applyFont="1" applyFill="1" applyBorder="1" applyAlignment="1" applyProtection="1">
      <alignment horizontal="center"/>
      <protection locked="0"/>
    </xf>
    <xf numFmtId="0" fontId="7" fillId="0" borderId="34" xfId="0" applyFont="1" applyFill="1" applyBorder="1" applyAlignment="1" applyProtection="1">
      <alignment horizontal="center" vertical="center"/>
      <protection locked="0"/>
    </xf>
    <xf numFmtId="0" fontId="7" fillId="0" borderId="42" xfId="0" applyFont="1" applyFill="1" applyBorder="1" applyAlignment="1" applyProtection="1">
      <alignment horizontal="center" vertical="center"/>
      <protection locked="0"/>
    </xf>
    <xf numFmtId="0" fontId="7" fillId="0" borderId="43" xfId="0" applyFont="1" applyFill="1" applyBorder="1" applyAlignment="1" applyProtection="1">
      <alignment horizontal="center" vertical="center"/>
      <protection locked="0"/>
    </xf>
    <xf numFmtId="0" fontId="7" fillId="0" borderId="44" xfId="0" applyFont="1" applyFill="1" applyBorder="1" applyAlignment="1" applyProtection="1">
      <alignment horizontal="center" vertical="center"/>
      <protection locked="0"/>
    </xf>
    <xf numFmtId="0" fontId="16" fillId="0" borderId="36" xfId="0" applyFont="1" applyFill="1" applyBorder="1" applyAlignment="1" applyProtection="1">
      <alignment horizontal="center" vertical="center"/>
      <protection locked="0"/>
    </xf>
    <xf numFmtId="0" fontId="23" fillId="10" borderId="45" xfId="0" applyFont="1" applyFill="1" applyBorder="1" applyAlignment="1" applyProtection="1">
      <alignment horizontal="center" vertical="center" wrapText="1"/>
      <protection locked="0"/>
    </xf>
    <xf numFmtId="0" fontId="23" fillId="10" borderId="40" xfId="0" applyFont="1" applyFill="1" applyBorder="1" applyAlignment="1" applyProtection="1">
      <alignment horizontal="center" vertical="center" wrapText="1"/>
      <protection locked="0"/>
    </xf>
    <xf numFmtId="0" fontId="17" fillId="10" borderId="46" xfId="0" applyFont="1" applyFill="1" applyBorder="1" applyAlignment="1" applyProtection="1">
      <protection locked="0"/>
    </xf>
    <xf numFmtId="0" fontId="17" fillId="10" borderId="36" xfId="0" applyFont="1" applyFill="1" applyBorder="1" applyAlignment="1" applyProtection="1">
      <protection locked="0"/>
    </xf>
    <xf numFmtId="0" fontId="17" fillId="10" borderId="3" xfId="0" applyFont="1" applyFill="1" applyBorder="1" applyAlignment="1" applyProtection="1">
      <protection locked="0"/>
    </xf>
    <xf numFmtId="1" fontId="20" fillId="10" borderId="46" xfId="0" applyNumberFormat="1" applyFont="1" applyFill="1" applyBorder="1" applyAlignment="1" applyProtection="1">
      <alignment horizontal="center" vertical="center"/>
      <protection hidden="1"/>
    </xf>
    <xf numFmtId="1" fontId="20" fillId="0" borderId="36" xfId="0" applyNumberFormat="1" applyFont="1" applyFill="1" applyBorder="1" applyAlignment="1" applyProtection="1">
      <alignment horizontal="center" vertical="center"/>
      <protection locked="0"/>
    </xf>
    <xf numFmtId="1" fontId="20" fillId="10" borderId="3" xfId="0" applyNumberFormat="1" applyFont="1" applyFill="1" applyBorder="1" applyAlignment="1" applyProtection="1">
      <alignment horizontal="center" vertical="center"/>
      <protection hidden="1"/>
    </xf>
    <xf numFmtId="1" fontId="20" fillId="0" borderId="41" xfId="0" applyNumberFormat="1" applyFont="1" applyFill="1" applyBorder="1" applyAlignment="1" applyProtection="1">
      <alignment horizontal="center" vertical="center"/>
      <protection locked="0"/>
    </xf>
    <xf numFmtId="1" fontId="20" fillId="11" borderId="46" xfId="0" applyNumberFormat="1" applyFont="1" applyFill="1" applyBorder="1" applyAlignment="1" applyProtection="1">
      <alignment horizontal="center" vertical="center"/>
      <protection hidden="1"/>
    </xf>
    <xf numFmtId="1" fontId="20" fillId="11" borderId="3" xfId="0" applyNumberFormat="1" applyFont="1" applyFill="1" applyBorder="1" applyAlignment="1" applyProtection="1">
      <alignment horizontal="center" vertical="center"/>
      <protection hidden="1"/>
    </xf>
    <xf numFmtId="1" fontId="20" fillId="2" borderId="36" xfId="0" applyNumberFormat="1" applyFont="1" applyFill="1" applyBorder="1" applyAlignment="1" applyProtection="1">
      <alignment horizontal="center" vertical="center"/>
      <protection locked="0"/>
    </xf>
    <xf numFmtId="1" fontId="20" fillId="2" borderId="41" xfId="0" applyNumberFormat="1" applyFont="1" applyFill="1" applyBorder="1" applyAlignment="1" applyProtection="1">
      <alignment horizontal="center" vertical="center"/>
      <protection locked="0"/>
    </xf>
    <xf numFmtId="2" fontId="24" fillId="0" borderId="0" xfId="0" applyNumberFormat="1" applyFont="1" applyFill="1" applyAlignment="1" applyProtection="1">
      <alignment horizontal="center"/>
      <protection locked="0"/>
    </xf>
    <xf numFmtId="177" fontId="8" fillId="0" borderId="0" xfId="0" applyNumberFormat="1" applyFont="1" applyFill="1" applyAlignment="1" applyProtection="1">
      <alignment horizontal="center"/>
      <protection locked="0"/>
    </xf>
    <xf numFmtId="0" fontId="0" fillId="0" borderId="3" xfId="0" applyFont="1" applyBorder="1" applyAlignment="1" applyProtection="1">
      <alignment horizontal="center"/>
      <protection locked="0"/>
    </xf>
    <xf numFmtId="0" fontId="0" fillId="0" borderId="4" xfId="0" applyBorder="1" applyAlignment="1" applyProtection="1">
      <alignment horizontal="center"/>
      <protection locked="0"/>
    </xf>
    <xf numFmtId="177" fontId="6" fillId="0" borderId="0" xfId="0" applyNumberFormat="1" applyFont="1" applyFill="1" applyBorder="1" applyAlignment="1" applyProtection="1">
      <alignment horizontal="center"/>
      <protection locked="0"/>
    </xf>
    <xf numFmtId="177" fontId="24" fillId="0" borderId="0" xfId="0" applyNumberFormat="1" applyFont="1" applyFill="1" applyAlignment="1" applyProtection="1">
      <alignment horizontal="center"/>
      <protection locked="0"/>
    </xf>
    <xf numFmtId="177" fontId="15" fillId="0" borderId="0" xfId="0" applyNumberFormat="1" applyFont="1" applyFill="1" applyBorder="1" applyAlignment="1" applyProtection="1">
      <alignment horizontal="right"/>
      <protection locked="0"/>
    </xf>
    <xf numFmtId="0" fontId="0" fillId="0" borderId="3" xfId="0" applyBorder="1" applyAlignment="1" applyProtection="1">
      <alignment horizontal="center"/>
      <protection locked="0"/>
    </xf>
    <xf numFmtId="177" fontId="24" fillId="0" borderId="0" xfId="0" applyNumberFormat="1" applyFont="1" applyFill="1" applyBorder="1" applyAlignment="1" applyProtection="1">
      <alignment horizontal="center"/>
      <protection locked="0"/>
    </xf>
    <xf numFmtId="1" fontId="20" fillId="0" borderId="37" xfId="1" applyNumberFormat="1" applyFont="1" applyFill="1" applyBorder="1" applyAlignment="1" applyProtection="1">
      <alignment horizontal="center" vertical="center"/>
      <protection locked="0"/>
    </xf>
    <xf numFmtId="1" fontId="20" fillId="2" borderId="37" xfId="1" applyNumberFormat="1" applyFont="1" applyFill="1" applyBorder="1" applyAlignment="1" applyProtection="1">
      <alignment horizontal="center" vertical="center"/>
      <protection locked="0"/>
    </xf>
    <xf numFmtId="0" fontId="0" fillId="0" borderId="36" xfId="0" applyBorder="1" applyAlignment="1" applyProtection="1">
      <alignment horizontal="center"/>
      <protection locked="0"/>
    </xf>
    <xf numFmtId="177" fontId="24" fillId="0" borderId="0" xfId="0" applyNumberFormat="1" applyFont="1" applyFill="1" applyBorder="1" applyAlignment="1" applyProtection="1">
      <protection locked="0"/>
    </xf>
    <xf numFmtId="177" fontId="8" fillId="0" borderId="0" xfId="0" applyNumberFormat="1" applyFont="1" applyFill="1" applyBorder="1" applyAlignment="1" applyProtection="1">
      <protection locked="0"/>
    </xf>
    <xf numFmtId="177" fontId="6" fillId="0" borderId="0" xfId="0" applyNumberFormat="1" applyFont="1" applyFill="1" applyAlignment="1" applyProtection="1">
      <alignment horizontal="center"/>
      <protection locked="0"/>
    </xf>
    <xf numFmtId="0" fontId="8" fillId="0" borderId="0" xfId="0" applyFont="1" applyAlignment="1" applyProtection="1">
      <alignment horizontal="center"/>
      <protection locked="0"/>
    </xf>
    <xf numFmtId="0" fontId="7" fillId="0" borderId="47" xfId="0" applyFont="1" applyFill="1" applyBorder="1" applyAlignment="1" applyProtection="1">
      <alignment horizontal="center" vertical="center"/>
      <protection locked="0"/>
    </xf>
    <xf numFmtId="0" fontId="7" fillId="0" borderId="48" xfId="0" applyFont="1" applyFill="1" applyBorder="1" applyAlignment="1" applyProtection="1">
      <alignment horizontal="center" vertical="center"/>
      <protection locked="0"/>
    </xf>
    <xf numFmtId="0" fontId="7" fillId="0" borderId="20" xfId="0" applyFont="1" applyFill="1" applyBorder="1" applyAlignment="1" applyProtection="1">
      <alignment horizontal="center" vertical="center" wrapText="1"/>
      <protection locked="0"/>
    </xf>
    <xf numFmtId="0" fontId="6" fillId="0" borderId="0" xfId="0" applyFont="1" applyProtection="1">
      <protection locked="0"/>
    </xf>
    <xf numFmtId="177" fontId="15" fillId="0" borderId="0" xfId="0" applyNumberFormat="1" applyFont="1" applyFill="1" applyAlignment="1" applyProtection="1">
      <alignment horizontal="center"/>
      <protection locked="0"/>
    </xf>
    <xf numFmtId="177" fontId="15" fillId="0" borderId="0" xfId="0" applyNumberFormat="1" applyFont="1" applyFill="1" applyBorder="1" applyAlignment="1" applyProtection="1">
      <protection locked="0"/>
    </xf>
    <xf numFmtId="0" fontId="17" fillId="10" borderId="21" xfId="0" applyFont="1" applyFill="1" applyBorder="1" applyAlignment="1" applyProtection="1">
      <protection locked="0"/>
    </xf>
    <xf numFmtId="1" fontId="20" fillId="0" borderId="21" xfId="0" applyNumberFormat="1" applyFont="1" applyFill="1" applyBorder="1" applyAlignment="1" applyProtection="1">
      <alignment horizontal="center" vertical="center"/>
      <protection locked="0"/>
    </xf>
    <xf numFmtId="1" fontId="20" fillId="2" borderId="21" xfId="0" applyNumberFormat="1" applyFont="1" applyFill="1" applyBorder="1" applyAlignment="1" applyProtection="1">
      <alignment horizontal="center" vertical="center"/>
      <protection locked="0"/>
    </xf>
    <xf numFmtId="1" fontId="20" fillId="0" borderId="37" xfId="58" applyNumberFormat="1" applyFont="1" applyFill="1" applyBorder="1" applyAlignment="1" applyProtection="1">
      <alignment horizontal="center" vertical="center"/>
      <protection locked="0"/>
    </xf>
    <xf numFmtId="1" fontId="20" fillId="2" borderId="37" xfId="58" applyNumberFormat="1" applyFont="1" applyFill="1" applyBorder="1" applyAlignment="1" applyProtection="1">
      <alignment horizontal="center" vertical="center"/>
      <protection locked="0"/>
    </xf>
    <xf numFmtId="0" fontId="14" fillId="9" borderId="0" xfId="0" applyFont="1" applyFill="1" applyAlignment="1" applyProtection="1">
      <alignment horizontal="center" vertical="center"/>
      <protection locked="0"/>
    </xf>
    <xf numFmtId="181" fontId="3" fillId="9" borderId="49" xfId="0" applyNumberFormat="1" applyFont="1" applyFill="1" applyBorder="1" applyAlignment="1" applyProtection="1">
      <alignment horizontal="center" vertical="center" wrapText="1"/>
      <protection locked="0"/>
    </xf>
    <xf numFmtId="0" fontId="20" fillId="9" borderId="7" xfId="0" applyFont="1" applyFill="1" applyBorder="1" applyAlignment="1" applyProtection="1">
      <alignment horizontal="center" vertical="center" wrapText="1"/>
      <protection locked="0"/>
    </xf>
    <xf numFmtId="0" fontId="0" fillId="0" borderId="0" xfId="0" applyFont="1" applyFill="1" applyBorder="1" applyProtection="1">
      <protection locked="0"/>
    </xf>
    <xf numFmtId="181" fontId="3" fillId="9" borderId="50" xfId="0" applyNumberFormat="1" applyFont="1" applyFill="1" applyBorder="1" applyAlignment="1" applyProtection="1">
      <alignment horizontal="center" vertical="center" wrapText="1"/>
      <protection locked="0"/>
    </xf>
    <xf numFmtId="0" fontId="20" fillId="9" borderId="11" xfId="0" applyFont="1" applyFill="1" applyBorder="1" applyAlignment="1" applyProtection="1">
      <alignment horizontal="center" vertical="center" wrapText="1"/>
      <protection locked="0"/>
    </xf>
    <xf numFmtId="181" fontId="3" fillId="9" borderId="51" xfId="0" applyNumberFormat="1" applyFont="1" applyFill="1" applyBorder="1" applyAlignment="1" applyProtection="1">
      <alignment horizontal="center" vertical="center" wrapText="1"/>
      <protection locked="0"/>
    </xf>
    <xf numFmtId="0" fontId="20" fillId="9" borderId="32" xfId="0" applyFont="1" applyFill="1" applyBorder="1" applyAlignment="1" applyProtection="1">
      <alignment horizontal="center" vertical="center" wrapText="1"/>
      <protection locked="0"/>
    </xf>
    <xf numFmtId="181" fontId="7" fillId="9" borderId="51" xfId="0" applyNumberFormat="1" applyFont="1" applyFill="1" applyBorder="1" applyAlignment="1" applyProtection="1">
      <alignment horizontal="center"/>
      <protection hidden="1"/>
    </xf>
    <xf numFmtId="1" fontId="20" fillId="9" borderId="22" xfId="0" applyNumberFormat="1" applyFont="1" applyFill="1" applyBorder="1" applyAlignment="1" applyProtection="1">
      <alignment horizontal="center" vertical="center"/>
      <protection hidden="1"/>
    </xf>
    <xf numFmtId="0" fontId="0" fillId="3" borderId="0" xfId="0" applyFont="1" applyFill="1" applyBorder="1" applyProtection="1">
      <protection locked="0"/>
    </xf>
    <xf numFmtId="0" fontId="0" fillId="5" borderId="0" xfId="0" applyFont="1" applyFill="1" applyBorder="1" applyProtection="1">
      <protection locked="0"/>
    </xf>
    <xf numFmtId="181" fontId="7" fillId="12" borderId="51" xfId="0" applyNumberFormat="1" applyFont="1" applyFill="1" applyBorder="1" applyAlignment="1" applyProtection="1">
      <alignment horizontal="center"/>
      <protection hidden="1"/>
    </xf>
    <xf numFmtId="1" fontId="20" fillId="12" borderId="22" xfId="0" applyNumberFormat="1" applyFont="1" applyFill="1" applyBorder="1" applyAlignment="1" applyProtection="1">
      <alignment horizontal="center" vertical="center"/>
      <protection hidden="1"/>
    </xf>
    <xf numFmtId="0" fontId="25" fillId="0" borderId="3" xfId="0" applyFont="1" applyFill="1" applyBorder="1" applyAlignment="1">
      <alignment horizontal="left"/>
    </xf>
    <xf numFmtId="181" fontId="3" fillId="9" borderId="51" xfId="0" applyNumberFormat="1" applyFont="1" applyFill="1" applyBorder="1" applyAlignment="1" applyProtection="1">
      <alignment horizontal="center"/>
      <protection hidden="1"/>
    </xf>
    <xf numFmtId="0" fontId="0" fillId="13" borderId="0" xfId="0" applyFont="1" applyFill="1" applyBorder="1" applyProtection="1">
      <protection locked="0"/>
    </xf>
    <xf numFmtId="0" fontId="25" fillId="0" borderId="22" xfId="0" applyFont="1" applyFill="1" applyBorder="1" applyAlignment="1">
      <alignment horizontal="left"/>
    </xf>
    <xf numFmtId="177" fontId="18" fillId="0" borderId="4" xfId="0" applyNumberFormat="1" applyFont="1" applyFill="1" applyBorder="1" applyAlignment="1" applyProtection="1">
      <alignment horizontal="left"/>
      <protection hidden="1"/>
    </xf>
    <xf numFmtId="0" fontId="0" fillId="0" borderId="37" xfId="0" applyBorder="1" applyProtection="1">
      <protection locked="0"/>
    </xf>
    <xf numFmtId="177" fontId="6" fillId="0" borderId="21" xfId="0" applyNumberFormat="1" applyFont="1" applyFill="1" applyBorder="1" applyAlignment="1" applyProtection="1">
      <alignment horizontal="left"/>
      <protection hidden="1"/>
    </xf>
    <xf numFmtId="0" fontId="1" fillId="0" borderId="0" xfId="0" applyNumberFormat="1" applyFont="1" applyFill="1" applyBorder="1" applyAlignment="1" applyProtection="1">
      <alignment horizontal="center" vertical="top" wrapText="1"/>
    </xf>
    <xf numFmtId="0" fontId="2" fillId="0" borderId="0" xfId="0" applyNumberFormat="1" applyFont="1" applyFill="1" applyBorder="1" applyAlignment="1" applyProtection="1">
      <alignment vertical="top" wrapText="1"/>
    </xf>
    <xf numFmtId="0" fontId="5" fillId="0" borderId="0" xfId="0" applyFont="1" applyFill="1" applyAlignment="1" applyProtection="1">
      <alignment horizontal="right" vertical="center"/>
      <protection hidden="1"/>
    </xf>
    <xf numFmtId="0" fontId="5" fillId="0" borderId="1" xfId="0" applyFont="1" applyFill="1" applyBorder="1" applyAlignment="1" applyProtection="1">
      <alignment horizontal="right" vertical="center"/>
      <protection hidden="1"/>
    </xf>
    <xf numFmtId="177" fontId="6" fillId="0" borderId="2" xfId="0" applyNumberFormat="1" applyFont="1" applyFill="1" applyBorder="1" applyAlignment="1" applyProtection="1">
      <alignment horizontal="center" vertical="center"/>
      <protection hidden="1"/>
    </xf>
    <xf numFmtId="177" fontId="6" fillId="0" borderId="3" xfId="0" applyNumberFormat="1" applyFont="1" applyFill="1" applyBorder="1" applyAlignment="1" applyProtection="1">
      <alignment horizontal="center" vertical="center"/>
      <protection hidden="1"/>
    </xf>
    <xf numFmtId="177" fontId="6" fillId="0" borderId="4" xfId="0" applyNumberFormat="1" applyFont="1" applyFill="1" applyBorder="1" applyAlignment="1" applyProtection="1">
      <alignment horizontal="center" vertical="center"/>
      <protection hidden="1"/>
    </xf>
    <xf numFmtId="177" fontId="3" fillId="0" borderId="17" xfId="0" applyNumberFormat="1" applyFont="1" applyFill="1" applyBorder="1" applyAlignment="1" applyProtection="1">
      <alignment horizontal="left"/>
      <protection hidden="1"/>
    </xf>
    <xf numFmtId="177" fontId="9" fillId="0" borderId="18" xfId="0" applyNumberFormat="1" applyFont="1" applyFill="1" applyBorder="1" applyAlignment="1" applyProtection="1">
      <alignment horizontal="left" vertical="center" wrapText="1"/>
      <protection hidden="1"/>
    </xf>
    <xf numFmtId="177" fontId="9" fillId="0" borderId="4" xfId="0" applyNumberFormat="1" applyFont="1" applyFill="1" applyBorder="1" applyAlignment="1" applyProtection="1">
      <alignment horizontal="left" vertical="center" wrapText="1"/>
      <protection hidden="1"/>
    </xf>
    <xf numFmtId="177" fontId="9" fillId="0" borderId="24" xfId="0" applyNumberFormat="1" applyFont="1" applyFill="1" applyBorder="1" applyAlignment="1" applyProtection="1">
      <alignment horizontal="left" vertical="center" wrapText="1"/>
      <protection hidden="1"/>
    </xf>
    <xf numFmtId="0" fontId="7" fillId="0" borderId="37" xfId="0" applyFont="1" applyFill="1" applyBorder="1" applyAlignment="1" applyProtection="1">
      <alignment horizontal="center"/>
      <protection locked="0"/>
    </xf>
    <xf numFmtId="177" fontId="9" fillId="0" borderId="27" xfId="0" applyNumberFormat="1" applyFont="1" applyFill="1" applyBorder="1" applyAlignment="1" applyProtection="1">
      <alignment horizontal="left" vertical="center" wrapText="1"/>
      <protection hidden="1"/>
    </xf>
    <xf numFmtId="0" fontId="7" fillId="2" borderId="14" xfId="0" applyFont="1" applyFill="1" applyBorder="1" applyAlignment="1" applyProtection="1">
      <alignment horizontal="left" vertical="center" shrinkToFit="1"/>
      <protection locked="0"/>
    </xf>
    <xf numFmtId="0" fontId="7" fillId="2" borderId="15" xfId="0" applyFont="1" applyFill="1" applyBorder="1" applyAlignment="1" applyProtection="1">
      <alignment horizontal="left" vertical="center" shrinkToFit="1"/>
      <protection locked="0"/>
    </xf>
    <xf numFmtId="177" fontId="6" fillId="2" borderId="52" xfId="0" applyNumberFormat="1" applyFont="1" applyFill="1" applyBorder="1" applyAlignment="1" applyProtection="1">
      <alignment horizontal="center"/>
      <protection locked="0"/>
    </xf>
    <xf numFmtId="177" fontId="6" fillId="2" borderId="53" xfId="0" applyNumberFormat="1" applyFont="1" applyFill="1" applyBorder="1" applyAlignment="1" applyProtection="1">
      <alignment horizontal="center"/>
      <protection locked="0"/>
    </xf>
    <xf numFmtId="177" fontId="9" fillId="0" borderId="32" xfId="0" applyNumberFormat="1" applyFont="1" applyFill="1" applyBorder="1" applyAlignment="1" applyProtection="1">
      <alignment horizontal="left" vertical="center" wrapText="1"/>
      <protection hidden="1"/>
    </xf>
    <xf numFmtId="177" fontId="9" fillId="0" borderId="22" xfId="0" applyNumberFormat="1" applyFont="1" applyFill="1" applyBorder="1" applyAlignment="1" applyProtection="1">
      <alignment horizontal="left" vertical="center" wrapText="1"/>
      <protection hidden="1"/>
    </xf>
    <xf numFmtId="177" fontId="5" fillId="0" borderId="18" xfId="0" applyNumberFormat="1" applyFont="1" applyFill="1" applyBorder="1" applyAlignment="1" applyProtection="1">
      <alignment horizontal="right" vertical="center"/>
      <protection hidden="1"/>
    </xf>
    <xf numFmtId="177" fontId="5" fillId="0" borderId="33" xfId="0" applyNumberFormat="1" applyFont="1" applyFill="1" applyBorder="1" applyAlignment="1" applyProtection="1">
      <alignment horizontal="right" vertical="center"/>
      <protection hidden="1"/>
    </xf>
    <xf numFmtId="0" fontId="7" fillId="2" borderId="9" xfId="0" applyFont="1" applyFill="1" applyBorder="1" applyAlignment="1" applyProtection="1">
      <alignment horizontal="center" shrinkToFit="1"/>
      <protection locked="0"/>
    </xf>
    <xf numFmtId="177" fontId="6" fillId="2" borderId="54" xfId="0" applyNumberFormat="1" applyFont="1" applyFill="1" applyBorder="1" applyAlignment="1" applyProtection="1">
      <alignment horizontal="center"/>
      <protection locked="0"/>
    </xf>
    <xf numFmtId="177" fontId="6" fillId="0" borderId="36" xfId="0" applyNumberFormat="1" applyFont="1" applyFill="1" applyBorder="1" applyAlignment="1" applyProtection="1">
      <alignment horizontal="center" vertical="center"/>
      <protection hidden="1"/>
    </xf>
    <xf numFmtId="177" fontId="5" fillId="0" borderId="0" xfId="0" applyNumberFormat="1" applyFont="1" applyFill="1" applyBorder="1" applyAlignment="1" applyProtection="1">
      <alignment horizontal="right" vertical="center"/>
      <protection hidden="1"/>
    </xf>
    <xf numFmtId="177" fontId="6" fillId="0" borderId="0" xfId="0" applyNumberFormat="1" applyFont="1" applyFill="1" applyBorder="1" applyAlignment="1" applyProtection="1">
      <alignment horizontal="center" vertical="center"/>
      <protection hidden="1"/>
    </xf>
    <xf numFmtId="0" fontId="7" fillId="2" borderId="29" xfId="0" applyFont="1" applyFill="1" applyBorder="1" applyAlignment="1" applyProtection="1">
      <alignment horizontal="center" shrinkToFit="1"/>
      <protection locked="0"/>
    </xf>
    <xf numFmtId="0" fontId="7" fillId="2" borderId="12" xfId="0" applyFont="1" applyFill="1" applyBorder="1" applyAlignment="1" applyProtection="1">
      <alignment horizontal="center" shrinkToFit="1"/>
      <protection locked="0"/>
    </xf>
    <xf numFmtId="0" fontId="7" fillId="2" borderId="6" xfId="0" applyFont="1" applyFill="1" applyBorder="1" applyAlignment="1" applyProtection="1">
      <alignment horizontal="center" shrinkToFit="1"/>
      <protection locked="0"/>
    </xf>
    <xf numFmtId="177" fontId="6" fillId="0" borderId="55" xfId="0" applyNumberFormat="1" applyFont="1" applyFill="1" applyBorder="1" applyAlignment="1" applyProtection="1">
      <alignment horizontal="center"/>
      <protection hidden="1"/>
    </xf>
    <xf numFmtId="177" fontId="6" fillId="0" borderId="41" xfId="0" applyNumberFormat="1" applyFont="1" applyFill="1" applyBorder="1" applyAlignment="1" applyProtection="1">
      <alignment horizontal="center"/>
      <protection hidden="1"/>
    </xf>
    <xf numFmtId="177" fontId="6" fillId="2" borderId="56" xfId="0" applyNumberFormat="1" applyFont="1" applyFill="1" applyBorder="1" applyAlignment="1" applyProtection="1">
      <alignment horizontal="center"/>
      <protection locked="0"/>
    </xf>
    <xf numFmtId="0" fontId="7" fillId="2" borderId="7" xfId="0" applyFont="1" applyFill="1" applyBorder="1" applyAlignment="1" applyProtection="1">
      <alignment horizontal="center" shrinkToFit="1"/>
      <protection locked="0"/>
    </xf>
    <xf numFmtId="177" fontId="6" fillId="0" borderId="46" xfId="0" applyNumberFormat="1" applyFont="1" applyFill="1" applyBorder="1" applyAlignment="1" applyProtection="1">
      <alignment horizontal="center"/>
      <protection hidden="1"/>
    </xf>
    <xf numFmtId="0" fontId="10" fillId="0" borderId="12" xfId="0" applyFont="1" applyFill="1" applyBorder="1" applyAlignment="1" applyProtection="1">
      <alignment horizontal="center"/>
      <protection locked="0"/>
    </xf>
    <xf numFmtId="0" fontId="10" fillId="0" borderId="6" xfId="0" applyFont="1" applyFill="1" applyBorder="1" applyAlignment="1" applyProtection="1">
      <alignment horizontal="center"/>
      <protection locked="0"/>
    </xf>
    <xf numFmtId="0" fontId="10" fillId="0" borderId="16" xfId="0" applyFont="1" applyFill="1" applyBorder="1" applyAlignment="1" applyProtection="1">
      <alignment horizontal="center" shrinkToFit="1"/>
      <protection locked="0"/>
    </xf>
    <xf numFmtId="0" fontId="10" fillId="0" borderId="14" xfId="0" applyFont="1" applyFill="1" applyBorder="1" applyAlignment="1" applyProtection="1">
      <alignment horizontal="center" shrinkToFit="1"/>
      <protection locked="0"/>
    </xf>
    <xf numFmtId="0" fontId="10" fillId="0" borderId="7" xfId="0" applyFont="1" applyFill="1" applyBorder="1" applyAlignment="1" applyProtection="1">
      <alignment horizontal="center"/>
      <protection locked="0"/>
    </xf>
    <xf numFmtId="0" fontId="10" fillId="0" borderId="15" xfId="0" applyFont="1" applyFill="1" applyBorder="1" applyAlignment="1" applyProtection="1">
      <alignment horizontal="center" shrinkToFit="1"/>
      <protection locked="0"/>
    </xf>
    <xf numFmtId="177" fontId="6" fillId="2" borderId="52" xfId="0" applyNumberFormat="1" applyFont="1" applyFill="1" applyBorder="1" applyAlignment="1" applyProtection="1">
      <alignment horizontal="center"/>
      <protection hidden="1"/>
    </xf>
    <xf numFmtId="177" fontId="6" fillId="2" borderId="53" xfId="0" applyNumberFormat="1" applyFont="1" applyFill="1" applyBorder="1" applyAlignment="1" applyProtection="1">
      <alignment horizontal="center"/>
      <protection hidden="1"/>
    </xf>
    <xf numFmtId="177" fontId="6" fillId="2" borderId="54" xfId="0" applyNumberFormat="1" applyFont="1" applyFill="1" applyBorder="1" applyAlignment="1" applyProtection="1">
      <alignment horizontal="center"/>
      <protection hidden="1"/>
    </xf>
    <xf numFmtId="177" fontId="3" fillId="0" borderId="21" xfId="0" applyNumberFormat="1" applyFont="1" applyFill="1" applyBorder="1" applyAlignment="1" applyProtection="1">
      <alignment horizontal="left"/>
      <protection hidden="1"/>
    </xf>
    <xf numFmtId="177" fontId="9" fillId="0" borderId="57" xfId="0" applyNumberFormat="1" applyFont="1" applyFill="1" applyBorder="1" applyAlignment="1" applyProtection="1">
      <alignment horizontal="left" vertical="center" wrapText="1"/>
      <protection hidden="1"/>
    </xf>
    <xf numFmtId="177" fontId="9" fillId="0" borderId="25" xfId="0" applyNumberFormat="1" applyFont="1" applyFill="1" applyBorder="1" applyAlignment="1" applyProtection="1">
      <alignment horizontal="left" vertical="center" wrapText="1"/>
      <protection hidden="1"/>
    </xf>
    <xf numFmtId="0" fontId="7" fillId="2" borderId="16" xfId="0" applyFont="1" applyFill="1" applyBorder="1" applyAlignment="1" applyProtection="1">
      <alignment horizontal="left" vertical="center" shrinkToFit="1"/>
      <protection locked="0"/>
    </xf>
    <xf numFmtId="0" fontId="7" fillId="0" borderId="26" xfId="0" applyFont="1" applyFill="1" applyBorder="1" applyAlignment="1" applyProtection="1">
      <alignment horizontal="center"/>
      <protection locked="0"/>
    </xf>
    <xf numFmtId="0" fontId="7" fillId="0" borderId="47" xfId="0" applyFont="1" applyFill="1" applyBorder="1" applyAlignment="1" applyProtection="1">
      <alignment horizontal="center"/>
      <protection locked="0"/>
    </xf>
    <xf numFmtId="177" fontId="9" fillId="0" borderId="34" xfId="0" applyNumberFormat="1" applyFont="1" applyFill="1" applyBorder="1" applyAlignment="1" applyProtection="1">
      <alignment horizontal="left" vertical="center" wrapText="1"/>
      <protection hidden="1"/>
    </xf>
    <xf numFmtId="0" fontId="7" fillId="0" borderId="41" xfId="0" applyFont="1" applyFill="1" applyBorder="1" applyAlignment="1" applyProtection="1">
      <alignment horizontal="center"/>
      <protection locked="0"/>
    </xf>
    <xf numFmtId="0" fontId="7" fillId="0" borderId="58" xfId="0" applyFont="1" applyFill="1" applyBorder="1" applyAlignment="1" applyProtection="1">
      <alignment horizontal="center"/>
      <protection locked="0"/>
    </xf>
    <xf numFmtId="177" fontId="9" fillId="0" borderId="59" xfId="0" applyNumberFormat="1" applyFont="1" applyFill="1" applyBorder="1" applyAlignment="1" applyProtection="1">
      <alignment horizontal="left" vertical="center" wrapText="1"/>
      <protection hidden="1"/>
    </xf>
    <xf numFmtId="177" fontId="6" fillId="0" borderId="47" xfId="0" applyNumberFormat="1" applyFont="1" applyFill="1" applyBorder="1" applyAlignment="1" applyProtection="1">
      <alignment horizontal="center"/>
      <protection hidden="1"/>
    </xf>
    <xf numFmtId="177" fontId="6" fillId="0" borderId="43" xfId="0" applyNumberFormat="1" applyFont="1" applyFill="1" applyBorder="1" applyAlignment="1" applyProtection="1">
      <alignment horizontal="center"/>
      <protection hidden="1"/>
    </xf>
    <xf numFmtId="177" fontId="6" fillId="0" borderId="48" xfId="0" applyNumberFormat="1" applyFont="1" applyFill="1" applyBorder="1" applyAlignment="1" applyProtection="1">
      <alignment horizontal="center"/>
      <protection hidden="1"/>
    </xf>
    <xf numFmtId="177" fontId="6" fillId="0" borderId="3" xfId="0" applyNumberFormat="1" applyFont="1" applyFill="1" applyBorder="1" applyAlignment="1" applyProtection="1">
      <alignment horizontal="center" vertical="center" shrinkToFit="1"/>
      <protection hidden="1"/>
    </xf>
    <xf numFmtId="177" fontId="6" fillId="0" borderId="4" xfId="0" applyNumberFormat="1" applyFont="1" applyFill="1" applyBorder="1" applyAlignment="1" applyProtection="1">
      <alignment horizontal="center" vertical="center" shrinkToFit="1"/>
      <protection hidden="1"/>
    </xf>
    <xf numFmtId="177" fontId="6" fillId="0" borderId="60" xfId="0" applyNumberFormat="1" applyFont="1" applyFill="1" applyBorder="1" applyAlignment="1" applyProtection="1">
      <alignment horizontal="center"/>
      <protection hidden="1"/>
    </xf>
    <xf numFmtId="177" fontId="6" fillId="0" borderId="61" xfId="0" applyNumberFormat="1" applyFont="1" applyFill="1" applyBorder="1" applyAlignment="1" applyProtection="1">
      <alignment horizontal="center"/>
      <protection hidden="1"/>
    </xf>
    <xf numFmtId="177" fontId="6" fillId="0" borderId="21" xfId="0" applyNumberFormat="1" applyFont="1" applyFill="1" applyBorder="1" applyAlignment="1" applyProtection="1">
      <alignment horizontal="center"/>
      <protection hidden="1"/>
    </xf>
    <xf numFmtId="177" fontId="6" fillId="0" borderId="4" xfId="0" applyNumberFormat="1" applyFont="1" applyFill="1" applyBorder="1" applyAlignment="1" applyProtection="1">
      <alignment horizontal="center"/>
      <protection hidden="1"/>
    </xf>
    <xf numFmtId="177" fontId="6" fillId="0" borderId="30" xfId="0" applyNumberFormat="1" applyFont="1" applyFill="1" applyBorder="1" applyAlignment="1" applyProtection="1">
      <alignment horizontal="center"/>
      <protection hidden="1"/>
    </xf>
    <xf numFmtId="177" fontId="6" fillId="0" borderId="31" xfId="0" applyNumberFormat="1" applyFont="1" applyFill="1" applyBorder="1" applyAlignment="1" applyProtection="1">
      <alignment horizontal="center"/>
      <protection hidden="1"/>
    </xf>
    <xf numFmtId="177" fontId="6" fillId="0" borderId="36" xfId="0" applyNumberFormat="1" applyFont="1" applyFill="1" applyBorder="1" applyAlignment="1" applyProtection="1">
      <alignment horizontal="center" vertical="center" shrinkToFit="1"/>
      <protection hidden="1"/>
    </xf>
    <xf numFmtId="177" fontId="6" fillId="0" borderId="33" xfId="0" applyNumberFormat="1" applyFont="1" applyFill="1" applyBorder="1" applyAlignment="1" applyProtection="1">
      <alignment horizontal="center"/>
      <protection hidden="1"/>
    </xf>
    <xf numFmtId="177" fontId="6" fillId="0" borderId="62" xfId="0" applyNumberFormat="1" applyFont="1" applyFill="1" applyBorder="1" applyAlignment="1" applyProtection="1">
      <alignment horizontal="center"/>
      <protection hidden="1"/>
    </xf>
    <xf numFmtId="177" fontId="6" fillId="0" borderId="22" xfId="0" applyNumberFormat="1" applyFont="1" applyFill="1" applyBorder="1" applyAlignment="1" applyProtection="1">
      <alignment horizontal="center"/>
      <protection hidden="1"/>
    </xf>
    <xf numFmtId="177" fontId="6" fillId="0" borderId="35" xfId="0" applyNumberFormat="1" applyFont="1" applyFill="1" applyBorder="1" applyAlignment="1" applyProtection="1">
      <alignment horizontal="center"/>
      <protection hidden="1"/>
    </xf>
    <xf numFmtId="177" fontId="26" fillId="0" borderId="9" xfId="0" applyNumberFormat="1" applyFont="1" applyFill="1" applyBorder="1" applyAlignment="1" applyProtection="1">
      <alignment horizontal="center" vertical="center"/>
      <protection hidden="1"/>
    </xf>
    <xf numFmtId="177" fontId="6" fillId="14" borderId="52" xfId="0" applyNumberFormat="1" applyFont="1" applyFill="1" applyBorder="1" applyAlignment="1" applyProtection="1">
      <alignment horizontal="center"/>
      <protection locked="0"/>
    </xf>
    <xf numFmtId="177" fontId="6" fillId="14" borderId="53" xfId="0" applyNumberFormat="1" applyFont="1" applyFill="1" applyBorder="1" applyAlignment="1" applyProtection="1">
      <alignment horizontal="center"/>
      <protection locked="0"/>
    </xf>
    <xf numFmtId="177" fontId="6" fillId="14" borderId="54" xfId="0" applyNumberFormat="1" applyFont="1" applyFill="1" applyBorder="1" applyAlignment="1" applyProtection="1">
      <alignment horizontal="center"/>
      <protection locked="0"/>
    </xf>
    <xf numFmtId="177" fontId="6" fillId="14" borderId="52" xfId="0" applyNumberFormat="1" applyFont="1" applyFill="1" applyBorder="1" applyAlignment="1" applyProtection="1">
      <alignment horizontal="center"/>
      <protection hidden="1"/>
    </xf>
    <xf numFmtId="177" fontId="6" fillId="14" borderId="53" xfId="0" applyNumberFormat="1" applyFont="1" applyFill="1" applyBorder="1" applyAlignment="1" applyProtection="1">
      <alignment horizontal="center"/>
      <protection hidden="1"/>
    </xf>
    <xf numFmtId="177" fontId="26" fillId="0" borderId="29" xfId="0" applyNumberFormat="1" applyFont="1" applyFill="1" applyBorder="1" applyAlignment="1" applyProtection="1">
      <alignment horizontal="center" vertical="center"/>
      <protection hidden="1"/>
    </xf>
    <xf numFmtId="177" fontId="6" fillId="14" borderId="54" xfId="0" applyNumberFormat="1" applyFont="1" applyFill="1" applyBorder="1" applyAlignment="1" applyProtection="1">
      <alignment horizontal="center"/>
      <protection hidden="1"/>
    </xf>
    <xf numFmtId="0" fontId="6" fillId="14" borderId="8" xfId="0" applyFont="1" applyFill="1" applyBorder="1" applyAlignment="1" applyProtection="1">
      <alignment horizontal="center"/>
      <protection hidden="1"/>
    </xf>
    <xf numFmtId="0" fontId="6" fillId="14" borderId="9" xfId="0" applyFont="1" applyFill="1" applyBorder="1" applyAlignment="1" applyProtection="1">
      <alignment horizontal="center"/>
      <protection hidden="1"/>
    </xf>
    <xf numFmtId="0" fontId="6" fillId="14" borderId="29" xfId="0" applyFont="1" applyFill="1" applyBorder="1" applyAlignment="1" applyProtection="1">
      <alignment horizontal="center"/>
      <protection hidden="1"/>
    </xf>
    <xf numFmtId="177" fontId="15" fillId="0" borderId="9" xfId="0" applyNumberFormat="1" applyFont="1" applyFill="1" applyBorder="1" applyAlignment="1" applyProtection="1">
      <alignment horizontal="center" vertical="center"/>
      <protection hidden="1"/>
    </xf>
    <xf numFmtId="177" fontId="15" fillId="0" borderId="29" xfId="0" applyNumberFormat="1" applyFont="1" applyFill="1" applyBorder="1" applyAlignment="1" applyProtection="1">
      <alignment horizontal="center" vertical="center"/>
      <protection hidden="1"/>
    </xf>
    <xf numFmtId="177" fontId="0" fillId="0" borderId="17" xfId="0" applyNumberFormat="1" applyFont="1" applyFill="1" applyBorder="1" applyAlignment="1" applyProtection="1">
      <alignment horizontal="left"/>
      <protection hidden="1"/>
    </xf>
    <xf numFmtId="177" fontId="27" fillId="0" borderId="18" xfId="0" applyNumberFormat="1" applyFont="1" applyFill="1" applyBorder="1" applyAlignment="1" applyProtection="1">
      <alignment horizontal="left" vertical="center" wrapText="1"/>
      <protection locked="0"/>
    </xf>
    <xf numFmtId="177" fontId="27" fillId="0" borderId="4" xfId="0" applyNumberFormat="1" applyFont="1" applyFill="1" applyBorder="1" applyAlignment="1" applyProtection="1">
      <alignment horizontal="left" vertical="center" wrapText="1"/>
      <protection locked="0"/>
    </xf>
    <xf numFmtId="177" fontId="27" fillId="0" borderId="22" xfId="0" applyNumberFormat="1" applyFont="1" applyFill="1" applyBorder="1" applyAlignment="1" applyProtection="1">
      <alignment horizontal="left" vertical="center" wrapText="1"/>
      <protection locked="0"/>
    </xf>
    <xf numFmtId="1" fontId="3" fillId="0" borderId="21" xfId="0" applyNumberFormat="1" applyFont="1" applyFill="1" applyBorder="1" applyAlignment="1" applyProtection="1">
      <alignment horizontal="center"/>
      <protection locked="0"/>
    </xf>
    <xf numFmtId="1" fontId="3" fillId="0" borderId="4" xfId="0" applyNumberFormat="1" applyFont="1" applyFill="1" applyBorder="1" applyAlignment="1" applyProtection="1">
      <alignment horizontal="center"/>
      <protection locked="0"/>
    </xf>
    <xf numFmtId="1" fontId="3" fillId="0" borderId="63" xfId="0" applyNumberFormat="1" applyFont="1" applyFill="1" applyBorder="1" applyAlignment="1" applyProtection="1">
      <alignment horizontal="center"/>
      <protection locked="0"/>
    </xf>
    <xf numFmtId="1" fontId="3" fillId="0" borderId="27" xfId="0" applyNumberFormat="1" applyFont="1" applyFill="1" applyBorder="1" applyAlignment="1" applyProtection="1">
      <alignment horizontal="center"/>
      <protection locked="0"/>
    </xf>
    <xf numFmtId="177" fontId="27" fillId="0" borderId="32" xfId="0" applyNumberFormat="1" applyFont="1" applyFill="1" applyBorder="1" applyAlignment="1" applyProtection="1">
      <alignment horizontal="left" vertical="center" wrapText="1"/>
      <protection locked="0"/>
    </xf>
    <xf numFmtId="1" fontId="3" fillId="0" borderId="22" xfId="0" applyNumberFormat="1" applyFont="1" applyFill="1" applyBorder="1" applyAlignment="1" applyProtection="1">
      <alignment horizontal="center"/>
      <protection locked="0"/>
    </xf>
    <xf numFmtId="1" fontId="3" fillId="0" borderId="59" xfId="0" applyNumberFormat="1" applyFont="1" applyFill="1" applyBorder="1" applyAlignment="1" applyProtection="1">
      <alignment horizontal="center"/>
      <protection locked="0"/>
    </xf>
    <xf numFmtId="1" fontId="6" fillId="0" borderId="21" xfId="0" applyNumberFormat="1" applyFont="1" applyFill="1" applyBorder="1" applyAlignment="1" applyProtection="1">
      <alignment horizontal="center"/>
      <protection locked="0"/>
    </xf>
    <xf numFmtId="1" fontId="6" fillId="0" borderId="4" xfId="0" applyNumberFormat="1" applyFont="1" applyFill="1" applyBorder="1" applyAlignment="1" applyProtection="1">
      <alignment horizontal="center"/>
      <protection locked="0"/>
    </xf>
    <xf numFmtId="1" fontId="6" fillId="0" borderId="22" xfId="0" applyNumberFormat="1" applyFont="1" applyFill="1" applyBorder="1" applyAlignment="1" applyProtection="1">
      <alignment horizontal="center"/>
      <protection locked="0"/>
    </xf>
    <xf numFmtId="177" fontId="3" fillId="0" borderId="4" xfId="0" applyNumberFormat="1" applyFont="1" applyFill="1" applyBorder="1" applyAlignment="1" applyProtection="1">
      <protection hidden="1"/>
    </xf>
    <xf numFmtId="177" fontId="3" fillId="0" borderId="36" xfId="0" applyNumberFormat="1" applyFont="1" applyFill="1" applyBorder="1" applyAlignment="1" applyProtection="1">
      <protection hidden="1"/>
    </xf>
    <xf numFmtId="177" fontId="28" fillId="14" borderId="52" xfId="0" applyNumberFormat="1" applyFont="1" applyFill="1" applyBorder="1" applyAlignment="1" applyProtection="1">
      <alignment horizontal="center"/>
      <protection hidden="1"/>
    </xf>
    <xf numFmtId="177" fontId="28" fillId="14" borderId="53" xfId="0" applyNumberFormat="1" applyFont="1" applyFill="1" applyBorder="1" applyAlignment="1" applyProtection="1">
      <alignment horizontal="center"/>
      <protection hidden="1"/>
    </xf>
    <xf numFmtId="177" fontId="28" fillId="14" borderId="54" xfId="0" applyNumberFormat="1" applyFont="1" applyFill="1" applyBorder="1" applyAlignment="1" applyProtection="1">
      <alignment horizontal="center"/>
      <protection hidden="1"/>
    </xf>
    <xf numFmtId="177" fontId="0" fillId="0" borderId="21" xfId="0" applyNumberFormat="1" applyFont="1" applyFill="1" applyBorder="1" applyAlignment="1" applyProtection="1">
      <alignment horizontal="left"/>
      <protection hidden="1"/>
    </xf>
    <xf numFmtId="177" fontId="6" fillId="0" borderId="3" xfId="0" applyNumberFormat="1" applyFont="1" applyFill="1" applyBorder="1" applyAlignment="1" applyProtection="1">
      <alignment horizontal="center"/>
      <protection hidden="1"/>
    </xf>
    <xf numFmtId="0" fontId="7" fillId="0" borderId="64" xfId="0" applyFont="1" applyFill="1" applyBorder="1" applyAlignment="1" applyProtection="1">
      <alignment horizontal="center"/>
      <protection locked="0"/>
    </xf>
    <xf numFmtId="177" fontId="0" fillId="0" borderId="65" xfId="0" applyNumberFormat="1" applyFont="1" applyFill="1" applyBorder="1" applyAlignment="1" applyProtection="1">
      <alignment horizontal="left"/>
      <protection hidden="1"/>
    </xf>
    <xf numFmtId="0" fontId="7" fillId="0" borderId="0" xfId="0" applyFont="1" applyFill="1" applyBorder="1" applyAlignment="1" applyProtection="1">
      <alignment horizontal="center"/>
      <protection locked="0"/>
    </xf>
    <xf numFmtId="177" fontId="0" fillId="0" borderId="4" xfId="0" applyNumberFormat="1" applyFont="1" applyFill="1" applyBorder="1" applyAlignment="1" applyProtection="1">
      <protection hidden="1"/>
    </xf>
    <xf numFmtId="177" fontId="0" fillId="0" borderId="36" xfId="0" applyNumberFormat="1" applyFont="1" applyFill="1" applyBorder="1" applyAlignment="1" applyProtection="1">
      <protection hidden="1"/>
    </xf>
    <xf numFmtId="177" fontId="6" fillId="0" borderId="36" xfId="0" applyNumberFormat="1" applyFont="1" applyFill="1" applyBorder="1" applyAlignment="1" applyProtection="1">
      <alignment horizontal="center"/>
      <protection hidden="1"/>
    </xf>
    <xf numFmtId="0" fontId="7" fillId="0" borderId="66" xfId="0" applyFont="1" applyFill="1" applyBorder="1" applyAlignment="1" applyProtection="1">
      <alignment horizontal="center"/>
      <protection locked="0"/>
    </xf>
    <xf numFmtId="177" fontId="0" fillId="0" borderId="22" xfId="0" applyNumberFormat="1" applyFont="1" applyFill="1" applyBorder="1" applyAlignment="1" applyProtection="1">
      <protection hidden="1"/>
    </xf>
    <xf numFmtId="177" fontId="0" fillId="0" borderId="4" xfId="0" applyNumberFormat="1" applyFont="1" applyFill="1" applyBorder="1" applyAlignment="1" applyProtection="1">
      <alignment horizontal="left"/>
      <protection hidden="1"/>
    </xf>
    <xf numFmtId="177" fontId="0" fillId="0" borderId="22" xfId="0" applyNumberFormat="1" applyFont="1" applyFill="1" applyBorder="1" applyAlignment="1" applyProtection="1">
      <alignment horizontal="left"/>
      <protection hidden="1"/>
    </xf>
    <xf numFmtId="177" fontId="6" fillId="0" borderId="19" xfId="0" applyNumberFormat="1" applyFont="1" applyFill="1" applyBorder="1" applyAlignment="1" applyProtection="1">
      <alignment horizontal="center"/>
      <protection hidden="1"/>
    </xf>
    <xf numFmtId="177" fontId="6" fillId="0" borderId="20" xfId="0" applyNumberFormat="1" applyFont="1" applyFill="1" applyBorder="1" applyAlignment="1" applyProtection="1">
      <alignment horizontal="center"/>
      <protection hidden="1"/>
    </xf>
    <xf numFmtId="177" fontId="6" fillId="14" borderId="30" xfId="0" applyNumberFormat="1" applyFont="1" applyFill="1" applyBorder="1" applyAlignment="1" applyProtection="1">
      <alignment horizontal="center"/>
      <protection locked="0"/>
    </xf>
    <xf numFmtId="177" fontId="6" fillId="14" borderId="31" xfId="0" applyNumberFormat="1" applyFont="1" applyFill="1" applyBorder="1" applyAlignment="1" applyProtection="1">
      <alignment horizontal="center"/>
      <protection locked="0"/>
    </xf>
    <xf numFmtId="177" fontId="6" fillId="14" borderId="35" xfId="0" applyNumberFormat="1" applyFont="1" applyFill="1" applyBorder="1" applyAlignment="1" applyProtection="1">
      <alignment horizontal="center"/>
      <protection locked="0"/>
    </xf>
    <xf numFmtId="177" fontId="6" fillId="14" borderId="30" xfId="0" applyNumberFormat="1" applyFont="1" applyFill="1" applyBorder="1" applyAlignment="1" applyProtection="1">
      <alignment horizontal="center"/>
      <protection hidden="1"/>
    </xf>
    <xf numFmtId="177" fontId="6" fillId="14" borderId="31" xfId="0" applyNumberFormat="1" applyFont="1" applyFill="1" applyBorder="1" applyAlignment="1" applyProtection="1">
      <alignment horizontal="center"/>
      <protection hidden="1"/>
    </xf>
    <xf numFmtId="177" fontId="6" fillId="0" borderId="34" xfId="0" applyNumberFormat="1" applyFont="1" applyFill="1" applyBorder="1" applyAlignment="1" applyProtection="1">
      <alignment horizontal="center"/>
      <protection hidden="1"/>
    </xf>
    <xf numFmtId="0" fontId="6" fillId="0" borderId="12" xfId="0" applyFont="1" applyFill="1" applyBorder="1" applyAlignment="1" applyProtection="1">
      <alignment horizontal="center"/>
      <protection hidden="1"/>
    </xf>
    <xf numFmtId="0" fontId="6" fillId="0" borderId="6" xfId="0" applyFont="1" applyFill="1" applyBorder="1" applyAlignment="1" applyProtection="1">
      <alignment horizontal="center"/>
      <protection hidden="1"/>
    </xf>
    <xf numFmtId="0" fontId="6" fillId="0" borderId="7" xfId="0" applyFont="1" applyFill="1" applyBorder="1" applyAlignment="1" applyProtection="1">
      <alignment horizontal="center"/>
      <protection hidden="1"/>
    </xf>
    <xf numFmtId="177" fontId="6" fillId="14" borderId="35" xfId="0" applyNumberFormat="1" applyFont="1" applyFill="1" applyBorder="1" applyAlignment="1" applyProtection="1">
      <alignment horizontal="center"/>
      <protection hidden="1"/>
    </xf>
    <xf numFmtId="0" fontId="6" fillId="14" borderId="16" xfId="0" applyFont="1" applyFill="1" applyBorder="1" applyAlignment="1" applyProtection="1">
      <alignment horizontal="center"/>
      <protection hidden="1"/>
    </xf>
    <xf numFmtId="0" fontId="6" fillId="14" borderId="14" xfId="0" applyFont="1" applyFill="1" applyBorder="1" applyAlignment="1" applyProtection="1">
      <alignment horizontal="center"/>
      <protection hidden="1"/>
    </xf>
    <xf numFmtId="0" fontId="6" fillId="14" borderId="15" xfId="0" applyFont="1" applyFill="1" applyBorder="1" applyAlignment="1" applyProtection="1">
      <alignment horizontal="center"/>
      <protection hidden="1"/>
    </xf>
    <xf numFmtId="0" fontId="2" fillId="0" borderId="0" xfId="0" applyNumberFormat="1" applyFont="1" applyFill="1" applyBorder="1" applyAlignment="1" applyProtection="1">
      <alignment horizontal="center" vertical="top" wrapText="1"/>
    </xf>
    <xf numFmtId="0" fontId="6" fillId="0" borderId="2" xfId="0" applyFont="1" applyFill="1" applyBorder="1" applyAlignment="1" applyProtection="1">
      <alignment horizontal="center" vertical="center"/>
      <protection locked="0"/>
    </xf>
    <xf numFmtId="0" fontId="6" fillId="0" borderId="3" xfId="0" applyFont="1" applyFill="1" applyBorder="1" applyAlignment="1" applyProtection="1">
      <alignment horizontal="center" vertical="center"/>
      <protection locked="0"/>
    </xf>
    <xf numFmtId="0" fontId="6" fillId="0" borderId="4" xfId="0" applyFont="1" applyFill="1" applyBorder="1" applyAlignment="1" applyProtection="1">
      <alignment horizontal="center" vertical="center"/>
      <protection locked="0"/>
    </xf>
    <xf numFmtId="0" fontId="3" fillId="0" borderId="0" xfId="0" applyFont="1" applyFill="1" applyAlignment="1" applyProtection="1">
      <alignment horizontal="center"/>
      <protection hidden="1"/>
    </xf>
    <xf numFmtId="0" fontId="7" fillId="0" borderId="8" xfId="0" applyFont="1" applyFill="1" applyBorder="1" applyAlignment="1" applyProtection="1">
      <alignment horizontal="center" vertical="center"/>
      <protection locked="0"/>
    </xf>
    <xf numFmtId="0" fontId="7" fillId="0" borderId="9" xfId="0" applyFont="1" applyFill="1" applyBorder="1" applyAlignment="1" applyProtection="1">
      <alignment horizontal="center" vertical="center"/>
      <protection locked="0"/>
    </xf>
    <xf numFmtId="0" fontId="7" fillId="0" borderId="29" xfId="0" applyFont="1" applyFill="1" applyBorder="1" applyAlignment="1" applyProtection="1">
      <alignment horizontal="center" vertical="center"/>
      <protection locked="0"/>
    </xf>
    <xf numFmtId="0" fontId="7" fillId="0" borderId="67" xfId="0" applyFont="1" applyFill="1" applyBorder="1" applyAlignment="1" applyProtection="1">
      <alignment horizontal="center" vertical="center" textRotation="90" shrinkToFit="1"/>
      <protection locked="0"/>
    </xf>
    <xf numFmtId="0" fontId="5" fillId="0" borderId="12" xfId="0" applyFont="1" applyFill="1" applyBorder="1" applyAlignment="1" applyProtection="1">
      <alignment horizontal="center" vertical="center" wrapText="1"/>
      <protection locked="0"/>
    </xf>
    <xf numFmtId="0" fontId="5" fillId="0" borderId="6" xfId="0" applyFont="1" applyFill="1" applyBorder="1" applyAlignment="1" applyProtection="1">
      <alignment horizontal="center" vertical="center" wrapText="1"/>
      <protection locked="0"/>
    </xf>
    <xf numFmtId="0" fontId="5" fillId="0" borderId="7"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protection locked="0"/>
    </xf>
    <xf numFmtId="0" fontId="7" fillId="0" borderId="8" xfId="0" applyFont="1" applyFill="1" applyBorder="1" applyAlignment="1" applyProtection="1">
      <alignment horizontal="center"/>
      <protection locked="0"/>
    </xf>
    <xf numFmtId="0" fontId="7" fillId="0" borderId="9" xfId="0" applyFont="1" applyFill="1" applyBorder="1" applyAlignment="1" applyProtection="1">
      <alignment horizontal="center"/>
      <protection locked="0"/>
    </xf>
    <xf numFmtId="0" fontId="7" fillId="0" borderId="29" xfId="0" applyFont="1" applyFill="1" applyBorder="1" applyAlignment="1" applyProtection="1">
      <alignment horizontal="center"/>
      <protection locked="0"/>
    </xf>
    <xf numFmtId="0" fontId="7" fillId="0" borderId="67" xfId="0" applyFont="1" applyFill="1" applyBorder="1" applyAlignment="1" applyProtection="1">
      <alignment horizontal="center" shrinkToFit="1"/>
      <protection locked="0"/>
    </xf>
    <xf numFmtId="0" fontId="7" fillId="0" borderId="8" xfId="0" applyFont="1" applyFill="1" applyBorder="1" applyAlignment="1" applyProtection="1">
      <alignment horizontal="center" shrinkToFit="1"/>
      <protection locked="0"/>
    </xf>
    <xf numFmtId="0" fontId="7" fillId="0" borderId="9" xfId="0" applyFont="1" applyFill="1" applyBorder="1" applyAlignment="1" applyProtection="1">
      <alignment horizontal="center" shrinkToFit="1"/>
      <protection locked="0"/>
    </xf>
    <xf numFmtId="0" fontId="7" fillId="0" borderId="29" xfId="0" applyFont="1" applyFill="1" applyBorder="1" applyAlignment="1" applyProtection="1">
      <alignment horizontal="center" shrinkToFit="1"/>
      <protection locked="0"/>
    </xf>
    <xf numFmtId="0" fontId="7" fillId="0" borderId="23" xfId="0" applyFont="1" applyFill="1" applyBorder="1" applyAlignment="1" applyProtection="1">
      <alignment horizontal="center" shrinkToFit="1"/>
      <protection locked="0"/>
    </xf>
    <xf numFmtId="0" fontId="7" fillId="0" borderId="0" xfId="0" applyFont="1" applyFill="1" applyBorder="1" applyAlignment="1" applyProtection="1">
      <alignment horizontal="center" shrinkToFit="1"/>
      <protection locked="0"/>
    </xf>
    <xf numFmtId="0" fontId="3" fillId="0" borderId="23" xfId="0" applyFont="1" applyFill="1" applyBorder="1" applyAlignment="1" applyProtection="1">
      <alignment horizontal="center"/>
      <protection locked="0"/>
    </xf>
    <xf numFmtId="0" fontId="3" fillId="0" borderId="0" xfId="0" applyFont="1" applyFill="1" applyBorder="1" applyAlignment="1" applyProtection="1">
      <alignment horizontal="center"/>
      <protection locked="0"/>
    </xf>
    <xf numFmtId="0" fontId="3" fillId="0" borderId="18" xfId="0" applyFont="1" applyFill="1" applyBorder="1" applyAlignment="1" applyProtection="1">
      <protection locked="0"/>
    </xf>
    <xf numFmtId="0" fontId="3" fillId="0" borderId="32" xfId="0" applyFont="1" applyFill="1" applyBorder="1" applyAlignment="1" applyProtection="1">
      <protection locked="0"/>
    </xf>
    <xf numFmtId="0" fontId="7" fillId="0" borderId="19" xfId="0" applyFont="1" applyFill="1" applyBorder="1" applyAlignment="1" applyProtection="1">
      <alignment horizontal="center"/>
      <protection locked="0"/>
    </xf>
    <xf numFmtId="0" fontId="29" fillId="0" borderId="68" xfId="0" applyFont="1" applyBorder="1" applyAlignment="1">
      <alignment horizontal="left" vertical="center" wrapText="1"/>
    </xf>
    <xf numFmtId="0" fontId="29" fillId="0" borderId="69" xfId="0" applyFont="1" applyBorder="1" applyAlignment="1">
      <alignment horizontal="left" vertical="center" wrapText="1"/>
    </xf>
    <xf numFmtId="0" fontId="29" fillId="0" borderId="70" xfId="0" applyFont="1" applyBorder="1" applyAlignment="1">
      <alignment horizontal="left" vertical="center" wrapText="1"/>
    </xf>
    <xf numFmtId="0" fontId="7" fillId="0" borderId="63" xfId="0" applyFont="1" applyFill="1" applyBorder="1" applyAlignment="1" applyProtection="1">
      <alignment horizontal="center"/>
      <protection locked="0"/>
    </xf>
    <xf numFmtId="0" fontId="29" fillId="0" borderId="24" xfId="0" applyFont="1" applyBorder="1" applyAlignment="1">
      <alignment horizontal="left" vertical="center" wrapText="1"/>
    </xf>
    <xf numFmtId="177" fontId="16" fillId="2" borderId="63" xfId="0" applyNumberFormat="1" applyFont="1" applyFill="1" applyBorder="1" applyAlignment="1" applyProtection="1">
      <alignment horizontal="left" vertical="center" shrinkToFit="1"/>
      <protection locked="0"/>
    </xf>
    <xf numFmtId="177" fontId="16" fillId="2" borderId="27" xfId="0" applyNumberFormat="1" applyFont="1" applyFill="1" applyBorder="1" applyAlignment="1" applyProtection="1">
      <alignment horizontal="left" vertical="center" shrinkToFit="1"/>
      <protection locked="0"/>
    </xf>
    <xf numFmtId="177" fontId="16" fillId="2" borderId="59" xfId="0" applyNumberFormat="1" applyFont="1" applyFill="1" applyBorder="1" applyAlignment="1" applyProtection="1">
      <alignment horizontal="left" vertical="center" shrinkToFit="1"/>
      <protection locked="0"/>
    </xf>
    <xf numFmtId="0" fontId="5" fillId="0" borderId="18" xfId="0" applyFont="1" applyFill="1" applyBorder="1" applyAlignment="1" applyProtection="1">
      <alignment horizontal="right" vertical="center"/>
      <protection hidden="1"/>
    </xf>
    <xf numFmtId="0" fontId="6" fillId="0" borderId="3" xfId="0" applyFont="1" applyFill="1" applyBorder="1" applyAlignment="1" applyProtection="1">
      <alignment horizontal="center" vertical="center"/>
      <protection hidden="1"/>
    </xf>
    <xf numFmtId="0" fontId="6" fillId="0" borderId="4" xfId="0" applyFont="1" applyFill="1" applyBorder="1" applyAlignment="1" applyProtection="1">
      <alignment horizontal="center" vertical="center"/>
      <protection hidden="1"/>
    </xf>
    <xf numFmtId="0" fontId="7" fillId="0" borderId="6" xfId="0" applyFont="1" applyFill="1" applyBorder="1" applyAlignment="1" applyProtection="1">
      <alignment horizontal="center" vertical="center" textRotation="90"/>
      <protection locked="0"/>
    </xf>
    <xf numFmtId="0" fontId="7" fillId="0" borderId="0" xfId="0" applyFont="1" applyFill="1" applyBorder="1" applyAlignment="1" applyProtection="1">
      <alignment horizontal="center" vertical="center" textRotation="90"/>
      <protection locked="0"/>
    </xf>
    <xf numFmtId="0" fontId="7" fillId="0" borderId="0" xfId="0" applyFont="1" applyFill="1" applyBorder="1" applyAlignment="1" applyProtection="1">
      <alignment horizontal="center"/>
      <protection hidden="1"/>
    </xf>
    <xf numFmtId="1" fontId="3" fillId="0" borderId="0" xfId="0" applyNumberFormat="1" applyFont="1" applyFill="1" applyBorder="1" applyAlignment="1" applyProtection="1">
      <alignment horizontal="center"/>
      <protection hidden="1"/>
    </xf>
    <xf numFmtId="0" fontId="6" fillId="0" borderId="36" xfId="0" applyFont="1" applyFill="1" applyBorder="1" applyAlignment="1" applyProtection="1">
      <alignment horizontal="center" vertical="center"/>
      <protection hidden="1"/>
    </xf>
    <xf numFmtId="0" fontId="8" fillId="0" borderId="0" xfId="0" applyFont="1" applyFill="1" applyBorder="1" applyAlignment="1" applyProtection="1">
      <alignment vertical="center"/>
      <protection hidden="1"/>
    </xf>
    <xf numFmtId="0" fontId="6" fillId="0" borderId="36" xfId="0" applyFont="1" applyFill="1" applyBorder="1" applyAlignment="1" applyProtection="1">
      <alignment horizontal="center" vertical="center"/>
      <protection locked="0"/>
    </xf>
    <xf numFmtId="2" fontId="7" fillId="0" borderId="0" xfId="0" applyNumberFormat="1" applyFont="1" applyFill="1" applyAlignment="1" applyProtection="1">
      <alignment horizontal="center"/>
      <protection locked="0"/>
    </xf>
    <xf numFmtId="2" fontId="7" fillId="0" borderId="6" xfId="0" applyNumberFormat="1" applyFont="1" applyFill="1" applyBorder="1" applyAlignment="1" applyProtection="1">
      <alignment horizontal="center" vertical="center"/>
      <protection locked="0"/>
    </xf>
    <xf numFmtId="2" fontId="7" fillId="0" borderId="0" xfId="0" applyNumberFormat="1" applyFont="1" applyFill="1" applyBorder="1" applyAlignment="1" applyProtection="1">
      <alignment horizontal="center"/>
      <protection locked="0"/>
    </xf>
    <xf numFmtId="9" fontId="7" fillId="0" borderId="0" xfId="3" applyFont="1" applyFill="1" applyBorder="1" applyAlignment="1" applyProtection="1">
      <alignment horizontal="center"/>
      <protection hidden="1"/>
    </xf>
    <xf numFmtId="2" fontId="7" fillId="0" borderId="0" xfId="0" applyNumberFormat="1" applyFont="1" applyFill="1" applyBorder="1" applyAlignment="1" applyProtection="1">
      <alignment horizontal="center"/>
      <protection hidden="1"/>
    </xf>
    <xf numFmtId="0" fontId="3" fillId="0" borderId="0" xfId="0" applyFont="1" applyFill="1" applyProtection="1">
      <protection locked="0"/>
    </xf>
    <xf numFmtId="0" fontId="5" fillId="0" borderId="71" xfId="0" applyFont="1" applyFill="1" applyBorder="1" applyAlignment="1" applyProtection="1">
      <alignment horizontal="right" vertical="center"/>
      <protection hidden="1"/>
    </xf>
    <xf numFmtId="0" fontId="5" fillId="0" borderId="0" xfId="0" applyFont="1" applyFill="1" applyBorder="1" applyAlignment="1" applyProtection="1">
      <alignment horizontal="right" vertical="center"/>
      <protection hidden="1"/>
    </xf>
    <xf numFmtId="0" fontId="7" fillId="0" borderId="6" xfId="0" applyFont="1" applyFill="1" applyBorder="1" applyAlignment="1" applyProtection="1">
      <alignment horizontal="center" vertical="center" textRotation="90" wrapText="1"/>
      <protection locked="0"/>
    </xf>
    <xf numFmtId="0" fontId="6" fillId="0" borderId="71" xfId="0" applyFont="1" applyFill="1" applyBorder="1" applyAlignment="1" applyProtection="1">
      <alignment vertical="center"/>
      <protection hidden="1"/>
    </xf>
    <xf numFmtId="0" fontId="7" fillId="0" borderId="0" xfId="0" applyFont="1" applyFill="1" applyAlignment="1" applyProtection="1">
      <alignment horizontal="center"/>
      <protection locked="0"/>
    </xf>
    <xf numFmtId="0" fontId="3" fillId="0" borderId="9" xfId="0" applyFont="1" applyFill="1" applyBorder="1" applyAlignment="1" applyProtection="1">
      <alignment horizontal="center" vertical="center"/>
      <protection locked="0"/>
    </xf>
    <xf numFmtId="0" fontId="3" fillId="0" borderId="29" xfId="0" applyFont="1" applyFill="1" applyBorder="1" applyAlignment="1" applyProtection="1">
      <alignment horizontal="center" vertical="center"/>
      <protection locked="0"/>
    </xf>
    <xf numFmtId="2" fontId="7" fillId="0" borderId="6" xfId="0" applyNumberFormat="1" applyFont="1" applyFill="1" applyBorder="1" applyAlignment="1" applyProtection="1">
      <alignment horizontal="center" vertical="center" textRotation="90" wrapText="1"/>
      <protection locked="0"/>
    </xf>
    <xf numFmtId="2" fontId="7" fillId="0" borderId="6" xfId="0" applyNumberFormat="1" applyFont="1" applyFill="1" applyBorder="1" applyAlignment="1" applyProtection="1">
      <alignment horizontal="left" vertical="center" textRotation="90" wrapText="1"/>
      <protection locked="0"/>
    </xf>
    <xf numFmtId="2" fontId="7" fillId="0" borderId="0" xfId="3" applyNumberFormat="1" applyFont="1" applyFill="1" applyBorder="1" applyAlignment="1" applyProtection="1">
      <alignment horizontal="center"/>
      <protection hidden="1"/>
    </xf>
    <xf numFmtId="1" fontId="7" fillId="0" borderId="0" xfId="0" applyNumberFormat="1" applyFont="1" applyFill="1" applyBorder="1" applyAlignment="1" applyProtection="1">
      <alignment horizontal="center"/>
      <protection hidden="1"/>
    </xf>
    <xf numFmtId="0" fontId="0" fillId="0" borderId="33" xfId="0" applyBorder="1"/>
    <xf numFmtId="0" fontId="0" fillId="0" borderId="71" xfId="0" applyBorder="1"/>
    <xf numFmtId="0" fontId="0" fillId="0" borderId="24" xfId="0" applyBorder="1"/>
    <xf numFmtId="0" fontId="7" fillId="0" borderId="1" xfId="0" applyFont="1" applyFill="1" applyBorder="1" applyAlignment="1" applyProtection="1">
      <alignment horizontal="center"/>
      <protection locked="0"/>
    </xf>
    <xf numFmtId="0" fontId="30" fillId="0" borderId="72" xfId="0" applyFont="1" applyBorder="1" applyAlignment="1">
      <alignment horizontal="left" vertical="center" wrapText="1"/>
    </xf>
    <xf numFmtId="0" fontId="30" fillId="0" borderId="68" xfId="0" applyFont="1" applyBorder="1" applyAlignment="1">
      <alignment horizontal="left" vertical="center" wrapText="1"/>
    </xf>
    <xf numFmtId="0" fontId="30" fillId="0" borderId="70" xfId="0" applyFont="1" applyBorder="1" applyAlignment="1">
      <alignment horizontal="left" vertical="center" wrapText="1"/>
    </xf>
    <xf numFmtId="177" fontId="31" fillId="0" borderId="4" xfId="0" applyNumberFormat="1" applyFont="1" applyFill="1" applyBorder="1" applyAlignment="1" applyProtection="1">
      <alignment horizontal="left"/>
      <protection hidden="1"/>
    </xf>
    <xf numFmtId="177" fontId="31" fillId="0" borderId="22" xfId="0" applyNumberFormat="1" applyFont="1" applyFill="1" applyBorder="1" applyAlignment="1" applyProtection="1">
      <alignment horizontal="left"/>
      <protection hidden="1"/>
    </xf>
    <xf numFmtId="0" fontId="31" fillId="0" borderId="0" xfId="0" applyFont="1"/>
  </cellXfs>
  <cellStyles count="6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 2" xfId="50"/>
    <cellStyle name="Normal 2 2" xfId="51"/>
    <cellStyle name="Normal 3" xfId="52"/>
    <cellStyle name="Normal 4" xfId="53"/>
    <cellStyle name="Normal 5" xfId="54"/>
    <cellStyle name="Normal 6" xfId="55"/>
    <cellStyle name="Normal 7" xfId="56"/>
    <cellStyle name="Normal 8" xfId="57"/>
    <cellStyle name="Normal 9" xfId="58"/>
    <cellStyle name="Percent 2" xfId="5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haredStrings" Target="sharedStrings.xml"/><Relationship Id="rId22" Type="http://schemas.openxmlformats.org/officeDocument/2006/relationships/styles" Target="styles.xml"/><Relationship Id="rId21" Type="http://schemas.openxmlformats.org/officeDocument/2006/relationships/theme" Target="theme/theme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38100</xdr:colOff>
      <xdr:row>0</xdr:row>
      <xdr:rowOff>57150</xdr:rowOff>
    </xdr:from>
    <xdr:to>
      <xdr:col>1</xdr:col>
      <xdr:colOff>1076325</xdr:colOff>
      <xdr:row>5</xdr:row>
      <xdr:rowOff>123825</xdr:rowOff>
    </xdr:to>
    <xdr:pic>
      <xdr:nvPicPr>
        <xdr:cNvPr id="1415" name="Picture 19"/>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324485" y="57150"/>
          <a:ext cx="1038225" cy="1011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35</xdr:col>
      <xdr:colOff>304800</xdr:colOff>
      <xdr:row>4</xdr:row>
      <xdr:rowOff>38100</xdr:rowOff>
    </xdr:to>
    <xdr:pic>
      <xdr:nvPicPr>
        <xdr:cNvPr id="1416" name="Picture 2" descr="http://depedverify.appspot.com/img/logo.gif"/>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2330430" y="0"/>
          <a:ext cx="17716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4</xdr:row>
      <xdr:rowOff>9525</xdr:rowOff>
    </xdr:to>
    <xdr:pic>
      <xdr:nvPicPr>
        <xdr:cNvPr id="2439"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57150</xdr:rowOff>
    </xdr:from>
    <xdr:to>
      <xdr:col>1</xdr:col>
      <xdr:colOff>952500</xdr:colOff>
      <xdr:row>4</xdr:row>
      <xdr:rowOff>171450</xdr:rowOff>
    </xdr:to>
    <xdr:pic>
      <xdr:nvPicPr>
        <xdr:cNvPr id="2440"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305435" y="57150"/>
          <a:ext cx="933450" cy="960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5</xdr:row>
      <xdr:rowOff>28575</xdr:rowOff>
    </xdr:to>
    <xdr:pic>
      <xdr:nvPicPr>
        <xdr:cNvPr id="3463"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57150</xdr:rowOff>
    </xdr:from>
    <xdr:to>
      <xdr:col>1</xdr:col>
      <xdr:colOff>1181100</xdr:colOff>
      <xdr:row>5</xdr:row>
      <xdr:rowOff>114300</xdr:rowOff>
    </xdr:to>
    <xdr:pic>
      <xdr:nvPicPr>
        <xdr:cNvPr id="3464"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305435" y="57150"/>
          <a:ext cx="11620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5</xdr:row>
      <xdr:rowOff>28575</xdr:rowOff>
    </xdr:to>
    <xdr:pic>
      <xdr:nvPicPr>
        <xdr:cNvPr id="4487"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123825</xdr:colOff>
      <xdr:row>0</xdr:row>
      <xdr:rowOff>95250</xdr:rowOff>
    </xdr:from>
    <xdr:to>
      <xdr:col>1</xdr:col>
      <xdr:colOff>1390650</xdr:colOff>
      <xdr:row>6</xdr:row>
      <xdr:rowOff>57150</xdr:rowOff>
    </xdr:to>
    <xdr:pic>
      <xdr:nvPicPr>
        <xdr:cNvPr id="4488"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410210" y="95250"/>
          <a:ext cx="1266825" cy="1259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5</xdr:row>
      <xdr:rowOff>28575</xdr:rowOff>
    </xdr:to>
    <xdr:pic>
      <xdr:nvPicPr>
        <xdr:cNvPr id="5511"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57150</xdr:rowOff>
    </xdr:from>
    <xdr:to>
      <xdr:col>1</xdr:col>
      <xdr:colOff>1257300</xdr:colOff>
      <xdr:row>6</xdr:row>
      <xdr:rowOff>19050</xdr:rowOff>
    </xdr:to>
    <xdr:pic>
      <xdr:nvPicPr>
        <xdr:cNvPr id="5512"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305435" y="57150"/>
          <a:ext cx="1238250" cy="1259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5</xdr:row>
      <xdr:rowOff>28575</xdr:rowOff>
    </xdr:to>
    <xdr:pic>
      <xdr:nvPicPr>
        <xdr:cNvPr id="6535"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57150</xdr:rowOff>
    </xdr:from>
    <xdr:to>
      <xdr:col>1</xdr:col>
      <xdr:colOff>1276350</xdr:colOff>
      <xdr:row>6</xdr:row>
      <xdr:rowOff>19050</xdr:rowOff>
    </xdr:to>
    <xdr:pic>
      <xdr:nvPicPr>
        <xdr:cNvPr id="6536"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305435" y="57150"/>
          <a:ext cx="1257300" cy="1259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5</xdr:row>
      <xdr:rowOff>28575</xdr:rowOff>
    </xdr:to>
    <xdr:pic>
      <xdr:nvPicPr>
        <xdr:cNvPr id="7559"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57150</xdr:rowOff>
    </xdr:from>
    <xdr:to>
      <xdr:col>1</xdr:col>
      <xdr:colOff>1285875</xdr:colOff>
      <xdr:row>6</xdr:row>
      <xdr:rowOff>19050</xdr:rowOff>
    </xdr:to>
    <xdr:pic>
      <xdr:nvPicPr>
        <xdr:cNvPr id="7560"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305435" y="57150"/>
          <a:ext cx="126682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5</xdr:row>
      <xdr:rowOff>28575</xdr:rowOff>
    </xdr:to>
    <xdr:pic>
      <xdr:nvPicPr>
        <xdr:cNvPr id="8583"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57150</xdr:rowOff>
    </xdr:from>
    <xdr:to>
      <xdr:col>1</xdr:col>
      <xdr:colOff>1276350</xdr:colOff>
      <xdr:row>6</xdr:row>
      <xdr:rowOff>19050</xdr:rowOff>
    </xdr:to>
    <xdr:pic>
      <xdr:nvPicPr>
        <xdr:cNvPr id="8584"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305435" y="57150"/>
          <a:ext cx="1257300" cy="1259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4</xdr:row>
      <xdr:rowOff>9525</xdr:rowOff>
    </xdr:to>
    <xdr:pic>
      <xdr:nvPicPr>
        <xdr:cNvPr id="9607"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76200</xdr:rowOff>
    </xdr:from>
    <xdr:to>
      <xdr:col>1</xdr:col>
      <xdr:colOff>1266825</xdr:colOff>
      <xdr:row>6</xdr:row>
      <xdr:rowOff>38100</xdr:rowOff>
    </xdr:to>
    <xdr:pic>
      <xdr:nvPicPr>
        <xdr:cNvPr id="9608"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286385" y="76200"/>
          <a:ext cx="1266825" cy="1259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266700</xdr:colOff>
      <xdr:row>5</xdr:row>
      <xdr:rowOff>47625</xdr:rowOff>
    </xdr:to>
    <xdr:pic>
      <xdr:nvPicPr>
        <xdr:cNvPr id="10631"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938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47625</xdr:rowOff>
    </xdr:from>
    <xdr:to>
      <xdr:col>1</xdr:col>
      <xdr:colOff>971550</xdr:colOff>
      <xdr:row>4</xdr:row>
      <xdr:rowOff>219075</xdr:rowOff>
    </xdr:to>
    <xdr:pic>
      <xdr:nvPicPr>
        <xdr:cNvPr id="10632"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286385" y="47625"/>
          <a:ext cx="971550" cy="1017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266700</xdr:colOff>
      <xdr:row>5</xdr:row>
      <xdr:rowOff>47625</xdr:rowOff>
    </xdr:to>
    <xdr:pic>
      <xdr:nvPicPr>
        <xdr:cNvPr id="11655"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938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47625</xdr:rowOff>
    </xdr:from>
    <xdr:to>
      <xdr:col>1</xdr:col>
      <xdr:colOff>1266825</xdr:colOff>
      <xdr:row>6</xdr:row>
      <xdr:rowOff>0</xdr:rowOff>
    </xdr:to>
    <xdr:pic>
      <xdr:nvPicPr>
        <xdr:cNvPr id="11656"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286385" y="47625"/>
          <a:ext cx="1266825" cy="1249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5</xdr:row>
      <xdr:rowOff>28575</xdr:rowOff>
    </xdr:to>
    <xdr:pic>
      <xdr:nvPicPr>
        <xdr:cNvPr id="12679"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47625</xdr:rowOff>
    </xdr:from>
    <xdr:to>
      <xdr:col>1</xdr:col>
      <xdr:colOff>1266825</xdr:colOff>
      <xdr:row>5</xdr:row>
      <xdr:rowOff>219075</xdr:rowOff>
    </xdr:to>
    <xdr:pic>
      <xdr:nvPicPr>
        <xdr:cNvPr id="12680"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286385" y="47625"/>
          <a:ext cx="126682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4</xdr:row>
      <xdr:rowOff>9525</xdr:rowOff>
    </xdr:to>
    <xdr:pic>
      <xdr:nvPicPr>
        <xdr:cNvPr id="13703"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47625</xdr:rowOff>
    </xdr:from>
    <xdr:to>
      <xdr:col>1</xdr:col>
      <xdr:colOff>1381125</xdr:colOff>
      <xdr:row>6</xdr:row>
      <xdr:rowOff>133350</xdr:rowOff>
    </xdr:to>
    <xdr:pic>
      <xdr:nvPicPr>
        <xdr:cNvPr id="13704"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286385" y="47625"/>
          <a:ext cx="1381125" cy="1383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228600</xdr:colOff>
      <xdr:row>0</xdr:row>
      <xdr:rowOff>76200</xdr:rowOff>
    </xdr:from>
    <xdr:to>
      <xdr:col>1</xdr:col>
      <xdr:colOff>1042035</xdr:colOff>
      <xdr:row>3</xdr:row>
      <xdr:rowOff>80010</xdr:rowOff>
    </xdr:to>
    <xdr:pic>
      <xdr:nvPicPr>
        <xdr:cNvPr id="14727" name="Picture 19"/>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452755" y="76200"/>
          <a:ext cx="813435" cy="817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62</xdr:col>
      <xdr:colOff>152400</xdr:colOff>
      <xdr:row>1</xdr:row>
      <xdr:rowOff>66675</xdr:rowOff>
    </xdr:from>
    <xdr:to>
      <xdr:col>71</xdr:col>
      <xdr:colOff>102870</xdr:colOff>
      <xdr:row>4</xdr:row>
      <xdr:rowOff>161925</xdr:rowOff>
    </xdr:to>
    <xdr:pic>
      <xdr:nvPicPr>
        <xdr:cNvPr id="14728" name="Picture 2" descr="http://depedverify.appspot.com/img/logo.gif"/>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4543405" y="447675"/>
          <a:ext cx="1897380" cy="6610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0</xdr:rowOff>
    </xdr:from>
    <xdr:to>
      <xdr:col>27</xdr:col>
      <xdr:colOff>257175</xdr:colOff>
      <xdr:row>4</xdr:row>
      <xdr:rowOff>9525</xdr:rowOff>
    </xdr:to>
    <xdr:pic>
      <xdr:nvPicPr>
        <xdr:cNvPr id="2" name="Picture 1" descr="http://depedverify.appspot.com/img/logo.gif"/>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121015" y="0"/>
          <a:ext cx="1784350" cy="8553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47625</xdr:rowOff>
    </xdr:from>
    <xdr:to>
      <xdr:col>1</xdr:col>
      <xdr:colOff>1381125</xdr:colOff>
      <xdr:row>6</xdr:row>
      <xdr:rowOff>133350</xdr:rowOff>
    </xdr:to>
    <xdr:pic>
      <xdr:nvPicPr>
        <xdr:cNvPr id="3" name="Picture 19"/>
        <xdr:cNvPicPr>
          <a:picLocks noChangeAspect="1"/>
        </xdr:cNvPicPr>
      </xdr:nvPicPr>
      <xdr:blipFill>
        <a:blip r:embed="rId2">
          <a:extLst>
            <a:ext uri="{28A0092B-C50C-407E-A947-70E740481C1C}">
              <a14:useLocalDpi xmlns:a14="http://schemas.microsoft.com/office/drawing/2010/main" val="0"/>
            </a:ext>
          </a:extLst>
        </a:blip>
        <a:srcRect/>
        <a:stretch>
          <a:fillRect/>
        </a:stretch>
      </xdr:blipFill>
      <xdr:spPr>
        <a:xfrm>
          <a:off x="286385" y="47625"/>
          <a:ext cx="1381125" cy="1383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J132"/>
  <sheetViews>
    <sheetView zoomScale="90" zoomScaleNormal="90" topLeftCell="A22" workbookViewId="0">
      <selection activeCell="B74" sqref="B74:C74"/>
    </sheetView>
  </sheetViews>
  <sheetFormatPr defaultColWidth="9" defaultRowHeight="13.2"/>
  <cols>
    <col min="1" max="1" width="4.17592592592593" customWidth="1"/>
    <col min="2" max="2" width="28.7222222222222" customWidth="1"/>
    <col min="3" max="5" width="3.26851851851852" customWidth="1"/>
    <col min="6" max="16" width="4.4537037037037" customWidth="1"/>
    <col min="17" max="18" width="7.17592592592593" customWidth="1"/>
    <col min="19" max="29" width="4.4537037037037" customWidth="1"/>
    <col min="30" max="31" width="7.17592592592593" customWidth="1"/>
    <col min="32" max="32" width="10.2685185185185" customWidth="1"/>
    <col min="33" max="36" width="7.17592592592593" customWidth="1"/>
  </cols>
  <sheetData>
    <row r="1" spans="1:36">
      <c r="A1" s="293" t="s">
        <v>0</v>
      </c>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c r="AC1" s="293"/>
      <c r="AD1" s="293"/>
      <c r="AE1" s="293"/>
      <c r="AF1" s="293"/>
      <c r="AG1" s="293"/>
      <c r="AH1" s="293"/>
      <c r="AI1" s="293"/>
      <c r="AJ1" s="293"/>
    </row>
    <row r="2" spans="1:36">
      <c r="A2" s="293"/>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c r="AC2" s="293"/>
      <c r="AD2" s="293"/>
      <c r="AE2" s="293"/>
      <c r="AF2" s="293"/>
      <c r="AG2" s="293"/>
      <c r="AH2" s="293"/>
      <c r="AI2" s="293"/>
      <c r="AJ2" s="293"/>
    </row>
    <row r="3" spans="1:36">
      <c r="A3" s="421"/>
      <c r="B3" s="421"/>
      <c r="C3" s="421"/>
      <c r="D3" s="421"/>
      <c r="E3" s="421"/>
      <c r="F3" s="421"/>
      <c r="G3" s="421"/>
      <c r="H3" s="421"/>
      <c r="I3" s="421"/>
      <c r="J3" s="421"/>
      <c r="K3" s="421"/>
      <c r="L3" s="421"/>
      <c r="M3" s="421"/>
      <c r="N3" s="421"/>
      <c r="O3" s="421"/>
      <c r="P3" s="421"/>
      <c r="Q3" s="421"/>
      <c r="R3" s="421"/>
      <c r="S3" s="421"/>
      <c r="T3" s="421"/>
      <c r="U3" s="421"/>
      <c r="V3" s="421"/>
      <c r="W3" s="421"/>
      <c r="X3" s="421"/>
      <c r="Y3" s="421"/>
      <c r="Z3" s="421"/>
      <c r="AA3" s="421"/>
      <c r="AB3" s="421"/>
      <c r="AC3" s="421"/>
      <c r="AD3" s="421"/>
      <c r="AE3" s="421"/>
      <c r="AF3" s="421"/>
      <c r="AG3" s="421"/>
      <c r="AH3" s="421"/>
      <c r="AI3" s="421"/>
      <c r="AJ3" s="421"/>
    </row>
    <row r="4" ht="17.4" spans="1:36">
      <c r="A4" s="3"/>
      <c r="B4" s="4"/>
      <c r="C4" s="295" t="s">
        <v>1</v>
      </c>
      <c r="D4" s="295"/>
      <c r="E4" s="295"/>
      <c r="F4" s="295"/>
      <c r="G4" s="422" t="s">
        <v>2</v>
      </c>
      <c r="H4" s="422"/>
      <c r="I4" s="422"/>
      <c r="J4" s="422"/>
      <c r="K4" s="3"/>
      <c r="L4" s="457" t="s">
        <v>3</v>
      </c>
      <c r="M4" s="457"/>
      <c r="N4" s="457"/>
      <c r="O4" s="458" t="s">
        <v>4</v>
      </c>
      <c r="P4" s="459"/>
      <c r="Q4" s="459"/>
      <c r="R4" s="464"/>
      <c r="S4" s="465"/>
      <c r="T4" s="317"/>
      <c r="U4" s="317"/>
      <c r="V4" s="317"/>
      <c r="W4" s="317"/>
      <c r="X4" s="318"/>
      <c r="Y4" s="318"/>
      <c r="Z4" s="318"/>
      <c r="AA4" s="318"/>
      <c r="AB4" s="318"/>
      <c r="AC4" s="318"/>
      <c r="AD4" s="467"/>
      <c r="AE4" s="472"/>
      <c r="AF4" s="465"/>
      <c r="AG4" s="465"/>
      <c r="AH4" s="465"/>
      <c r="AI4" s="465"/>
      <c r="AJ4" s="465"/>
    </row>
    <row r="5" ht="17.4" spans="1:36">
      <c r="A5" s="3"/>
      <c r="B5" s="295" t="s">
        <v>5</v>
      </c>
      <c r="C5" s="295"/>
      <c r="D5" s="295"/>
      <c r="E5" s="295"/>
      <c r="F5" s="295"/>
      <c r="G5" s="423" t="s">
        <v>6</v>
      </c>
      <c r="H5" s="424"/>
      <c r="I5" s="424"/>
      <c r="J5" s="424"/>
      <c r="K5" s="424"/>
      <c r="L5" s="424"/>
      <c r="M5" s="424"/>
      <c r="N5" s="424"/>
      <c r="O5" s="424"/>
      <c r="P5" s="424"/>
      <c r="Q5" s="424"/>
      <c r="R5" s="466"/>
      <c r="S5" s="3"/>
      <c r="T5" s="317" t="s">
        <v>7</v>
      </c>
      <c r="U5" s="317"/>
      <c r="V5" s="317"/>
      <c r="W5" s="317"/>
      <c r="X5" s="298">
        <v>316405</v>
      </c>
      <c r="Y5" s="299"/>
      <c r="Z5" s="299"/>
      <c r="AA5" s="299"/>
      <c r="AB5" s="299"/>
      <c r="AC5" s="316"/>
      <c r="AD5" s="473" t="s">
        <v>8</v>
      </c>
      <c r="AE5" s="474"/>
      <c r="AF5" s="296"/>
      <c r="AG5" s="458" t="s">
        <v>9</v>
      </c>
      <c r="AH5" s="459"/>
      <c r="AI5" s="464"/>
      <c r="AJ5" s="476"/>
    </row>
    <row r="6" ht="14.55" spans="1:36">
      <c r="A6" s="3"/>
      <c r="B6" s="3"/>
      <c r="C6" s="425"/>
      <c r="D6" s="425"/>
      <c r="E6" s="425"/>
      <c r="F6" s="3"/>
      <c r="G6" s="3"/>
      <c r="H6" s="3"/>
      <c r="I6" s="3"/>
      <c r="J6" s="3"/>
      <c r="K6" s="3"/>
      <c r="L6" s="3"/>
      <c r="M6" s="3"/>
      <c r="N6" s="3"/>
      <c r="O6" s="3"/>
      <c r="P6" s="3"/>
      <c r="Q6" s="467"/>
      <c r="R6" s="467"/>
      <c r="S6" s="3"/>
      <c r="T6" s="3"/>
      <c r="U6" s="3"/>
      <c r="V6" s="3"/>
      <c r="W6" s="3"/>
      <c r="X6" s="3"/>
      <c r="Y6" s="3"/>
      <c r="Z6" s="3"/>
      <c r="AA6" s="3"/>
      <c r="AB6" s="3"/>
      <c r="AC6" s="3"/>
      <c r="AD6" s="467"/>
      <c r="AE6" s="467"/>
      <c r="AF6" s="3"/>
      <c r="AG6" s="467"/>
      <c r="AH6" s="467"/>
      <c r="AI6" s="467"/>
      <c r="AJ6" s="477"/>
    </row>
    <row r="7" ht="14.55" spans="1:36">
      <c r="A7" s="426" t="s">
        <v>10</v>
      </c>
      <c r="B7" s="427"/>
      <c r="C7" s="427"/>
      <c r="D7" s="427"/>
      <c r="E7" s="428"/>
      <c r="F7" s="13" t="s">
        <v>11</v>
      </c>
      <c r="G7" s="14"/>
      <c r="H7" s="14"/>
      <c r="I7" s="14"/>
      <c r="J7" s="14"/>
      <c r="K7" s="80" t="s">
        <v>12</v>
      </c>
      <c r="L7" s="80"/>
      <c r="M7" s="80"/>
      <c r="N7" s="80"/>
      <c r="O7" s="80"/>
      <c r="P7" s="86"/>
      <c r="Q7" s="19" t="s">
        <v>13</v>
      </c>
      <c r="R7" s="19"/>
      <c r="S7" s="80" t="s">
        <v>14</v>
      </c>
      <c r="T7" s="80"/>
      <c r="U7" s="80"/>
      <c r="V7" s="80"/>
      <c r="W7" s="80"/>
      <c r="X7" s="80"/>
      <c r="Y7" s="80"/>
      <c r="Z7" s="80"/>
      <c r="AA7" s="80"/>
      <c r="AB7" s="86"/>
      <c r="AC7" s="13" t="s">
        <v>15</v>
      </c>
      <c r="AD7" s="14"/>
      <c r="AE7" s="14"/>
      <c r="AF7" s="14"/>
      <c r="AG7" s="478"/>
      <c r="AH7" s="478"/>
      <c r="AI7" s="478"/>
      <c r="AJ7" s="479"/>
    </row>
    <row r="8" ht="18.15" spans="1:36">
      <c r="A8" s="429"/>
      <c r="B8" s="430" t="s">
        <v>16</v>
      </c>
      <c r="C8" s="431"/>
      <c r="D8" s="431"/>
      <c r="E8" s="432"/>
      <c r="F8" s="433"/>
      <c r="G8" s="434"/>
      <c r="H8" s="434"/>
      <c r="I8" s="434"/>
      <c r="J8" s="434"/>
      <c r="K8" s="434"/>
      <c r="L8" s="434"/>
      <c r="M8" s="434"/>
      <c r="N8" s="434"/>
      <c r="O8" s="434"/>
      <c r="P8" s="460"/>
      <c r="Q8" s="468"/>
      <c r="R8" s="468"/>
      <c r="S8" s="434"/>
      <c r="T8" s="434"/>
      <c r="U8" s="434"/>
      <c r="V8" s="434"/>
      <c r="W8" s="434"/>
      <c r="X8" s="434"/>
      <c r="Y8" s="434"/>
      <c r="Z8" s="434"/>
      <c r="AA8" s="434"/>
      <c r="AB8" s="434"/>
      <c r="AC8" s="460"/>
      <c r="AD8" s="468"/>
      <c r="AE8" s="468"/>
      <c r="AF8" s="475"/>
      <c r="AG8" s="468"/>
      <c r="AH8" s="468"/>
      <c r="AI8" s="480"/>
      <c r="AJ8" s="481"/>
    </row>
    <row r="9" ht="14.55" spans="1:36">
      <c r="A9" s="42"/>
      <c r="B9" s="435"/>
      <c r="C9" s="436"/>
      <c r="D9" s="436"/>
      <c r="E9" s="437"/>
      <c r="F9" s="42"/>
      <c r="G9" s="398"/>
      <c r="H9" s="398"/>
      <c r="I9" s="398"/>
      <c r="J9" s="398"/>
      <c r="K9" s="398"/>
      <c r="L9" s="398"/>
      <c r="M9" s="398"/>
      <c r="N9" s="398"/>
      <c r="O9" s="398"/>
      <c r="P9" s="461"/>
      <c r="Q9" s="469"/>
      <c r="R9" s="470"/>
      <c r="S9" s="398"/>
      <c r="T9" s="398"/>
      <c r="U9" s="398"/>
      <c r="V9" s="398"/>
      <c r="W9" s="398"/>
      <c r="X9" s="398"/>
      <c r="Y9" s="398"/>
      <c r="Z9" s="398"/>
      <c r="AA9" s="398"/>
      <c r="AB9" s="398"/>
      <c r="AC9" s="461"/>
      <c r="AD9" s="469"/>
      <c r="AE9" s="470"/>
      <c r="AF9" s="398"/>
      <c r="AG9" s="469"/>
      <c r="AH9" s="470"/>
      <c r="AI9" s="482"/>
      <c r="AJ9" s="482"/>
    </row>
    <row r="10" ht="14.55" spans="1:36">
      <c r="A10" s="438"/>
      <c r="B10" s="439"/>
      <c r="C10" s="440"/>
      <c r="D10" s="440"/>
      <c r="E10" s="441"/>
      <c r="F10" s="442"/>
      <c r="G10" s="443"/>
      <c r="H10" s="443"/>
      <c r="I10" s="443"/>
      <c r="J10" s="443"/>
      <c r="K10" s="443"/>
      <c r="L10" s="443"/>
      <c r="M10" s="443"/>
      <c r="N10" s="443"/>
      <c r="O10" s="443"/>
      <c r="P10" s="462"/>
      <c r="Q10" s="471"/>
      <c r="R10" s="471"/>
      <c r="S10" s="443"/>
      <c r="T10" s="443"/>
      <c r="U10" s="443"/>
      <c r="V10" s="443"/>
      <c r="W10" s="443"/>
      <c r="X10" s="443"/>
      <c r="Y10" s="443"/>
      <c r="Z10" s="443"/>
      <c r="AA10" s="443"/>
      <c r="AB10" s="443"/>
      <c r="AC10" s="462"/>
      <c r="AD10" s="471"/>
      <c r="AE10" s="471"/>
      <c r="AF10" s="443"/>
      <c r="AG10" s="471"/>
      <c r="AH10" s="471"/>
      <c r="AI10" s="471"/>
      <c r="AJ10" s="483"/>
    </row>
    <row r="11" ht="14.55" spans="1:36">
      <c r="A11" s="27"/>
      <c r="B11" s="28" t="s">
        <v>17</v>
      </c>
      <c r="C11" s="29"/>
      <c r="D11" s="29"/>
      <c r="E11" s="50"/>
      <c r="F11" s="442"/>
      <c r="G11" s="443"/>
      <c r="H11" s="443"/>
      <c r="I11" s="443"/>
      <c r="J11" s="443"/>
      <c r="K11" s="443"/>
      <c r="L11" s="443"/>
      <c r="M11" s="443"/>
      <c r="N11" s="443"/>
      <c r="O11" s="443"/>
      <c r="P11" s="462"/>
      <c r="Q11" s="471"/>
      <c r="R11" s="471"/>
      <c r="S11" s="443"/>
      <c r="T11" s="443"/>
      <c r="U11" s="443"/>
      <c r="V11" s="443"/>
      <c r="W11" s="443"/>
      <c r="X11" s="443"/>
      <c r="Y11" s="443"/>
      <c r="Z11" s="443"/>
      <c r="AA11" s="443"/>
      <c r="AB11" s="443"/>
      <c r="AC11" s="462"/>
      <c r="AD11" s="471"/>
      <c r="AE11" s="471"/>
      <c r="AF11" s="443"/>
      <c r="AG11" s="471"/>
      <c r="AH11" s="471"/>
      <c r="AI11" s="471"/>
      <c r="AJ11" s="483"/>
    </row>
    <row r="12" ht="15" customHeight="1" spans="1:36">
      <c r="A12" s="32">
        <v>1</v>
      </c>
      <c r="B12" s="119" t="s">
        <v>18</v>
      </c>
      <c r="C12" s="301"/>
      <c r="D12" s="301"/>
      <c r="E12" s="310"/>
      <c r="F12" s="444"/>
      <c r="G12" s="445"/>
      <c r="H12" s="445"/>
      <c r="I12" s="445"/>
      <c r="J12" s="445"/>
      <c r="K12" s="445"/>
      <c r="L12" s="445"/>
      <c r="M12" s="445"/>
      <c r="N12" s="445"/>
      <c r="O12" s="445"/>
      <c r="P12" s="463"/>
      <c r="Q12" s="471"/>
      <c r="R12" s="471"/>
      <c r="S12" s="445"/>
      <c r="T12" s="445"/>
      <c r="U12" s="445"/>
      <c r="V12" s="445"/>
      <c r="W12" s="445"/>
      <c r="X12" s="445"/>
      <c r="Y12" s="445"/>
      <c r="Z12" s="445"/>
      <c r="AA12" s="445"/>
      <c r="AB12" s="445"/>
      <c r="AC12" s="463"/>
      <c r="AD12" s="471"/>
      <c r="AE12" s="471"/>
      <c r="AF12" s="445"/>
      <c r="AG12" s="471"/>
      <c r="AH12" s="471"/>
      <c r="AI12" s="471"/>
      <c r="AJ12" s="483"/>
    </row>
    <row r="13" ht="15" customHeight="1" spans="1:36">
      <c r="A13" s="32">
        <v>2</v>
      </c>
      <c r="B13" s="152" t="s">
        <v>19</v>
      </c>
      <c r="C13" s="301"/>
      <c r="D13" s="301"/>
      <c r="E13" s="310"/>
      <c r="F13" s="444"/>
      <c r="G13" s="445"/>
      <c r="H13" s="445"/>
      <c r="I13" s="445"/>
      <c r="J13" s="445"/>
      <c r="K13" s="445"/>
      <c r="L13" s="445"/>
      <c r="M13" s="445"/>
      <c r="N13" s="445"/>
      <c r="O13" s="445"/>
      <c r="P13" s="463"/>
      <c r="Q13" s="471"/>
      <c r="R13" s="471"/>
      <c r="S13" s="445"/>
      <c r="T13" s="445"/>
      <c r="U13" s="445"/>
      <c r="V13" s="445"/>
      <c r="W13" s="445"/>
      <c r="X13" s="445"/>
      <c r="Y13" s="445"/>
      <c r="Z13" s="445"/>
      <c r="AA13" s="445"/>
      <c r="AB13" s="445"/>
      <c r="AC13" s="463"/>
      <c r="AD13" s="471"/>
      <c r="AE13" s="471"/>
      <c r="AF13" s="445"/>
      <c r="AG13" s="471"/>
      <c r="AH13" s="471"/>
      <c r="AI13" s="471"/>
      <c r="AJ13" s="483"/>
    </row>
    <row r="14" ht="15" customHeight="1" spans="1:36">
      <c r="A14" s="32">
        <v>3</v>
      </c>
      <c r="B14" s="119" t="s">
        <v>20</v>
      </c>
      <c r="C14" s="301"/>
      <c r="D14" s="301"/>
      <c r="E14" s="310"/>
      <c r="F14" s="444"/>
      <c r="G14" s="445"/>
      <c r="H14" s="445"/>
      <c r="I14" s="445"/>
      <c r="J14" s="445"/>
      <c r="K14" s="445"/>
      <c r="L14" s="445"/>
      <c r="M14" s="445"/>
      <c r="N14" s="445"/>
      <c r="O14" s="445"/>
      <c r="P14" s="463"/>
      <c r="Q14" s="471"/>
      <c r="R14" s="471"/>
      <c r="S14" s="445"/>
      <c r="T14" s="445"/>
      <c r="U14" s="445"/>
      <c r="V14" s="445"/>
      <c r="W14" s="445"/>
      <c r="X14" s="445"/>
      <c r="Y14" s="445"/>
      <c r="Z14" s="445"/>
      <c r="AA14" s="445"/>
      <c r="AB14" s="445"/>
      <c r="AC14" s="463"/>
      <c r="AD14" s="471"/>
      <c r="AE14" s="471"/>
      <c r="AF14" s="445"/>
      <c r="AG14" s="471"/>
      <c r="AH14" s="471"/>
      <c r="AI14" s="471"/>
      <c r="AJ14" s="483"/>
    </row>
    <row r="15" ht="15" customHeight="1" spans="1:36">
      <c r="A15" s="32">
        <v>4</v>
      </c>
      <c r="B15" s="152" t="s">
        <v>21</v>
      </c>
      <c r="C15" s="301"/>
      <c r="D15" s="301"/>
      <c r="E15" s="310"/>
      <c r="F15" s="444"/>
      <c r="G15" s="445"/>
      <c r="H15" s="445"/>
      <c r="I15" s="445"/>
      <c r="J15" s="445"/>
      <c r="K15" s="445"/>
      <c r="L15" s="445"/>
      <c r="M15" s="445"/>
      <c r="N15" s="445"/>
      <c r="O15" s="445"/>
      <c r="P15" s="463"/>
      <c r="Q15" s="471"/>
      <c r="R15" s="471"/>
      <c r="S15" s="445"/>
      <c r="T15" s="445"/>
      <c r="U15" s="445"/>
      <c r="V15" s="445"/>
      <c r="W15" s="445"/>
      <c r="X15" s="445"/>
      <c r="Y15" s="445"/>
      <c r="Z15" s="445"/>
      <c r="AA15" s="445"/>
      <c r="AB15" s="445"/>
      <c r="AC15" s="463"/>
      <c r="AD15" s="471"/>
      <c r="AE15" s="471"/>
      <c r="AF15" s="445"/>
      <c r="AG15" s="471"/>
      <c r="AH15" s="471"/>
      <c r="AI15" s="471"/>
      <c r="AJ15" s="483"/>
    </row>
    <row r="16" ht="15" customHeight="1" spans="1:36">
      <c r="A16" s="32">
        <v>5</v>
      </c>
      <c r="B16" s="119" t="s">
        <v>22</v>
      </c>
      <c r="C16" s="446"/>
      <c r="D16" s="446"/>
      <c r="E16" s="447"/>
      <c r="F16" s="444"/>
      <c r="G16" s="445"/>
      <c r="H16" s="445"/>
      <c r="I16" s="445"/>
      <c r="J16" s="445"/>
      <c r="K16" s="445"/>
      <c r="L16" s="445"/>
      <c r="M16" s="445"/>
      <c r="N16" s="445"/>
      <c r="O16" s="445"/>
      <c r="P16" s="463"/>
      <c r="Q16" s="471"/>
      <c r="R16" s="471"/>
      <c r="S16" s="445"/>
      <c r="T16" s="445"/>
      <c r="U16" s="445"/>
      <c r="V16" s="445"/>
      <c r="W16" s="445"/>
      <c r="X16" s="445"/>
      <c r="Y16" s="445"/>
      <c r="Z16" s="445"/>
      <c r="AA16" s="445"/>
      <c r="AB16" s="445"/>
      <c r="AC16" s="463"/>
      <c r="AD16" s="471"/>
      <c r="AE16" s="471"/>
      <c r="AF16" s="445"/>
      <c r="AG16" s="471"/>
      <c r="AH16" s="471"/>
      <c r="AI16" s="471"/>
      <c r="AJ16" s="483"/>
    </row>
    <row r="17" ht="15" customHeight="1" spans="1:36">
      <c r="A17" s="32">
        <v>6</v>
      </c>
      <c r="B17" s="119" t="s">
        <v>23</v>
      </c>
      <c r="C17" s="301"/>
      <c r="D17" s="301"/>
      <c r="E17" s="310"/>
      <c r="F17" s="444"/>
      <c r="G17" s="445"/>
      <c r="H17" s="445"/>
      <c r="I17" s="445"/>
      <c r="J17" s="445"/>
      <c r="K17" s="445"/>
      <c r="L17" s="445"/>
      <c r="M17" s="445"/>
      <c r="N17" s="445"/>
      <c r="O17" s="445"/>
      <c r="P17" s="463"/>
      <c r="Q17" s="471"/>
      <c r="R17" s="471"/>
      <c r="S17" s="445"/>
      <c r="T17" s="445"/>
      <c r="U17" s="445"/>
      <c r="V17" s="445"/>
      <c r="W17" s="445"/>
      <c r="X17" s="445"/>
      <c r="Y17" s="445"/>
      <c r="Z17" s="445"/>
      <c r="AA17" s="445"/>
      <c r="AB17" s="445"/>
      <c r="AC17" s="463"/>
      <c r="AD17" s="471"/>
      <c r="AE17" s="471"/>
      <c r="AF17" s="445"/>
      <c r="AG17" s="471"/>
      <c r="AH17" s="471"/>
      <c r="AI17" s="471"/>
      <c r="AJ17" s="483"/>
    </row>
    <row r="18" ht="15" customHeight="1" spans="1:36">
      <c r="A18" s="32">
        <v>7</v>
      </c>
      <c r="B18" s="119" t="s">
        <v>24</v>
      </c>
      <c r="C18" s="301"/>
      <c r="D18" s="301"/>
      <c r="E18" s="310"/>
      <c r="F18" s="444"/>
      <c r="G18" s="445"/>
      <c r="H18" s="445"/>
      <c r="I18" s="445"/>
      <c r="J18" s="445"/>
      <c r="K18" s="445"/>
      <c r="L18" s="445"/>
      <c r="M18" s="445"/>
      <c r="N18" s="445"/>
      <c r="O18" s="445"/>
      <c r="P18" s="463"/>
      <c r="Q18" s="471"/>
      <c r="R18" s="471"/>
      <c r="S18" s="445"/>
      <c r="T18" s="445"/>
      <c r="U18" s="445"/>
      <c r="V18" s="445"/>
      <c r="W18" s="445"/>
      <c r="X18" s="445"/>
      <c r="Y18" s="445"/>
      <c r="Z18" s="445"/>
      <c r="AA18" s="445"/>
      <c r="AB18" s="445"/>
      <c r="AC18" s="463"/>
      <c r="AD18" s="471"/>
      <c r="AE18" s="471"/>
      <c r="AF18" s="445"/>
      <c r="AG18" s="471"/>
      <c r="AH18" s="471"/>
      <c r="AI18" s="471"/>
      <c r="AJ18" s="483"/>
    </row>
    <row r="19" ht="15" customHeight="1" spans="1:36">
      <c r="A19" s="32">
        <v>8</v>
      </c>
      <c r="B19" s="119" t="s">
        <v>25</v>
      </c>
      <c r="C19" s="301"/>
      <c r="D19" s="301"/>
      <c r="E19" s="310"/>
      <c r="F19" s="444"/>
      <c r="G19" s="445"/>
      <c r="H19" s="445"/>
      <c r="I19" s="445"/>
      <c r="J19" s="445"/>
      <c r="K19" s="445"/>
      <c r="L19" s="445"/>
      <c r="M19" s="445"/>
      <c r="N19" s="445"/>
      <c r="O19" s="445"/>
      <c r="P19" s="463"/>
      <c r="Q19" s="471"/>
      <c r="R19" s="471"/>
      <c r="S19" s="445"/>
      <c r="T19" s="445"/>
      <c r="U19" s="445"/>
      <c r="V19" s="445"/>
      <c r="W19" s="445"/>
      <c r="X19" s="445"/>
      <c r="Y19" s="445"/>
      <c r="Z19" s="445"/>
      <c r="AA19" s="445"/>
      <c r="AB19" s="445"/>
      <c r="AC19" s="463"/>
      <c r="AD19" s="471"/>
      <c r="AE19" s="471"/>
      <c r="AF19" s="445"/>
      <c r="AG19" s="471"/>
      <c r="AH19" s="471"/>
      <c r="AI19" s="471"/>
      <c r="AJ19" s="483"/>
    </row>
    <row r="20" ht="15" customHeight="1" spans="1:36">
      <c r="A20" s="32">
        <v>9</v>
      </c>
      <c r="B20" s="119" t="s">
        <v>26</v>
      </c>
      <c r="C20" s="301"/>
      <c r="D20" s="301"/>
      <c r="E20" s="310"/>
      <c r="F20" s="444"/>
      <c r="G20" s="445"/>
      <c r="H20" s="445"/>
      <c r="I20" s="445"/>
      <c r="J20" s="445"/>
      <c r="K20" s="445"/>
      <c r="L20" s="445"/>
      <c r="M20" s="445"/>
      <c r="N20" s="445"/>
      <c r="O20" s="445"/>
      <c r="P20" s="463"/>
      <c r="Q20" s="471"/>
      <c r="R20" s="471"/>
      <c r="S20" s="445"/>
      <c r="T20" s="445"/>
      <c r="U20" s="445"/>
      <c r="V20" s="445"/>
      <c r="W20" s="445"/>
      <c r="X20" s="445"/>
      <c r="Y20" s="445"/>
      <c r="Z20" s="445"/>
      <c r="AA20" s="445"/>
      <c r="AB20" s="445"/>
      <c r="AC20" s="463"/>
      <c r="AD20" s="471"/>
      <c r="AE20" s="471"/>
      <c r="AF20" s="445"/>
      <c r="AG20" s="471"/>
      <c r="AH20" s="471"/>
      <c r="AI20" s="471"/>
      <c r="AJ20" s="483"/>
    </row>
    <row r="21" ht="15" customHeight="1" spans="1:36">
      <c r="A21" s="32">
        <v>10</v>
      </c>
      <c r="B21" s="152" t="s">
        <v>27</v>
      </c>
      <c r="C21" s="301"/>
      <c r="D21" s="301"/>
      <c r="E21" s="310"/>
      <c r="F21" s="444"/>
      <c r="G21" s="445"/>
      <c r="H21" s="445"/>
      <c r="I21" s="445"/>
      <c r="J21" s="445"/>
      <c r="K21" s="445"/>
      <c r="L21" s="445"/>
      <c r="M21" s="445"/>
      <c r="N21" s="445"/>
      <c r="O21" s="445"/>
      <c r="P21" s="463"/>
      <c r="Q21" s="471"/>
      <c r="R21" s="471"/>
      <c r="S21" s="445"/>
      <c r="T21" s="445"/>
      <c r="U21" s="445"/>
      <c r="V21" s="445"/>
      <c r="W21" s="445"/>
      <c r="X21" s="445"/>
      <c r="Y21" s="445"/>
      <c r="Z21" s="445"/>
      <c r="AA21" s="445"/>
      <c r="AB21" s="445"/>
      <c r="AC21" s="463"/>
      <c r="AD21" s="471"/>
      <c r="AE21" s="471"/>
      <c r="AF21" s="445"/>
      <c r="AG21" s="471"/>
      <c r="AH21" s="471"/>
      <c r="AI21" s="471"/>
      <c r="AJ21" s="483"/>
    </row>
    <row r="22" ht="15" customHeight="1" spans="1:36">
      <c r="A22" s="32">
        <v>11</v>
      </c>
      <c r="B22" s="152" t="s">
        <v>28</v>
      </c>
      <c r="C22" s="301"/>
      <c r="D22" s="301"/>
      <c r="E22" s="310"/>
      <c r="F22" s="444"/>
      <c r="G22" s="445"/>
      <c r="H22" s="445"/>
      <c r="I22" s="445"/>
      <c r="J22" s="445"/>
      <c r="K22" s="445"/>
      <c r="L22" s="445"/>
      <c r="M22" s="445"/>
      <c r="N22" s="445"/>
      <c r="O22" s="445"/>
      <c r="P22" s="463"/>
      <c r="Q22" s="471"/>
      <c r="R22" s="471"/>
      <c r="S22" s="445"/>
      <c r="T22" s="445"/>
      <c r="U22" s="445"/>
      <c r="V22" s="445"/>
      <c r="W22" s="445"/>
      <c r="X22" s="445"/>
      <c r="Y22" s="445"/>
      <c r="Z22" s="445"/>
      <c r="AA22" s="445"/>
      <c r="AB22" s="445"/>
      <c r="AC22" s="463"/>
      <c r="AD22" s="471"/>
      <c r="AE22" s="471"/>
      <c r="AF22" s="445"/>
      <c r="AG22" s="471"/>
      <c r="AH22" s="471"/>
      <c r="AI22" s="471"/>
      <c r="AJ22" s="483"/>
    </row>
    <row r="23" ht="15" customHeight="1" spans="1:36">
      <c r="A23" s="32">
        <v>12</v>
      </c>
      <c r="B23" s="119" t="s">
        <v>29</v>
      </c>
      <c r="C23" s="301"/>
      <c r="D23" s="301"/>
      <c r="E23" s="310"/>
      <c r="F23" s="444"/>
      <c r="G23" s="445"/>
      <c r="H23" s="445"/>
      <c r="I23" s="445"/>
      <c r="J23" s="445"/>
      <c r="K23" s="445"/>
      <c r="L23" s="445"/>
      <c r="M23" s="445"/>
      <c r="N23" s="445"/>
      <c r="O23" s="445"/>
      <c r="P23" s="463"/>
      <c r="Q23" s="471"/>
      <c r="R23" s="471"/>
      <c r="S23" s="445"/>
      <c r="T23" s="445"/>
      <c r="U23" s="445"/>
      <c r="V23" s="445"/>
      <c r="W23" s="445"/>
      <c r="X23" s="445"/>
      <c r="Y23" s="445"/>
      <c r="Z23" s="445"/>
      <c r="AA23" s="445"/>
      <c r="AB23" s="445"/>
      <c r="AC23" s="463"/>
      <c r="AD23" s="471"/>
      <c r="AE23" s="471"/>
      <c r="AF23" s="445"/>
      <c r="AG23" s="471"/>
      <c r="AH23" s="471"/>
      <c r="AI23" s="471"/>
      <c r="AJ23" s="483"/>
    </row>
    <row r="24" ht="15" customHeight="1" spans="1:36">
      <c r="A24" s="32">
        <v>13</v>
      </c>
      <c r="B24" s="119" t="s">
        <v>30</v>
      </c>
      <c r="C24" s="301"/>
      <c r="D24" s="301"/>
      <c r="E24" s="310"/>
      <c r="F24" s="444"/>
      <c r="G24" s="445"/>
      <c r="H24" s="445"/>
      <c r="I24" s="445"/>
      <c r="J24" s="445"/>
      <c r="K24" s="445"/>
      <c r="L24" s="445"/>
      <c r="M24" s="445"/>
      <c r="N24" s="445"/>
      <c r="O24" s="445"/>
      <c r="P24" s="463"/>
      <c r="Q24" s="471"/>
      <c r="R24" s="471"/>
      <c r="S24" s="445"/>
      <c r="T24" s="445"/>
      <c r="U24" s="445"/>
      <c r="V24" s="445"/>
      <c r="W24" s="445"/>
      <c r="X24" s="445"/>
      <c r="Y24" s="445"/>
      <c r="Z24" s="445"/>
      <c r="AA24" s="445"/>
      <c r="AB24" s="445"/>
      <c r="AC24" s="463"/>
      <c r="AD24" s="471"/>
      <c r="AE24" s="471"/>
      <c r="AF24" s="445"/>
      <c r="AG24" s="471"/>
      <c r="AH24" s="471"/>
      <c r="AI24" s="471"/>
      <c r="AJ24" s="483"/>
    </row>
    <row r="25" ht="15" customHeight="1" spans="1:36">
      <c r="A25" s="32">
        <v>14</v>
      </c>
      <c r="B25" s="152" t="s">
        <v>31</v>
      </c>
      <c r="C25" s="301"/>
      <c r="D25" s="301"/>
      <c r="E25" s="310"/>
      <c r="F25" s="444"/>
      <c r="G25" s="445"/>
      <c r="H25" s="445"/>
      <c r="I25" s="445"/>
      <c r="J25" s="445"/>
      <c r="K25" s="445"/>
      <c r="L25" s="445"/>
      <c r="M25" s="445"/>
      <c r="N25" s="445"/>
      <c r="O25" s="445"/>
      <c r="P25" s="463"/>
      <c r="Q25" s="471"/>
      <c r="R25" s="471"/>
      <c r="S25" s="445"/>
      <c r="T25" s="445"/>
      <c r="U25" s="445"/>
      <c r="V25" s="445"/>
      <c r="W25" s="445"/>
      <c r="X25" s="445"/>
      <c r="Y25" s="445"/>
      <c r="Z25" s="445"/>
      <c r="AA25" s="445"/>
      <c r="AB25" s="445"/>
      <c r="AC25" s="463"/>
      <c r="AD25" s="471"/>
      <c r="AE25" s="471"/>
      <c r="AF25" s="445"/>
      <c r="AG25" s="471"/>
      <c r="AH25" s="471"/>
      <c r="AI25" s="471"/>
      <c r="AJ25" s="483"/>
    </row>
    <row r="26" ht="15" customHeight="1" spans="1:36">
      <c r="A26" s="32">
        <v>15</v>
      </c>
      <c r="B26" s="119" t="s">
        <v>32</v>
      </c>
      <c r="C26" s="301"/>
      <c r="D26" s="301"/>
      <c r="E26" s="310"/>
      <c r="F26" s="444"/>
      <c r="G26" s="445"/>
      <c r="H26" s="445"/>
      <c r="I26" s="445"/>
      <c r="J26" s="445"/>
      <c r="K26" s="445"/>
      <c r="L26" s="445"/>
      <c r="M26" s="445"/>
      <c r="N26" s="445"/>
      <c r="O26" s="445"/>
      <c r="P26" s="463"/>
      <c r="Q26" s="471"/>
      <c r="R26" s="471"/>
      <c r="S26" s="445"/>
      <c r="T26" s="445"/>
      <c r="U26" s="445"/>
      <c r="V26" s="445"/>
      <c r="W26" s="445"/>
      <c r="X26" s="445"/>
      <c r="Y26" s="445"/>
      <c r="Z26" s="445"/>
      <c r="AA26" s="445"/>
      <c r="AB26" s="445"/>
      <c r="AC26" s="463"/>
      <c r="AD26" s="471"/>
      <c r="AE26" s="471"/>
      <c r="AF26" s="445"/>
      <c r="AG26" s="471"/>
      <c r="AH26" s="471"/>
      <c r="AI26" s="471"/>
      <c r="AJ26" s="483"/>
    </row>
    <row r="27" ht="15" customHeight="1" spans="1:36">
      <c r="A27" s="32">
        <v>16</v>
      </c>
      <c r="B27" s="119" t="s">
        <v>33</v>
      </c>
      <c r="C27" s="301"/>
      <c r="D27" s="301"/>
      <c r="E27" s="310"/>
      <c r="F27" s="444"/>
      <c r="G27" s="445"/>
      <c r="H27" s="445"/>
      <c r="I27" s="445"/>
      <c r="J27" s="445"/>
      <c r="K27" s="445"/>
      <c r="L27" s="445"/>
      <c r="M27" s="445"/>
      <c r="N27" s="445"/>
      <c r="O27" s="445"/>
      <c r="P27" s="463"/>
      <c r="Q27" s="471"/>
      <c r="R27" s="471"/>
      <c r="S27" s="445"/>
      <c r="T27" s="445"/>
      <c r="U27" s="445"/>
      <c r="V27" s="445"/>
      <c r="W27" s="445"/>
      <c r="X27" s="445"/>
      <c r="Y27" s="445"/>
      <c r="Z27" s="445"/>
      <c r="AA27" s="445"/>
      <c r="AB27" s="445"/>
      <c r="AC27" s="463"/>
      <c r="AD27" s="471"/>
      <c r="AE27" s="471"/>
      <c r="AF27" s="445"/>
      <c r="AG27" s="471"/>
      <c r="AH27" s="471"/>
      <c r="AI27" s="471"/>
      <c r="AJ27" s="483"/>
    </row>
    <row r="28" ht="15" customHeight="1" spans="1:36">
      <c r="A28" s="32">
        <v>17</v>
      </c>
      <c r="B28" s="152" t="s">
        <v>34</v>
      </c>
      <c r="C28" s="301"/>
      <c r="D28" s="301"/>
      <c r="E28" s="310"/>
      <c r="F28" s="444"/>
      <c r="G28" s="445"/>
      <c r="H28" s="445"/>
      <c r="I28" s="445"/>
      <c r="J28" s="445"/>
      <c r="K28" s="445"/>
      <c r="L28" s="445"/>
      <c r="M28" s="445"/>
      <c r="N28" s="445"/>
      <c r="O28" s="445"/>
      <c r="P28" s="463"/>
      <c r="Q28" s="471"/>
      <c r="R28" s="471"/>
      <c r="S28" s="445"/>
      <c r="T28" s="445"/>
      <c r="U28" s="445"/>
      <c r="V28" s="445"/>
      <c r="W28" s="445"/>
      <c r="X28" s="445"/>
      <c r="Y28" s="445"/>
      <c r="Z28" s="445"/>
      <c r="AA28" s="445"/>
      <c r="AB28" s="445"/>
      <c r="AC28" s="463"/>
      <c r="AD28" s="471"/>
      <c r="AE28" s="471"/>
      <c r="AF28" s="445"/>
      <c r="AG28" s="471"/>
      <c r="AH28" s="471"/>
      <c r="AI28" s="471"/>
      <c r="AJ28" s="483"/>
    </row>
    <row r="29" ht="15" customHeight="1" spans="1:36">
      <c r="A29" s="32">
        <v>18</v>
      </c>
      <c r="B29" s="152" t="s">
        <v>35</v>
      </c>
      <c r="C29" s="301"/>
      <c r="D29" s="301"/>
      <c r="E29" s="310"/>
      <c r="F29" s="444"/>
      <c r="G29" s="445"/>
      <c r="H29" s="445"/>
      <c r="I29" s="445"/>
      <c r="J29" s="445"/>
      <c r="K29" s="445"/>
      <c r="L29" s="445"/>
      <c r="M29" s="445"/>
      <c r="N29" s="445"/>
      <c r="O29" s="445"/>
      <c r="P29" s="463"/>
      <c r="Q29" s="471"/>
      <c r="R29" s="471"/>
      <c r="S29" s="445"/>
      <c r="T29" s="445"/>
      <c r="U29" s="445"/>
      <c r="V29" s="445"/>
      <c r="W29" s="445"/>
      <c r="X29" s="445"/>
      <c r="Y29" s="445"/>
      <c r="Z29" s="445"/>
      <c r="AA29" s="445"/>
      <c r="AB29" s="445"/>
      <c r="AC29" s="463"/>
      <c r="AD29" s="471"/>
      <c r="AE29" s="471"/>
      <c r="AF29" s="445"/>
      <c r="AG29" s="471"/>
      <c r="AH29" s="471"/>
      <c r="AI29" s="471"/>
      <c r="AJ29" s="483"/>
    </row>
    <row r="30" ht="15" customHeight="1" spans="1:36">
      <c r="A30" s="32">
        <v>19</v>
      </c>
      <c r="B30" s="152" t="s">
        <v>36</v>
      </c>
      <c r="C30" s="301"/>
      <c r="D30" s="301"/>
      <c r="E30" s="310"/>
      <c r="F30" s="444"/>
      <c r="G30" s="445"/>
      <c r="H30" s="445"/>
      <c r="I30" s="445"/>
      <c r="J30" s="445"/>
      <c r="K30" s="445"/>
      <c r="L30" s="445"/>
      <c r="M30" s="445"/>
      <c r="N30" s="445"/>
      <c r="O30" s="445"/>
      <c r="P30" s="463"/>
      <c r="Q30" s="471"/>
      <c r="R30" s="471"/>
      <c r="S30" s="445"/>
      <c r="T30" s="445"/>
      <c r="U30" s="445"/>
      <c r="V30" s="445"/>
      <c r="W30" s="445"/>
      <c r="X30" s="445"/>
      <c r="Y30" s="445"/>
      <c r="Z30" s="445"/>
      <c r="AA30" s="445"/>
      <c r="AB30" s="445"/>
      <c r="AC30" s="463"/>
      <c r="AD30" s="471"/>
      <c r="AE30" s="471"/>
      <c r="AF30" s="445"/>
      <c r="AG30" s="471"/>
      <c r="AH30" s="471"/>
      <c r="AI30" s="471"/>
      <c r="AJ30" s="483"/>
    </row>
    <row r="31" ht="15.75" customHeight="1" spans="1:36">
      <c r="A31" s="32">
        <v>20</v>
      </c>
      <c r="B31" s="119" t="s">
        <v>37</v>
      </c>
      <c r="C31" s="301"/>
      <c r="D31" s="301"/>
      <c r="E31" s="310"/>
      <c r="F31" s="444"/>
      <c r="G31" s="445"/>
      <c r="H31" s="445"/>
      <c r="I31" s="445"/>
      <c r="J31" s="445"/>
      <c r="K31" s="445"/>
      <c r="L31" s="445"/>
      <c r="M31" s="445"/>
      <c r="N31" s="445"/>
      <c r="O31" s="445"/>
      <c r="P31" s="463"/>
      <c r="Q31" s="471"/>
      <c r="R31" s="471"/>
      <c r="S31" s="445"/>
      <c r="T31" s="445"/>
      <c r="U31" s="445"/>
      <c r="V31" s="445"/>
      <c r="W31" s="445"/>
      <c r="X31" s="445"/>
      <c r="Y31" s="445"/>
      <c r="Z31" s="445"/>
      <c r="AA31" s="445"/>
      <c r="AB31" s="445"/>
      <c r="AC31" s="463"/>
      <c r="AD31" s="471"/>
      <c r="AE31" s="471"/>
      <c r="AF31" s="445"/>
      <c r="AG31" s="471"/>
      <c r="AH31" s="471"/>
      <c r="AI31" s="471"/>
      <c r="AJ31" s="483"/>
    </row>
    <row r="32" ht="15" hidden="1" customHeight="1" spans="1:36">
      <c r="A32" s="448">
        <v>21</v>
      </c>
      <c r="B32" s="300"/>
      <c r="C32" s="301"/>
      <c r="D32" s="301"/>
      <c r="E32" s="310"/>
      <c r="F32" s="445"/>
      <c r="G32" s="445"/>
      <c r="H32" s="445"/>
      <c r="I32" s="445"/>
      <c r="J32" s="445"/>
      <c r="K32" s="445"/>
      <c r="L32" s="445"/>
      <c r="M32" s="445"/>
      <c r="N32" s="445"/>
      <c r="O32" s="445"/>
      <c r="P32" s="463"/>
      <c r="Q32" s="471"/>
      <c r="R32" s="471"/>
      <c r="S32" s="445"/>
      <c r="T32" s="445"/>
      <c r="U32" s="445"/>
      <c r="V32" s="445"/>
      <c r="W32" s="445"/>
      <c r="X32" s="445"/>
      <c r="Y32" s="445"/>
      <c r="Z32" s="445"/>
      <c r="AA32" s="445"/>
      <c r="AB32" s="445"/>
      <c r="AC32" s="463"/>
      <c r="AD32" s="471"/>
      <c r="AE32" s="471"/>
      <c r="AF32" s="445"/>
      <c r="AG32" s="471"/>
      <c r="AH32" s="471"/>
      <c r="AI32" s="471"/>
      <c r="AJ32" s="483"/>
    </row>
    <row r="33" ht="15" hidden="1" customHeight="1" spans="1:36">
      <c r="A33" s="37">
        <v>22</v>
      </c>
      <c r="B33" s="336"/>
      <c r="C33" s="301"/>
      <c r="D33" s="301"/>
      <c r="E33" s="310"/>
      <c r="F33" s="445"/>
      <c r="G33" s="445"/>
      <c r="H33" s="445"/>
      <c r="I33" s="445"/>
      <c r="J33" s="445"/>
      <c r="K33" s="445"/>
      <c r="L33" s="445"/>
      <c r="M33" s="445"/>
      <c r="N33" s="445"/>
      <c r="O33" s="445"/>
      <c r="P33" s="463"/>
      <c r="Q33" s="471"/>
      <c r="R33" s="471"/>
      <c r="S33" s="445"/>
      <c r="T33" s="445"/>
      <c r="U33" s="445"/>
      <c r="V33" s="445"/>
      <c r="W33" s="445"/>
      <c r="X33" s="445"/>
      <c r="Y33" s="445"/>
      <c r="Z33" s="445"/>
      <c r="AA33" s="445"/>
      <c r="AB33" s="445"/>
      <c r="AC33" s="463"/>
      <c r="AD33" s="471"/>
      <c r="AE33" s="471"/>
      <c r="AF33" s="445"/>
      <c r="AG33" s="471"/>
      <c r="AH33" s="471"/>
      <c r="AI33" s="471"/>
      <c r="AJ33" s="483"/>
    </row>
    <row r="34" ht="15" hidden="1" customHeight="1" spans="1:36">
      <c r="A34" s="37">
        <v>23</v>
      </c>
      <c r="B34" s="336"/>
      <c r="C34" s="301"/>
      <c r="D34" s="301"/>
      <c r="E34" s="310"/>
      <c r="F34" s="445"/>
      <c r="G34" s="445"/>
      <c r="H34" s="445"/>
      <c r="I34" s="445"/>
      <c r="J34" s="445"/>
      <c r="K34" s="445"/>
      <c r="L34" s="445"/>
      <c r="M34" s="445"/>
      <c r="N34" s="445"/>
      <c r="O34" s="445"/>
      <c r="P34" s="463"/>
      <c r="Q34" s="471"/>
      <c r="R34" s="471"/>
      <c r="S34" s="445"/>
      <c r="T34" s="445"/>
      <c r="U34" s="445"/>
      <c r="V34" s="445"/>
      <c r="W34" s="445"/>
      <c r="X34" s="445"/>
      <c r="Y34" s="445"/>
      <c r="Z34" s="445"/>
      <c r="AA34" s="445"/>
      <c r="AB34" s="445"/>
      <c r="AC34" s="463"/>
      <c r="AD34" s="471"/>
      <c r="AE34" s="471"/>
      <c r="AF34" s="445"/>
      <c r="AG34" s="471"/>
      <c r="AH34" s="471"/>
      <c r="AI34" s="471"/>
      <c r="AJ34" s="483"/>
    </row>
    <row r="35" ht="15" hidden="1" customHeight="1" spans="1:36">
      <c r="A35" s="37">
        <v>24</v>
      </c>
      <c r="B35" s="300"/>
      <c r="C35" s="301"/>
      <c r="D35" s="301"/>
      <c r="E35" s="310"/>
      <c r="F35" s="445"/>
      <c r="G35" s="445"/>
      <c r="H35" s="445"/>
      <c r="I35" s="445"/>
      <c r="J35" s="445"/>
      <c r="K35" s="445"/>
      <c r="L35" s="445"/>
      <c r="M35" s="445"/>
      <c r="N35" s="445"/>
      <c r="O35" s="445"/>
      <c r="P35" s="463"/>
      <c r="Q35" s="471"/>
      <c r="R35" s="471"/>
      <c r="S35" s="445"/>
      <c r="T35" s="445"/>
      <c r="U35" s="445"/>
      <c r="V35" s="445"/>
      <c r="W35" s="445"/>
      <c r="X35" s="445"/>
      <c r="Y35" s="445"/>
      <c r="Z35" s="445"/>
      <c r="AA35" s="445"/>
      <c r="AB35" s="445"/>
      <c r="AC35" s="463"/>
      <c r="AD35" s="471"/>
      <c r="AE35" s="471"/>
      <c r="AF35" s="445"/>
      <c r="AG35" s="471"/>
      <c r="AH35" s="471"/>
      <c r="AI35" s="471"/>
      <c r="AJ35" s="483"/>
    </row>
    <row r="36" ht="15" hidden="1" customHeight="1" spans="1:36">
      <c r="A36" s="37">
        <v>25</v>
      </c>
      <c r="B36" s="300"/>
      <c r="C36" s="301"/>
      <c r="D36" s="301"/>
      <c r="E36" s="310"/>
      <c r="F36" s="445"/>
      <c r="G36" s="445"/>
      <c r="H36" s="445"/>
      <c r="I36" s="445"/>
      <c r="J36" s="445"/>
      <c r="K36" s="445"/>
      <c r="L36" s="445"/>
      <c r="M36" s="445"/>
      <c r="N36" s="445"/>
      <c r="O36" s="445"/>
      <c r="P36" s="463"/>
      <c r="Q36" s="471"/>
      <c r="R36" s="471"/>
      <c r="S36" s="445"/>
      <c r="T36" s="445"/>
      <c r="U36" s="445"/>
      <c r="V36" s="445"/>
      <c r="W36" s="445"/>
      <c r="X36" s="445"/>
      <c r="Y36" s="445"/>
      <c r="Z36" s="445"/>
      <c r="AA36" s="445"/>
      <c r="AB36" s="445"/>
      <c r="AC36" s="463"/>
      <c r="AD36" s="471"/>
      <c r="AE36" s="471"/>
      <c r="AF36" s="445"/>
      <c r="AG36" s="471"/>
      <c r="AH36" s="471"/>
      <c r="AI36" s="471"/>
      <c r="AJ36" s="483"/>
    </row>
    <row r="37" ht="15" hidden="1" customHeight="1" spans="1:36">
      <c r="A37" s="37">
        <v>26</v>
      </c>
      <c r="B37" s="336"/>
      <c r="C37" s="301"/>
      <c r="D37" s="301"/>
      <c r="E37" s="310"/>
      <c r="F37" s="445"/>
      <c r="G37" s="445"/>
      <c r="H37" s="445"/>
      <c r="I37" s="445"/>
      <c r="J37" s="445"/>
      <c r="K37" s="445"/>
      <c r="L37" s="445"/>
      <c r="M37" s="445"/>
      <c r="N37" s="445"/>
      <c r="O37" s="445"/>
      <c r="P37" s="463"/>
      <c r="Q37" s="471"/>
      <c r="R37" s="471"/>
      <c r="S37" s="445"/>
      <c r="T37" s="445"/>
      <c r="U37" s="445"/>
      <c r="V37" s="445"/>
      <c r="W37" s="445"/>
      <c r="X37" s="445"/>
      <c r="Y37" s="445"/>
      <c r="Z37" s="445"/>
      <c r="AA37" s="445"/>
      <c r="AB37" s="445"/>
      <c r="AC37" s="463"/>
      <c r="AD37" s="471"/>
      <c r="AE37" s="471"/>
      <c r="AF37" s="445"/>
      <c r="AG37" s="471"/>
      <c r="AH37" s="471"/>
      <c r="AI37" s="471"/>
      <c r="AJ37" s="483"/>
    </row>
    <row r="38" ht="15" hidden="1" customHeight="1" spans="1:36">
      <c r="A38" s="37">
        <v>27</v>
      </c>
      <c r="B38" s="336"/>
      <c r="C38" s="301">
        <v>0</v>
      </c>
      <c r="D38" s="301">
        <v>0</v>
      </c>
      <c r="E38" s="310">
        <v>0</v>
      </c>
      <c r="F38" s="445"/>
      <c r="G38" s="445"/>
      <c r="H38" s="445"/>
      <c r="I38" s="445"/>
      <c r="J38" s="445"/>
      <c r="K38" s="445"/>
      <c r="L38" s="445"/>
      <c r="M38" s="445"/>
      <c r="N38" s="445"/>
      <c r="O38" s="445"/>
      <c r="P38" s="463"/>
      <c r="Q38" s="471"/>
      <c r="R38" s="471"/>
      <c r="S38" s="445"/>
      <c r="T38" s="445"/>
      <c r="U38" s="445"/>
      <c r="V38" s="445"/>
      <c r="W38" s="445"/>
      <c r="X38" s="445"/>
      <c r="Y38" s="445"/>
      <c r="Z38" s="445"/>
      <c r="AA38" s="445"/>
      <c r="AB38" s="445"/>
      <c r="AC38" s="463"/>
      <c r="AD38" s="471"/>
      <c r="AE38" s="471"/>
      <c r="AF38" s="445"/>
      <c r="AG38" s="471"/>
      <c r="AH38" s="471"/>
      <c r="AI38" s="471"/>
      <c r="AJ38" s="483"/>
    </row>
    <row r="39" ht="15" hidden="1" customHeight="1" spans="1:36">
      <c r="A39" s="37">
        <v>28</v>
      </c>
      <c r="B39" s="449"/>
      <c r="C39" s="450"/>
      <c r="D39" s="450"/>
      <c r="E39" s="451"/>
      <c r="F39" s="445"/>
      <c r="G39" s="445"/>
      <c r="H39" s="445"/>
      <c r="I39" s="445"/>
      <c r="J39" s="445"/>
      <c r="K39" s="445"/>
      <c r="L39" s="445"/>
      <c r="M39" s="445"/>
      <c r="N39" s="445"/>
      <c r="O39" s="445"/>
      <c r="P39" s="463"/>
      <c r="Q39" s="471"/>
      <c r="R39" s="471"/>
      <c r="S39" s="445"/>
      <c r="T39" s="445"/>
      <c r="U39" s="445"/>
      <c r="V39" s="445"/>
      <c r="W39" s="445"/>
      <c r="X39" s="445"/>
      <c r="Y39" s="445"/>
      <c r="Z39" s="445"/>
      <c r="AA39" s="445"/>
      <c r="AB39" s="445"/>
      <c r="AC39" s="463"/>
      <c r="AD39" s="471"/>
      <c r="AE39" s="471"/>
      <c r="AF39" s="445"/>
      <c r="AG39" s="471"/>
      <c r="AH39" s="471"/>
      <c r="AI39" s="471"/>
      <c r="AJ39" s="483"/>
    </row>
    <row r="40" ht="15.75" hidden="1" customHeight="1" spans="1:36">
      <c r="A40" s="452">
        <v>29</v>
      </c>
      <c r="B40" s="449"/>
      <c r="C40" s="450"/>
      <c r="D40" s="450"/>
      <c r="E40" s="451"/>
      <c r="F40" s="445"/>
      <c r="G40" s="445"/>
      <c r="H40" s="445"/>
      <c r="I40" s="445"/>
      <c r="J40" s="445"/>
      <c r="K40" s="445"/>
      <c r="L40" s="445"/>
      <c r="M40" s="445"/>
      <c r="N40" s="445"/>
      <c r="O40" s="445"/>
      <c r="P40" s="463"/>
      <c r="Q40" s="471"/>
      <c r="R40" s="471"/>
      <c r="S40" s="445"/>
      <c r="T40" s="445"/>
      <c r="U40" s="445"/>
      <c r="V40" s="445"/>
      <c r="W40" s="445"/>
      <c r="X40" s="445"/>
      <c r="Y40" s="445"/>
      <c r="Z40" s="445"/>
      <c r="AA40" s="445"/>
      <c r="AB40" s="445"/>
      <c r="AC40" s="463"/>
      <c r="AD40" s="471"/>
      <c r="AE40" s="471"/>
      <c r="AF40" s="445"/>
      <c r="AG40" s="471"/>
      <c r="AH40" s="471"/>
      <c r="AI40" s="471"/>
      <c r="AJ40" s="483"/>
    </row>
    <row r="41" ht="15" hidden="1" customHeight="1" spans="1:36">
      <c r="A41" s="32">
        <v>30</v>
      </c>
      <c r="B41" s="449"/>
      <c r="C41" s="450"/>
      <c r="D41" s="450"/>
      <c r="E41" s="451"/>
      <c r="F41" s="445"/>
      <c r="G41" s="445"/>
      <c r="H41" s="445"/>
      <c r="I41" s="445"/>
      <c r="J41" s="445"/>
      <c r="K41" s="445"/>
      <c r="L41" s="445"/>
      <c r="M41" s="445"/>
      <c r="N41" s="445"/>
      <c r="O41" s="445"/>
      <c r="P41" s="463"/>
      <c r="Q41" s="471"/>
      <c r="R41" s="471"/>
      <c r="S41" s="445"/>
      <c r="T41" s="445"/>
      <c r="U41" s="445"/>
      <c r="V41" s="445"/>
      <c r="W41" s="445"/>
      <c r="X41" s="445"/>
      <c r="Y41" s="445"/>
      <c r="Z41" s="445"/>
      <c r="AA41" s="445"/>
      <c r="AB41" s="445"/>
      <c r="AC41" s="463"/>
      <c r="AD41" s="471"/>
      <c r="AE41" s="471"/>
      <c r="AF41" s="445"/>
      <c r="AG41" s="471"/>
      <c r="AH41" s="471"/>
      <c r="AI41" s="471"/>
      <c r="AJ41" s="483"/>
    </row>
    <row r="42" ht="15" hidden="1" customHeight="1" spans="1:36">
      <c r="A42" s="37">
        <v>31</v>
      </c>
      <c r="B42" s="449"/>
      <c r="C42" s="450"/>
      <c r="D42" s="450"/>
      <c r="E42" s="451"/>
      <c r="F42" s="444"/>
      <c r="G42" s="445"/>
      <c r="H42" s="445"/>
      <c r="I42" s="445"/>
      <c r="J42" s="445"/>
      <c r="K42" s="445"/>
      <c r="L42" s="445"/>
      <c r="M42" s="445"/>
      <c r="N42" s="445"/>
      <c r="O42" s="445"/>
      <c r="P42" s="463"/>
      <c r="Q42" s="471"/>
      <c r="R42" s="471"/>
      <c r="S42" s="445"/>
      <c r="T42" s="445"/>
      <c r="U42" s="445"/>
      <c r="V42" s="445"/>
      <c r="W42" s="445"/>
      <c r="X42" s="445"/>
      <c r="Y42" s="445"/>
      <c r="Z42" s="445"/>
      <c r="AA42" s="445"/>
      <c r="AB42" s="445"/>
      <c r="AC42" s="463"/>
      <c r="AD42" s="471"/>
      <c r="AE42" s="471"/>
      <c r="AF42" s="445"/>
      <c r="AG42" s="471"/>
      <c r="AH42" s="471"/>
      <c r="AI42" s="471"/>
      <c r="AJ42" s="483"/>
    </row>
    <row r="43" ht="15" hidden="1" customHeight="1" spans="1:36">
      <c r="A43" s="37">
        <v>32</v>
      </c>
      <c r="B43" s="449"/>
      <c r="C43" s="450"/>
      <c r="D43" s="450"/>
      <c r="E43" s="451"/>
      <c r="F43" s="444"/>
      <c r="G43" s="445"/>
      <c r="H43" s="445"/>
      <c r="I43" s="445"/>
      <c r="J43" s="445"/>
      <c r="K43" s="445"/>
      <c r="L43" s="445"/>
      <c r="M43" s="445"/>
      <c r="N43" s="445"/>
      <c r="O43" s="445"/>
      <c r="P43" s="463"/>
      <c r="Q43" s="471"/>
      <c r="R43" s="471"/>
      <c r="S43" s="445"/>
      <c r="T43" s="445"/>
      <c r="U43" s="445"/>
      <c r="V43" s="445"/>
      <c r="W43" s="445"/>
      <c r="X43" s="445"/>
      <c r="Y43" s="445"/>
      <c r="Z43" s="445"/>
      <c r="AA43" s="445"/>
      <c r="AB43" s="445"/>
      <c r="AC43" s="463"/>
      <c r="AD43" s="471"/>
      <c r="AE43" s="471"/>
      <c r="AF43" s="445"/>
      <c r="AG43" s="471"/>
      <c r="AH43" s="471"/>
      <c r="AI43" s="471"/>
      <c r="AJ43" s="483"/>
    </row>
    <row r="44" ht="15" hidden="1" customHeight="1" spans="1:36">
      <c r="A44" s="37">
        <v>33</v>
      </c>
      <c r="B44" s="449"/>
      <c r="C44" s="450"/>
      <c r="D44" s="450"/>
      <c r="E44" s="451"/>
      <c r="F44" s="444"/>
      <c r="G44" s="445"/>
      <c r="H44" s="445"/>
      <c r="I44" s="445"/>
      <c r="J44" s="445"/>
      <c r="K44" s="445"/>
      <c r="L44" s="445"/>
      <c r="M44" s="445"/>
      <c r="N44" s="445"/>
      <c r="O44" s="445"/>
      <c r="P44" s="463"/>
      <c r="Q44" s="471"/>
      <c r="R44" s="471"/>
      <c r="S44" s="445"/>
      <c r="T44" s="445"/>
      <c r="U44" s="445"/>
      <c r="V44" s="445"/>
      <c r="W44" s="445"/>
      <c r="X44" s="445"/>
      <c r="Y44" s="445"/>
      <c r="Z44" s="445"/>
      <c r="AA44" s="445"/>
      <c r="AB44" s="445"/>
      <c r="AC44" s="463"/>
      <c r="AD44" s="471"/>
      <c r="AE44" s="471"/>
      <c r="AF44" s="445"/>
      <c r="AG44" s="471"/>
      <c r="AH44" s="471"/>
      <c r="AI44" s="471"/>
      <c r="AJ44" s="483"/>
    </row>
    <row r="45" ht="13.8" hidden="1" spans="1:36">
      <c r="A45" s="37">
        <v>34</v>
      </c>
      <c r="B45" s="449"/>
      <c r="C45" s="450"/>
      <c r="D45" s="450"/>
      <c r="E45" s="451"/>
      <c r="F45" s="444"/>
      <c r="G45" s="445"/>
      <c r="H45" s="445"/>
      <c r="I45" s="445"/>
      <c r="J45" s="445"/>
      <c r="K45" s="445"/>
      <c r="L45" s="445"/>
      <c r="M45" s="445"/>
      <c r="N45" s="445"/>
      <c r="O45" s="445"/>
      <c r="P45" s="463"/>
      <c r="Q45" s="471"/>
      <c r="R45" s="471"/>
      <c r="S45" s="445"/>
      <c r="T45" s="445"/>
      <c r="U45" s="445"/>
      <c r="V45" s="445"/>
      <c r="W45" s="445"/>
      <c r="X45" s="445"/>
      <c r="Y45" s="445"/>
      <c r="Z45" s="445"/>
      <c r="AA45" s="445"/>
      <c r="AB45" s="445"/>
      <c r="AC45" s="463"/>
      <c r="AD45" s="471"/>
      <c r="AE45" s="471"/>
      <c r="AF45" s="445"/>
      <c r="AG45" s="471"/>
      <c r="AH45" s="471"/>
      <c r="AI45" s="471"/>
      <c r="AJ45" s="483"/>
    </row>
    <row r="46" ht="13.8" hidden="1" spans="1:36">
      <c r="A46" s="42">
        <v>35</v>
      </c>
      <c r="B46" s="449"/>
      <c r="C46" s="450"/>
      <c r="D46" s="450"/>
      <c r="E46" s="451"/>
      <c r="F46" s="444"/>
      <c r="G46" s="445"/>
      <c r="H46" s="445"/>
      <c r="I46" s="445"/>
      <c r="J46" s="445"/>
      <c r="K46" s="445"/>
      <c r="L46" s="445"/>
      <c r="M46" s="445"/>
      <c r="N46" s="445"/>
      <c r="O46" s="445"/>
      <c r="P46" s="463"/>
      <c r="Q46" s="471"/>
      <c r="R46" s="471"/>
      <c r="S46" s="445"/>
      <c r="T46" s="445"/>
      <c r="U46" s="445"/>
      <c r="V46" s="445"/>
      <c r="W46" s="445"/>
      <c r="X46" s="445"/>
      <c r="Y46" s="445"/>
      <c r="Z46" s="445"/>
      <c r="AA46" s="445"/>
      <c r="AB46" s="445"/>
      <c r="AC46" s="463"/>
      <c r="AD46" s="471"/>
      <c r="AE46" s="471"/>
      <c r="AF46" s="445"/>
      <c r="AG46" s="471"/>
      <c r="AH46" s="471"/>
      <c r="AI46" s="471"/>
      <c r="AJ46" s="483"/>
    </row>
    <row r="47" ht="13.8" hidden="1" spans="1:36">
      <c r="A47" s="42">
        <v>36</v>
      </c>
      <c r="B47" s="449"/>
      <c r="C47" s="450"/>
      <c r="D47" s="450"/>
      <c r="E47" s="451"/>
      <c r="F47" s="444"/>
      <c r="G47" s="445"/>
      <c r="H47" s="445"/>
      <c r="I47" s="445"/>
      <c r="J47" s="445"/>
      <c r="K47" s="445"/>
      <c r="L47" s="445"/>
      <c r="M47" s="445"/>
      <c r="N47" s="445"/>
      <c r="O47" s="445"/>
      <c r="P47" s="463"/>
      <c r="Q47" s="471"/>
      <c r="R47" s="471"/>
      <c r="S47" s="445"/>
      <c r="T47" s="445"/>
      <c r="U47" s="445"/>
      <c r="V47" s="445"/>
      <c r="W47" s="445"/>
      <c r="X47" s="445"/>
      <c r="Y47" s="445"/>
      <c r="Z47" s="445"/>
      <c r="AA47" s="445"/>
      <c r="AB47" s="445"/>
      <c r="AC47" s="463"/>
      <c r="AD47" s="471"/>
      <c r="AE47" s="471"/>
      <c r="AF47" s="445"/>
      <c r="AG47" s="471"/>
      <c r="AH47" s="471"/>
      <c r="AI47" s="471"/>
      <c r="AJ47" s="483"/>
    </row>
    <row r="48" ht="13.8" hidden="1" spans="1:36">
      <c r="A48" s="42">
        <v>37</v>
      </c>
      <c r="B48" s="449"/>
      <c r="C48" s="450"/>
      <c r="D48" s="450"/>
      <c r="E48" s="451"/>
      <c r="F48" s="444"/>
      <c r="G48" s="445"/>
      <c r="H48" s="445"/>
      <c r="I48" s="445"/>
      <c r="J48" s="445"/>
      <c r="K48" s="445"/>
      <c r="L48" s="445"/>
      <c r="M48" s="445"/>
      <c r="N48" s="445"/>
      <c r="O48" s="445"/>
      <c r="P48" s="463"/>
      <c r="Q48" s="471"/>
      <c r="R48" s="471"/>
      <c r="S48" s="445"/>
      <c r="T48" s="445"/>
      <c r="U48" s="445"/>
      <c r="V48" s="445"/>
      <c r="W48" s="445"/>
      <c r="X48" s="445"/>
      <c r="Y48" s="445"/>
      <c r="Z48" s="445"/>
      <c r="AA48" s="445"/>
      <c r="AB48" s="445"/>
      <c r="AC48" s="463"/>
      <c r="AD48" s="471"/>
      <c r="AE48" s="471"/>
      <c r="AF48" s="445"/>
      <c r="AG48" s="471"/>
      <c r="AH48" s="471"/>
      <c r="AI48" s="471"/>
      <c r="AJ48" s="483"/>
    </row>
    <row r="49" ht="13.8" hidden="1" spans="1:36">
      <c r="A49" s="42">
        <v>38</v>
      </c>
      <c r="B49" s="449"/>
      <c r="C49" s="450"/>
      <c r="D49" s="450"/>
      <c r="E49" s="451"/>
      <c r="F49" s="444"/>
      <c r="G49" s="445"/>
      <c r="H49" s="445"/>
      <c r="I49" s="445"/>
      <c r="J49" s="445"/>
      <c r="K49" s="445"/>
      <c r="L49" s="445"/>
      <c r="M49" s="445"/>
      <c r="N49" s="445"/>
      <c r="O49" s="445"/>
      <c r="P49" s="463"/>
      <c r="Q49" s="471"/>
      <c r="R49" s="471"/>
      <c r="S49" s="445"/>
      <c r="T49" s="445"/>
      <c r="U49" s="445"/>
      <c r="V49" s="445"/>
      <c r="W49" s="445"/>
      <c r="X49" s="445"/>
      <c r="Y49" s="445"/>
      <c r="Z49" s="445"/>
      <c r="AA49" s="445"/>
      <c r="AB49" s="445"/>
      <c r="AC49" s="463"/>
      <c r="AD49" s="471"/>
      <c r="AE49" s="471"/>
      <c r="AF49" s="445"/>
      <c r="AG49" s="471"/>
      <c r="AH49" s="471"/>
      <c r="AI49" s="471"/>
      <c r="AJ49" s="483"/>
    </row>
    <row r="50" ht="13.8" hidden="1" spans="1:36">
      <c r="A50" s="42">
        <v>39</v>
      </c>
      <c r="B50" s="449"/>
      <c r="C50" s="450"/>
      <c r="D50" s="450"/>
      <c r="E50" s="451"/>
      <c r="F50" s="444"/>
      <c r="G50" s="445"/>
      <c r="H50" s="445"/>
      <c r="I50" s="445"/>
      <c r="J50" s="445"/>
      <c r="K50" s="445"/>
      <c r="L50" s="445"/>
      <c r="M50" s="445"/>
      <c r="N50" s="445"/>
      <c r="O50" s="445"/>
      <c r="P50" s="463"/>
      <c r="Q50" s="471"/>
      <c r="R50" s="471"/>
      <c r="S50" s="445"/>
      <c r="T50" s="445"/>
      <c r="U50" s="445"/>
      <c r="V50" s="445"/>
      <c r="W50" s="445"/>
      <c r="X50" s="445"/>
      <c r="Y50" s="445"/>
      <c r="Z50" s="445"/>
      <c r="AA50" s="445"/>
      <c r="AB50" s="445"/>
      <c r="AC50" s="463"/>
      <c r="AD50" s="471"/>
      <c r="AE50" s="471"/>
      <c r="AF50" s="445"/>
      <c r="AG50" s="471"/>
      <c r="AH50" s="471"/>
      <c r="AI50" s="471"/>
      <c r="AJ50" s="483"/>
    </row>
    <row r="51" ht="15.75" spans="1:36">
      <c r="A51" s="42">
        <v>21</v>
      </c>
      <c r="B51" s="286" t="s">
        <v>38</v>
      </c>
      <c r="C51" s="289"/>
      <c r="D51" s="453"/>
      <c r="E51" s="453"/>
      <c r="F51" s="444"/>
      <c r="G51" s="445"/>
      <c r="H51" s="445"/>
      <c r="I51" s="445"/>
      <c r="J51" s="445"/>
      <c r="K51" s="445"/>
      <c r="L51" s="445"/>
      <c r="M51" s="445"/>
      <c r="N51" s="445"/>
      <c r="O51" s="445"/>
      <c r="P51" s="463"/>
      <c r="Q51" s="471"/>
      <c r="R51" s="471"/>
      <c r="S51" s="445"/>
      <c r="T51" s="445"/>
      <c r="U51" s="445"/>
      <c r="V51" s="445"/>
      <c r="W51" s="445"/>
      <c r="X51" s="445"/>
      <c r="Y51" s="445"/>
      <c r="Z51" s="445"/>
      <c r="AA51" s="445"/>
      <c r="AB51" s="445"/>
      <c r="AC51" s="463"/>
      <c r="AD51" s="471"/>
      <c r="AE51" s="471"/>
      <c r="AF51" s="445"/>
      <c r="AG51" s="471"/>
      <c r="AH51" s="471"/>
      <c r="AI51" s="471"/>
      <c r="AJ51" s="483"/>
    </row>
    <row r="52" ht="14.55" spans="1:36">
      <c r="A52" s="27"/>
      <c r="B52" s="454" t="s">
        <v>39</v>
      </c>
      <c r="C52" s="455"/>
      <c r="D52" s="455"/>
      <c r="E52" s="456"/>
      <c r="F52" s="444"/>
      <c r="G52" s="445"/>
      <c r="H52" s="445"/>
      <c r="I52" s="445"/>
      <c r="J52" s="445"/>
      <c r="K52" s="445"/>
      <c r="L52" s="445"/>
      <c r="M52" s="445"/>
      <c r="N52" s="445"/>
      <c r="O52" s="445"/>
      <c r="P52" s="463"/>
      <c r="Q52" s="471"/>
      <c r="R52" s="471"/>
      <c r="S52" s="445"/>
      <c r="T52" s="445"/>
      <c r="U52" s="445"/>
      <c r="V52" s="445"/>
      <c r="W52" s="445"/>
      <c r="X52" s="445"/>
      <c r="Y52" s="445"/>
      <c r="Z52" s="445"/>
      <c r="AA52" s="445"/>
      <c r="AB52" s="445"/>
      <c r="AC52" s="463"/>
      <c r="AD52" s="471"/>
      <c r="AE52" s="471"/>
      <c r="AF52" s="445"/>
      <c r="AG52" s="471"/>
      <c r="AH52" s="471"/>
      <c r="AI52" s="471"/>
      <c r="AJ52" s="483"/>
    </row>
    <row r="53" ht="15" spans="1:36">
      <c r="A53" s="32">
        <v>1</v>
      </c>
      <c r="B53" s="152" t="s">
        <v>40</v>
      </c>
      <c r="C53" s="152"/>
      <c r="D53" s="300"/>
      <c r="E53" s="300"/>
      <c r="F53" s="444"/>
      <c r="G53" s="445"/>
      <c r="H53" s="445"/>
      <c r="I53" s="445"/>
      <c r="J53" s="445"/>
      <c r="K53" s="445"/>
      <c r="L53" s="445"/>
      <c r="M53" s="445"/>
      <c r="N53" s="445"/>
      <c r="O53" s="445"/>
      <c r="P53" s="463"/>
      <c r="Q53" s="471"/>
      <c r="R53" s="471"/>
      <c r="S53" s="445"/>
      <c r="T53" s="445"/>
      <c r="U53" s="445"/>
      <c r="V53" s="445"/>
      <c r="W53" s="445"/>
      <c r="X53" s="445"/>
      <c r="Y53" s="445"/>
      <c r="Z53" s="445"/>
      <c r="AA53" s="445"/>
      <c r="AB53" s="445"/>
      <c r="AC53" s="463"/>
      <c r="AD53" s="471"/>
      <c r="AE53" s="471"/>
      <c r="AF53" s="445"/>
      <c r="AG53" s="471"/>
      <c r="AH53" s="471"/>
      <c r="AI53" s="471"/>
      <c r="AJ53" s="483"/>
    </row>
    <row r="54" ht="15" spans="1:36">
      <c r="A54" s="32">
        <v>2</v>
      </c>
      <c r="B54" s="119" t="s">
        <v>41</v>
      </c>
      <c r="C54" s="119"/>
      <c r="D54" s="300"/>
      <c r="E54" s="300"/>
      <c r="F54" s="444"/>
      <c r="G54" s="445"/>
      <c r="H54" s="445"/>
      <c r="I54" s="445"/>
      <c r="J54" s="445"/>
      <c r="K54" s="445"/>
      <c r="L54" s="445"/>
      <c r="M54" s="445"/>
      <c r="N54" s="445"/>
      <c r="O54" s="445"/>
      <c r="P54" s="463"/>
      <c r="Q54" s="471"/>
      <c r="R54" s="471"/>
      <c r="S54" s="445"/>
      <c r="T54" s="445"/>
      <c r="U54" s="445"/>
      <c r="V54" s="445"/>
      <c r="W54" s="445"/>
      <c r="X54" s="445"/>
      <c r="Y54" s="445"/>
      <c r="Z54" s="445"/>
      <c r="AA54" s="445"/>
      <c r="AB54" s="445"/>
      <c r="AC54" s="463"/>
      <c r="AD54" s="471"/>
      <c r="AE54" s="471"/>
      <c r="AF54" s="445"/>
      <c r="AG54" s="471"/>
      <c r="AH54" s="471"/>
      <c r="AI54" s="471"/>
      <c r="AJ54" s="483"/>
    </row>
    <row r="55" ht="15" spans="1:36">
      <c r="A55" s="32">
        <v>3</v>
      </c>
      <c r="B55" s="119" t="s">
        <v>42</v>
      </c>
      <c r="C55" s="119"/>
      <c r="D55" s="300"/>
      <c r="E55" s="300"/>
      <c r="F55" s="444"/>
      <c r="G55" s="445"/>
      <c r="H55" s="445"/>
      <c r="I55" s="445"/>
      <c r="J55" s="445"/>
      <c r="K55" s="445"/>
      <c r="L55" s="445"/>
      <c r="M55" s="445"/>
      <c r="N55" s="445"/>
      <c r="O55" s="445"/>
      <c r="P55" s="463"/>
      <c r="Q55" s="471"/>
      <c r="R55" s="471"/>
      <c r="S55" s="445"/>
      <c r="T55" s="445"/>
      <c r="U55" s="445"/>
      <c r="V55" s="445"/>
      <c r="W55" s="445"/>
      <c r="X55" s="445"/>
      <c r="Y55" s="445"/>
      <c r="Z55" s="445"/>
      <c r="AA55" s="445"/>
      <c r="AB55" s="445"/>
      <c r="AC55" s="463"/>
      <c r="AD55" s="471"/>
      <c r="AE55" s="471"/>
      <c r="AF55" s="445"/>
      <c r="AG55" s="471"/>
      <c r="AH55" s="471"/>
      <c r="AI55" s="471"/>
      <c r="AJ55" s="483"/>
    </row>
    <row r="56" ht="15" spans="1:36">
      <c r="A56" s="32">
        <v>4</v>
      </c>
      <c r="B56" s="119" t="s">
        <v>43</v>
      </c>
      <c r="C56" s="119"/>
      <c r="D56" s="300"/>
      <c r="E56" s="300"/>
      <c r="F56" s="444"/>
      <c r="G56" s="445"/>
      <c r="H56" s="445"/>
      <c r="I56" s="445"/>
      <c r="J56" s="445"/>
      <c r="K56" s="445"/>
      <c r="L56" s="445"/>
      <c r="M56" s="445"/>
      <c r="N56" s="445"/>
      <c r="O56" s="445"/>
      <c r="P56" s="463"/>
      <c r="Q56" s="471"/>
      <c r="R56" s="471"/>
      <c r="S56" s="445"/>
      <c r="T56" s="445"/>
      <c r="U56" s="445"/>
      <c r="V56" s="445"/>
      <c r="W56" s="445"/>
      <c r="X56" s="445"/>
      <c r="Y56" s="445"/>
      <c r="Z56" s="445"/>
      <c r="AA56" s="445"/>
      <c r="AB56" s="445"/>
      <c r="AC56" s="463"/>
      <c r="AD56" s="471"/>
      <c r="AE56" s="471"/>
      <c r="AF56" s="445"/>
      <c r="AG56" s="471"/>
      <c r="AH56" s="471"/>
      <c r="AI56" s="471"/>
      <c r="AJ56" s="483"/>
    </row>
    <row r="57" ht="15" spans="1:36">
      <c r="A57" s="32">
        <v>5</v>
      </c>
      <c r="B57" s="119" t="s">
        <v>44</v>
      </c>
      <c r="C57" s="119"/>
      <c r="D57" s="300"/>
      <c r="E57" s="300"/>
      <c r="F57" s="444"/>
      <c r="G57" s="445"/>
      <c r="H57" s="445"/>
      <c r="I57" s="445"/>
      <c r="J57" s="445"/>
      <c r="K57" s="445"/>
      <c r="L57" s="445"/>
      <c r="M57" s="445"/>
      <c r="N57" s="445"/>
      <c r="O57" s="445"/>
      <c r="P57" s="463"/>
      <c r="Q57" s="471"/>
      <c r="R57" s="471"/>
      <c r="S57" s="445"/>
      <c r="T57" s="445"/>
      <c r="U57" s="445"/>
      <c r="V57" s="445"/>
      <c r="W57" s="445"/>
      <c r="X57" s="445"/>
      <c r="Y57" s="445"/>
      <c r="Z57" s="445"/>
      <c r="AA57" s="445"/>
      <c r="AB57" s="445"/>
      <c r="AC57" s="463"/>
      <c r="AD57" s="471"/>
      <c r="AE57" s="471"/>
      <c r="AF57" s="445"/>
      <c r="AG57" s="471"/>
      <c r="AH57" s="471"/>
      <c r="AI57" s="471"/>
      <c r="AJ57" s="483"/>
    </row>
    <row r="58" ht="15" spans="1:36">
      <c r="A58" s="32">
        <v>6</v>
      </c>
      <c r="B58" s="119" t="s">
        <v>45</v>
      </c>
      <c r="C58" s="119"/>
      <c r="D58" s="300"/>
      <c r="E58" s="300"/>
      <c r="F58" s="444"/>
      <c r="G58" s="445"/>
      <c r="H58" s="445"/>
      <c r="I58" s="445"/>
      <c r="J58" s="445"/>
      <c r="K58" s="445"/>
      <c r="L58" s="445"/>
      <c r="M58" s="445"/>
      <c r="N58" s="445"/>
      <c r="O58" s="445"/>
      <c r="P58" s="463"/>
      <c r="Q58" s="471"/>
      <c r="R58" s="471"/>
      <c r="S58" s="445"/>
      <c r="T58" s="445"/>
      <c r="U58" s="445"/>
      <c r="V58" s="445"/>
      <c r="W58" s="445"/>
      <c r="X58" s="445"/>
      <c r="Y58" s="445"/>
      <c r="Z58" s="445"/>
      <c r="AA58" s="445"/>
      <c r="AB58" s="445"/>
      <c r="AC58" s="463"/>
      <c r="AD58" s="471"/>
      <c r="AE58" s="471"/>
      <c r="AF58" s="445"/>
      <c r="AG58" s="471"/>
      <c r="AH58" s="471"/>
      <c r="AI58" s="471"/>
      <c r="AJ58" s="483"/>
    </row>
    <row r="59" ht="15" spans="1:36">
      <c r="A59" s="32">
        <v>7</v>
      </c>
      <c r="B59" s="119" t="s">
        <v>46</v>
      </c>
      <c r="C59" s="119"/>
      <c r="D59" s="300"/>
      <c r="E59" s="300"/>
      <c r="F59" s="444"/>
      <c r="G59" s="445"/>
      <c r="H59" s="445"/>
      <c r="I59" s="445"/>
      <c r="J59" s="445"/>
      <c r="K59" s="445"/>
      <c r="L59" s="445"/>
      <c r="M59" s="445"/>
      <c r="N59" s="445"/>
      <c r="O59" s="445"/>
      <c r="P59" s="463"/>
      <c r="Q59" s="471"/>
      <c r="R59" s="471"/>
      <c r="S59" s="445"/>
      <c r="T59" s="445"/>
      <c r="U59" s="445"/>
      <c r="V59" s="445"/>
      <c r="W59" s="445"/>
      <c r="X59" s="445"/>
      <c r="Y59" s="445"/>
      <c r="Z59" s="445"/>
      <c r="AA59" s="445"/>
      <c r="AB59" s="445"/>
      <c r="AC59" s="463"/>
      <c r="AD59" s="471"/>
      <c r="AE59" s="471"/>
      <c r="AF59" s="445"/>
      <c r="AG59" s="471"/>
      <c r="AH59" s="471"/>
      <c r="AI59" s="471"/>
      <c r="AJ59" s="483"/>
    </row>
    <row r="60" ht="15" spans="1:36">
      <c r="A60" s="32">
        <v>8</v>
      </c>
      <c r="B60" s="119" t="s">
        <v>47</v>
      </c>
      <c r="C60" s="119"/>
      <c r="D60" s="300"/>
      <c r="E60" s="300"/>
      <c r="F60" s="444"/>
      <c r="G60" s="445"/>
      <c r="H60" s="445"/>
      <c r="I60" s="445"/>
      <c r="J60" s="445"/>
      <c r="K60" s="445"/>
      <c r="L60" s="445"/>
      <c r="M60" s="445"/>
      <c r="N60" s="445"/>
      <c r="O60" s="445"/>
      <c r="P60" s="463"/>
      <c r="Q60" s="471"/>
      <c r="R60" s="471"/>
      <c r="S60" s="445"/>
      <c r="T60" s="445"/>
      <c r="U60" s="445"/>
      <c r="V60" s="445"/>
      <c r="W60" s="445"/>
      <c r="X60" s="445"/>
      <c r="Y60" s="445"/>
      <c r="Z60" s="445"/>
      <c r="AA60" s="445"/>
      <c r="AB60" s="445"/>
      <c r="AC60" s="463"/>
      <c r="AD60" s="471"/>
      <c r="AE60" s="471"/>
      <c r="AF60" s="445"/>
      <c r="AG60" s="471"/>
      <c r="AH60" s="471"/>
      <c r="AI60" s="471"/>
      <c r="AJ60" s="483"/>
    </row>
    <row r="61" ht="15" spans="1:36">
      <c r="A61" s="32">
        <v>9</v>
      </c>
      <c r="B61" s="119" t="s">
        <v>48</v>
      </c>
      <c r="C61" s="119"/>
      <c r="D61" s="300"/>
      <c r="E61" s="300"/>
      <c r="F61" s="444"/>
      <c r="G61" s="445"/>
      <c r="H61" s="445"/>
      <c r="I61" s="445"/>
      <c r="J61" s="445"/>
      <c r="K61" s="445"/>
      <c r="L61" s="445"/>
      <c r="M61" s="445"/>
      <c r="N61" s="445"/>
      <c r="O61" s="445"/>
      <c r="P61" s="463"/>
      <c r="Q61" s="471"/>
      <c r="R61" s="471"/>
      <c r="S61" s="445"/>
      <c r="T61" s="445"/>
      <c r="U61" s="445"/>
      <c r="V61" s="445"/>
      <c r="W61" s="445"/>
      <c r="X61" s="445"/>
      <c r="Y61" s="445"/>
      <c r="Z61" s="445"/>
      <c r="AA61" s="445"/>
      <c r="AB61" s="445"/>
      <c r="AC61" s="463"/>
      <c r="AD61" s="471"/>
      <c r="AE61" s="471"/>
      <c r="AF61" s="445"/>
      <c r="AG61" s="471"/>
      <c r="AH61" s="471"/>
      <c r="AI61" s="471"/>
      <c r="AJ61" s="483"/>
    </row>
    <row r="62" ht="15" spans="1:36">
      <c r="A62" s="32">
        <v>10</v>
      </c>
      <c r="B62" s="119" t="s">
        <v>49</v>
      </c>
      <c r="C62" s="119"/>
      <c r="D62" s="300"/>
      <c r="E62" s="300"/>
      <c r="F62" s="444"/>
      <c r="G62" s="445"/>
      <c r="H62" s="445"/>
      <c r="I62" s="445"/>
      <c r="J62" s="445"/>
      <c r="K62" s="445"/>
      <c r="L62" s="445"/>
      <c r="M62" s="445"/>
      <c r="N62" s="445"/>
      <c r="O62" s="445"/>
      <c r="P62" s="463"/>
      <c r="Q62" s="471"/>
      <c r="R62" s="471"/>
      <c r="S62" s="445"/>
      <c r="T62" s="445"/>
      <c r="U62" s="445"/>
      <c r="V62" s="445"/>
      <c r="W62" s="445"/>
      <c r="X62" s="445"/>
      <c r="Y62" s="445"/>
      <c r="Z62" s="445"/>
      <c r="AA62" s="445"/>
      <c r="AB62" s="445"/>
      <c r="AC62" s="463"/>
      <c r="AD62" s="471"/>
      <c r="AE62" s="471"/>
      <c r="AF62" s="445"/>
      <c r="AG62" s="471"/>
      <c r="AH62" s="471"/>
      <c r="AI62" s="471"/>
      <c r="AJ62" s="483"/>
    </row>
    <row r="63" ht="15" spans="1:36">
      <c r="A63" s="32">
        <v>11</v>
      </c>
      <c r="B63" s="119" t="s">
        <v>50</v>
      </c>
      <c r="C63" s="119"/>
      <c r="D63" s="300"/>
      <c r="E63" s="300"/>
      <c r="F63" s="444"/>
      <c r="G63" s="445"/>
      <c r="H63" s="445"/>
      <c r="I63" s="445"/>
      <c r="J63" s="445"/>
      <c r="K63" s="445"/>
      <c r="L63" s="445"/>
      <c r="M63" s="445"/>
      <c r="N63" s="445"/>
      <c r="O63" s="445"/>
      <c r="P63" s="463"/>
      <c r="Q63" s="471"/>
      <c r="R63" s="471"/>
      <c r="S63" s="445"/>
      <c r="T63" s="445"/>
      <c r="U63" s="445"/>
      <c r="V63" s="445"/>
      <c r="W63" s="445"/>
      <c r="X63" s="445"/>
      <c r="Y63" s="445"/>
      <c r="Z63" s="445"/>
      <c r="AA63" s="445"/>
      <c r="AB63" s="445"/>
      <c r="AC63" s="463"/>
      <c r="AD63" s="471"/>
      <c r="AE63" s="471"/>
      <c r="AF63" s="445"/>
      <c r="AG63" s="471"/>
      <c r="AH63" s="471"/>
      <c r="AI63" s="471"/>
      <c r="AJ63" s="483"/>
    </row>
    <row r="64" ht="15" spans="1:36">
      <c r="A64" s="32">
        <v>12</v>
      </c>
      <c r="B64" s="119" t="s">
        <v>51</v>
      </c>
      <c r="C64" s="119"/>
      <c r="D64" s="300"/>
      <c r="E64" s="300"/>
      <c r="F64" s="444"/>
      <c r="G64" s="445"/>
      <c r="H64" s="445"/>
      <c r="I64" s="445"/>
      <c r="J64" s="445"/>
      <c r="K64" s="445"/>
      <c r="L64" s="445"/>
      <c r="M64" s="445"/>
      <c r="N64" s="445"/>
      <c r="O64" s="445"/>
      <c r="P64" s="463"/>
      <c r="Q64" s="471"/>
      <c r="R64" s="471"/>
      <c r="S64" s="445"/>
      <c r="T64" s="445"/>
      <c r="U64" s="445"/>
      <c r="V64" s="445"/>
      <c r="W64" s="445"/>
      <c r="X64" s="445"/>
      <c r="Y64" s="445"/>
      <c r="Z64" s="445"/>
      <c r="AA64" s="445"/>
      <c r="AB64" s="445"/>
      <c r="AC64" s="463"/>
      <c r="AD64" s="471"/>
      <c r="AE64" s="471"/>
      <c r="AF64" s="445"/>
      <c r="AG64" s="471"/>
      <c r="AH64" s="471"/>
      <c r="AI64" s="471"/>
      <c r="AJ64" s="483"/>
    </row>
    <row r="65" ht="15" spans="1:36">
      <c r="A65" s="32">
        <v>13</v>
      </c>
      <c r="B65" s="152" t="s">
        <v>52</v>
      </c>
      <c r="C65" s="152"/>
      <c r="D65" s="300"/>
      <c r="E65" s="300"/>
      <c r="F65" s="444"/>
      <c r="G65" s="445"/>
      <c r="H65" s="445"/>
      <c r="I65" s="445"/>
      <c r="J65" s="445"/>
      <c r="K65" s="445"/>
      <c r="L65" s="445"/>
      <c r="M65" s="445"/>
      <c r="N65" s="445"/>
      <c r="O65" s="445"/>
      <c r="P65" s="463"/>
      <c r="Q65" s="471"/>
      <c r="R65" s="471"/>
      <c r="S65" s="445"/>
      <c r="T65" s="445"/>
      <c r="U65" s="445"/>
      <c r="V65" s="445"/>
      <c r="W65" s="445"/>
      <c r="X65" s="445"/>
      <c r="Y65" s="445"/>
      <c r="Z65" s="445"/>
      <c r="AA65" s="445"/>
      <c r="AB65" s="445"/>
      <c r="AC65" s="463"/>
      <c r="AD65" s="471"/>
      <c r="AE65" s="471"/>
      <c r="AF65" s="445"/>
      <c r="AG65" s="471"/>
      <c r="AH65" s="471"/>
      <c r="AI65" s="471"/>
      <c r="AJ65" s="483"/>
    </row>
    <row r="66" ht="15" spans="1:36">
      <c r="A66" s="32">
        <v>14</v>
      </c>
      <c r="B66" s="119" t="s">
        <v>53</v>
      </c>
      <c r="C66" s="119"/>
      <c r="D66" s="300"/>
      <c r="E66" s="300"/>
      <c r="F66" s="444"/>
      <c r="G66" s="445"/>
      <c r="H66" s="445"/>
      <c r="I66" s="445"/>
      <c r="J66" s="445"/>
      <c r="K66" s="445"/>
      <c r="L66" s="445"/>
      <c r="M66" s="445"/>
      <c r="N66" s="445"/>
      <c r="O66" s="445"/>
      <c r="P66" s="463"/>
      <c r="Q66" s="471"/>
      <c r="R66" s="471"/>
      <c r="S66" s="445"/>
      <c r="T66" s="445"/>
      <c r="U66" s="445"/>
      <c r="V66" s="445"/>
      <c r="W66" s="445"/>
      <c r="X66" s="445"/>
      <c r="Y66" s="445"/>
      <c r="Z66" s="445"/>
      <c r="AA66" s="445"/>
      <c r="AB66" s="445"/>
      <c r="AC66" s="463"/>
      <c r="AD66" s="471"/>
      <c r="AE66" s="471"/>
      <c r="AF66" s="445"/>
      <c r="AG66" s="471"/>
      <c r="AH66" s="471"/>
      <c r="AI66" s="471"/>
      <c r="AJ66" s="483"/>
    </row>
    <row r="67" ht="15" spans="1:36">
      <c r="A67" s="32">
        <v>15</v>
      </c>
      <c r="B67" s="119" t="s">
        <v>54</v>
      </c>
      <c r="C67" s="119"/>
      <c r="D67" s="300"/>
      <c r="E67" s="300"/>
      <c r="F67" s="444"/>
      <c r="G67" s="445"/>
      <c r="H67" s="445"/>
      <c r="I67" s="445"/>
      <c r="J67" s="445"/>
      <c r="K67" s="445"/>
      <c r="L67" s="445"/>
      <c r="M67" s="445"/>
      <c r="N67" s="445"/>
      <c r="O67" s="445"/>
      <c r="P67" s="463"/>
      <c r="Q67" s="471"/>
      <c r="R67" s="471"/>
      <c r="S67" s="445"/>
      <c r="T67" s="445"/>
      <c r="U67" s="445"/>
      <c r="V67" s="445"/>
      <c r="W67" s="445"/>
      <c r="X67" s="445"/>
      <c r="Y67" s="445"/>
      <c r="Z67" s="445"/>
      <c r="AA67" s="445"/>
      <c r="AB67" s="445"/>
      <c r="AC67" s="463"/>
      <c r="AD67" s="471"/>
      <c r="AE67" s="471"/>
      <c r="AF67" s="445"/>
      <c r="AG67" s="471"/>
      <c r="AH67" s="471"/>
      <c r="AI67" s="471"/>
      <c r="AJ67" s="483"/>
    </row>
    <row r="68" ht="15" spans="1:36">
      <c r="A68" s="32">
        <v>16</v>
      </c>
      <c r="B68" s="152" t="s">
        <v>55</v>
      </c>
      <c r="C68" s="152"/>
      <c r="D68" s="300"/>
      <c r="E68" s="300"/>
      <c r="F68" s="444"/>
      <c r="G68" s="445"/>
      <c r="H68" s="445"/>
      <c r="I68" s="445"/>
      <c r="J68" s="445"/>
      <c r="K68" s="445"/>
      <c r="L68" s="445"/>
      <c r="M68" s="445"/>
      <c r="N68" s="445"/>
      <c r="O68" s="445"/>
      <c r="P68" s="463"/>
      <c r="Q68" s="471"/>
      <c r="R68" s="471"/>
      <c r="S68" s="445"/>
      <c r="T68" s="445"/>
      <c r="U68" s="445"/>
      <c r="V68" s="445"/>
      <c r="W68" s="445"/>
      <c r="X68" s="445"/>
      <c r="Y68" s="445"/>
      <c r="Z68" s="445"/>
      <c r="AA68" s="445"/>
      <c r="AB68" s="445"/>
      <c r="AC68" s="463"/>
      <c r="AD68" s="471"/>
      <c r="AE68" s="471"/>
      <c r="AF68" s="445"/>
      <c r="AG68" s="471"/>
      <c r="AH68" s="471"/>
      <c r="AI68" s="471"/>
      <c r="AJ68" s="483"/>
    </row>
    <row r="69" ht="15" spans="1:36">
      <c r="A69" s="32">
        <v>17</v>
      </c>
      <c r="B69" s="152" t="s">
        <v>56</v>
      </c>
      <c r="C69" s="152"/>
      <c r="D69" s="300"/>
      <c r="E69" s="300"/>
      <c r="F69" s="444"/>
      <c r="G69" s="445"/>
      <c r="H69" s="445"/>
      <c r="I69" s="445"/>
      <c r="J69" s="445"/>
      <c r="K69" s="445"/>
      <c r="L69" s="445"/>
      <c r="M69" s="445"/>
      <c r="N69" s="445"/>
      <c r="O69" s="445"/>
      <c r="P69" s="463"/>
      <c r="Q69" s="471"/>
      <c r="R69" s="471"/>
      <c r="S69" s="445"/>
      <c r="T69" s="445"/>
      <c r="U69" s="445"/>
      <c r="V69" s="445"/>
      <c r="W69" s="445"/>
      <c r="X69" s="445"/>
      <c r="Y69" s="445"/>
      <c r="Z69" s="445"/>
      <c r="AA69" s="445"/>
      <c r="AB69" s="445"/>
      <c r="AC69" s="463"/>
      <c r="AD69" s="471"/>
      <c r="AE69" s="471"/>
      <c r="AF69" s="445"/>
      <c r="AG69" s="471"/>
      <c r="AH69" s="471"/>
      <c r="AI69" s="471"/>
      <c r="AJ69" s="483"/>
    </row>
    <row r="70" ht="15" spans="1:36">
      <c r="A70" s="32">
        <v>18</v>
      </c>
      <c r="B70" s="119" t="s">
        <v>57</v>
      </c>
      <c r="C70" s="119"/>
      <c r="D70" s="300"/>
      <c r="E70" s="300"/>
      <c r="F70" s="444"/>
      <c r="G70" s="445"/>
      <c r="H70" s="445"/>
      <c r="I70" s="445"/>
      <c r="J70" s="445"/>
      <c r="K70" s="445"/>
      <c r="L70" s="445"/>
      <c r="M70" s="445"/>
      <c r="N70" s="445"/>
      <c r="O70" s="445"/>
      <c r="P70" s="463"/>
      <c r="Q70" s="471"/>
      <c r="R70" s="471"/>
      <c r="S70" s="445"/>
      <c r="T70" s="445"/>
      <c r="U70" s="445"/>
      <c r="V70" s="445"/>
      <c r="W70" s="445"/>
      <c r="X70" s="445"/>
      <c r="Y70" s="445"/>
      <c r="Z70" s="445"/>
      <c r="AA70" s="445"/>
      <c r="AB70" s="445"/>
      <c r="AC70" s="463"/>
      <c r="AD70" s="471"/>
      <c r="AE70" s="471"/>
      <c r="AF70" s="445"/>
      <c r="AG70" s="471"/>
      <c r="AH70" s="471"/>
      <c r="AI70" s="471"/>
      <c r="AJ70" s="483"/>
    </row>
    <row r="71" ht="15" spans="1:36">
      <c r="A71" s="32">
        <v>19</v>
      </c>
      <c r="B71" s="152" t="s">
        <v>58</v>
      </c>
      <c r="C71" s="152"/>
      <c r="D71" s="300"/>
      <c r="E71" s="300"/>
      <c r="F71" s="444"/>
      <c r="G71" s="445"/>
      <c r="H71" s="445"/>
      <c r="I71" s="445"/>
      <c r="J71" s="445"/>
      <c r="K71" s="445"/>
      <c r="L71" s="445"/>
      <c r="M71" s="445"/>
      <c r="N71" s="445"/>
      <c r="O71" s="445"/>
      <c r="P71" s="463"/>
      <c r="Q71" s="471"/>
      <c r="R71" s="471"/>
      <c r="S71" s="445"/>
      <c r="T71" s="445"/>
      <c r="U71" s="445"/>
      <c r="V71" s="445"/>
      <c r="W71" s="445"/>
      <c r="X71" s="445"/>
      <c r="Y71" s="445"/>
      <c r="Z71" s="445"/>
      <c r="AA71" s="445"/>
      <c r="AB71" s="445"/>
      <c r="AC71" s="463"/>
      <c r="AD71" s="471"/>
      <c r="AE71" s="471"/>
      <c r="AF71" s="445"/>
      <c r="AG71" s="471"/>
      <c r="AH71" s="471"/>
      <c r="AI71" s="471"/>
      <c r="AJ71" s="483"/>
    </row>
    <row r="72" ht="15" spans="1:36">
      <c r="A72" s="32">
        <v>20</v>
      </c>
      <c r="B72" s="152" t="s">
        <v>59</v>
      </c>
      <c r="C72" s="152"/>
      <c r="D72" s="300"/>
      <c r="E72" s="300"/>
      <c r="F72" s="444"/>
      <c r="G72" s="445"/>
      <c r="H72" s="445"/>
      <c r="I72" s="445"/>
      <c r="J72" s="445"/>
      <c r="K72" s="445"/>
      <c r="L72" s="445"/>
      <c r="M72" s="445"/>
      <c r="N72" s="445"/>
      <c r="O72" s="445"/>
      <c r="P72" s="463"/>
      <c r="Q72" s="471"/>
      <c r="R72" s="471"/>
      <c r="S72" s="445"/>
      <c r="T72" s="445"/>
      <c r="U72" s="445"/>
      <c r="V72" s="445"/>
      <c r="W72" s="445"/>
      <c r="X72" s="445"/>
      <c r="Y72" s="445"/>
      <c r="Z72" s="445"/>
      <c r="AA72" s="445"/>
      <c r="AB72" s="445"/>
      <c r="AC72" s="463"/>
      <c r="AD72" s="471"/>
      <c r="AE72" s="471"/>
      <c r="AF72" s="445"/>
      <c r="AG72" s="471"/>
      <c r="AH72" s="471"/>
      <c r="AI72" s="471"/>
      <c r="AJ72" s="483"/>
    </row>
    <row r="73" ht="15" spans="1:36">
      <c r="A73" s="32">
        <v>21</v>
      </c>
      <c r="B73" s="117" t="s">
        <v>60</v>
      </c>
      <c r="C73" s="117"/>
      <c r="D73" s="300"/>
      <c r="E73" s="300"/>
      <c r="F73" s="444"/>
      <c r="G73" s="445"/>
      <c r="H73" s="445"/>
      <c r="I73" s="445"/>
      <c r="J73" s="445"/>
      <c r="K73" s="445"/>
      <c r="L73" s="445"/>
      <c r="M73" s="445"/>
      <c r="N73" s="445"/>
      <c r="O73" s="445"/>
      <c r="P73" s="463"/>
      <c r="Q73" s="471"/>
      <c r="R73" s="471"/>
      <c r="S73" s="445"/>
      <c r="T73" s="445"/>
      <c r="U73" s="445"/>
      <c r="V73" s="445"/>
      <c r="W73" s="445"/>
      <c r="X73" s="445"/>
      <c r="Y73" s="445"/>
      <c r="Z73" s="445"/>
      <c r="AA73" s="445"/>
      <c r="AB73" s="445"/>
      <c r="AC73" s="463"/>
      <c r="AD73" s="471"/>
      <c r="AE73" s="471"/>
      <c r="AF73" s="445"/>
      <c r="AG73" s="471"/>
      <c r="AH73" s="471"/>
      <c r="AI73" s="471"/>
      <c r="AJ73" s="483"/>
    </row>
    <row r="74" ht="15" spans="1:36">
      <c r="A74" s="32">
        <v>22</v>
      </c>
      <c r="B74" s="165" t="s">
        <v>61</v>
      </c>
      <c r="C74" s="166"/>
      <c r="D74" s="300"/>
      <c r="E74" s="300"/>
      <c r="F74" s="444"/>
      <c r="G74" s="445"/>
      <c r="H74" s="445"/>
      <c r="I74" s="445"/>
      <c r="J74" s="445"/>
      <c r="K74" s="445"/>
      <c r="L74" s="445"/>
      <c r="M74" s="445"/>
      <c r="N74" s="445"/>
      <c r="O74" s="445"/>
      <c r="P74" s="463"/>
      <c r="Q74" s="471"/>
      <c r="R74" s="471"/>
      <c r="S74" s="445"/>
      <c r="T74" s="445"/>
      <c r="U74" s="445"/>
      <c r="V74" s="445"/>
      <c r="W74" s="445"/>
      <c r="X74" s="445"/>
      <c r="Y74" s="445"/>
      <c r="Z74" s="445"/>
      <c r="AA74" s="445"/>
      <c r="AB74" s="445"/>
      <c r="AC74" s="463"/>
      <c r="AD74" s="471"/>
      <c r="AE74" s="471"/>
      <c r="AF74" s="445"/>
      <c r="AG74" s="471"/>
      <c r="AH74" s="471"/>
      <c r="AI74" s="471"/>
      <c r="AJ74" s="483"/>
    </row>
    <row r="75" ht="13.8" spans="1:36">
      <c r="A75" s="32">
        <v>23</v>
      </c>
      <c r="B75" s="300"/>
      <c r="C75" s="300"/>
      <c r="D75" s="300"/>
      <c r="E75" s="300"/>
      <c r="F75" s="444"/>
      <c r="G75" s="445"/>
      <c r="H75" s="445"/>
      <c r="I75" s="445"/>
      <c r="J75" s="445"/>
      <c r="K75" s="445"/>
      <c r="L75" s="445"/>
      <c r="M75" s="445"/>
      <c r="N75" s="445"/>
      <c r="O75" s="445"/>
      <c r="P75" s="463"/>
      <c r="Q75" s="471"/>
      <c r="R75" s="471"/>
      <c r="S75" s="445"/>
      <c r="T75" s="445"/>
      <c r="U75" s="445"/>
      <c r="V75" s="445"/>
      <c r="W75" s="445"/>
      <c r="X75" s="445"/>
      <c r="Y75" s="445"/>
      <c r="Z75" s="445"/>
      <c r="AA75" s="445"/>
      <c r="AB75" s="445"/>
      <c r="AC75" s="463"/>
      <c r="AD75" s="471"/>
      <c r="AE75" s="471"/>
      <c r="AF75" s="445"/>
      <c r="AG75" s="471"/>
      <c r="AH75" s="471"/>
      <c r="AI75" s="471"/>
      <c r="AJ75" s="483"/>
    </row>
    <row r="76" ht="13.8" spans="1:36">
      <c r="A76" s="32">
        <v>24</v>
      </c>
      <c r="B76" s="300"/>
      <c r="C76" s="300"/>
      <c r="D76" s="300"/>
      <c r="E76" s="300"/>
      <c r="F76" s="444"/>
      <c r="G76" s="445"/>
      <c r="H76" s="445"/>
      <c r="I76" s="445"/>
      <c r="J76" s="445"/>
      <c r="K76" s="445"/>
      <c r="L76" s="445"/>
      <c r="M76" s="445"/>
      <c r="N76" s="445"/>
      <c r="O76" s="445"/>
      <c r="P76" s="463"/>
      <c r="Q76" s="471"/>
      <c r="R76" s="471"/>
      <c r="S76" s="445"/>
      <c r="T76" s="445"/>
      <c r="U76" s="445"/>
      <c r="V76" s="445"/>
      <c r="W76" s="445"/>
      <c r="X76" s="445"/>
      <c r="Y76" s="445"/>
      <c r="Z76" s="445"/>
      <c r="AA76" s="445"/>
      <c r="AB76" s="445"/>
      <c r="AC76" s="463"/>
      <c r="AD76" s="471"/>
      <c r="AE76" s="471"/>
      <c r="AF76" s="445"/>
      <c r="AG76" s="471"/>
      <c r="AH76" s="471"/>
      <c r="AI76" s="471"/>
      <c r="AJ76" s="483"/>
    </row>
    <row r="77" ht="13.8" spans="1:36">
      <c r="A77" s="32">
        <v>25</v>
      </c>
      <c r="B77" s="300"/>
      <c r="C77" s="300"/>
      <c r="D77" s="300"/>
      <c r="E77" s="300"/>
      <c r="F77" s="444"/>
      <c r="G77" s="445"/>
      <c r="H77" s="445"/>
      <c r="I77" s="445"/>
      <c r="J77" s="445"/>
      <c r="K77" s="445"/>
      <c r="L77" s="445"/>
      <c r="M77" s="445"/>
      <c r="N77" s="445"/>
      <c r="O77" s="445"/>
      <c r="P77" s="463"/>
      <c r="Q77" s="471"/>
      <c r="R77" s="471"/>
      <c r="S77" s="445"/>
      <c r="T77" s="445"/>
      <c r="U77" s="445"/>
      <c r="V77" s="445"/>
      <c r="W77" s="445"/>
      <c r="X77" s="445"/>
      <c r="Y77" s="445"/>
      <c r="Z77" s="445"/>
      <c r="AA77" s="445"/>
      <c r="AB77" s="445"/>
      <c r="AC77" s="463"/>
      <c r="AD77" s="471"/>
      <c r="AE77" s="471"/>
      <c r="AF77" s="445"/>
      <c r="AG77" s="471"/>
      <c r="AH77" s="471"/>
      <c r="AI77" s="471"/>
      <c r="AJ77" s="483"/>
    </row>
    <row r="78" ht="13.8" spans="1:6">
      <c r="A78" s="484"/>
      <c r="B78" s="300"/>
      <c r="C78" s="450"/>
      <c r="D78" s="450"/>
      <c r="E78" s="451"/>
      <c r="F78" s="485"/>
    </row>
    <row r="79" ht="13.8" spans="1:5">
      <c r="A79" s="486"/>
      <c r="B79" s="300"/>
      <c r="C79" s="450"/>
      <c r="D79" s="450"/>
      <c r="E79" s="451"/>
    </row>
    <row r="80" ht="13.8" spans="1:5">
      <c r="A80" s="487"/>
      <c r="B80" s="300"/>
      <c r="C80" s="450"/>
      <c r="D80" s="450"/>
      <c r="E80" s="451"/>
    </row>
    <row r="81" ht="13.8" spans="1:5">
      <c r="A81" s="487"/>
      <c r="B81" s="300"/>
      <c r="C81" s="450"/>
      <c r="D81" s="450"/>
      <c r="E81" s="451"/>
    </row>
    <row r="82" ht="13.8" spans="1:5">
      <c r="A82" s="487"/>
      <c r="B82" s="300"/>
      <c r="C82" s="450"/>
      <c r="D82" s="450"/>
      <c r="E82" s="451"/>
    </row>
    <row r="83" ht="13.8" spans="1:5">
      <c r="A83" s="487"/>
      <c r="B83" s="300"/>
      <c r="C83" s="488"/>
      <c r="D83" s="489"/>
      <c r="E83" s="488"/>
    </row>
    <row r="84" ht="13.8" spans="1:5">
      <c r="A84" s="487"/>
      <c r="B84" s="300"/>
      <c r="C84" s="488"/>
      <c r="D84" s="489"/>
      <c r="E84" s="488"/>
    </row>
    <row r="85" ht="13.8" spans="1:5">
      <c r="A85" s="487"/>
      <c r="B85" s="300"/>
      <c r="C85" s="488"/>
      <c r="D85" s="489"/>
      <c r="E85" s="488"/>
    </row>
    <row r="86" ht="13.8" spans="1:5">
      <c r="A86" s="487"/>
      <c r="B86" s="300"/>
      <c r="C86" s="490"/>
      <c r="D86" s="489"/>
      <c r="E86" s="490"/>
    </row>
    <row r="87" ht="13.8" spans="1:5">
      <c r="A87" s="487"/>
      <c r="B87" s="300"/>
      <c r="C87" s="491"/>
      <c r="D87" s="491"/>
      <c r="E87" s="492"/>
    </row>
    <row r="88" ht="13.8" spans="2:5">
      <c r="B88" s="300"/>
      <c r="C88" s="493"/>
      <c r="D88" s="493"/>
      <c r="E88" s="493"/>
    </row>
    <row r="89" spans="2:5">
      <c r="B89" s="493"/>
      <c r="C89" s="493"/>
      <c r="D89" s="493"/>
      <c r="E89" s="493"/>
    </row>
    <row r="90" spans="2:5">
      <c r="B90" s="493"/>
      <c r="C90" s="493"/>
      <c r="D90" s="493"/>
      <c r="E90" s="493"/>
    </row>
    <row r="91" spans="2:5">
      <c r="B91" s="493"/>
      <c r="C91" s="493"/>
      <c r="D91" s="493"/>
      <c r="E91" s="493"/>
    </row>
    <row r="92" spans="2:5">
      <c r="B92" s="493"/>
      <c r="C92" s="493"/>
      <c r="D92" s="493"/>
      <c r="E92" s="493"/>
    </row>
    <row r="93" spans="2:5">
      <c r="B93" s="493"/>
      <c r="C93" s="493"/>
      <c r="D93" s="493"/>
      <c r="E93" s="493"/>
    </row>
    <row r="94" spans="2:5">
      <c r="B94" s="493"/>
      <c r="C94" s="493"/>
      <c r="D94" s="493"/>
      <c r="E94" s="493"/>
    </row>
    <row r="95" spans="2:5">
      <c r="B95" s="493"/>
      <c r="C95" s="493"/>
      <c r="D95" s="493"/>
      <c r="E95" s="493"/>
    </row>
    <row r="96" spans="2:5">
      <c r="B96" s="493"/>
      <c r="C96" s="493"/>
      <c r="D96" s="493"/>
      <c r="E96" s="493"/>
    </row>
    <row r="97" spans="2:5">
      <c r="B97" s="493"/>
      <c r="C97" s="493"/>
      <c r="D97" s="493"/>
      <c r="E97" s="493"/>
    </row>
    <row r="98" spans="2:5">
      <c r="B98" s="493"/>
      <c r="C98" s="493"/>
      <c r="D98" s="493"/>
      <c r="E98" s="493"/>
    </row>
    <row r="99" spans="2:5">
      <c r="B99" s="493"/>
      <c r="C99" s="493"/>
      <c r="D99" s="493"/>
      <c r="E99" s="493"/>
    </row>
    <row r="100" spans="2:5">
      <c r="B100" s="493"/>
      <c r="C100" s="493"/>
      <c r="D100" s="493"/>
      <c r="E100" s="493"/>
    </row>
    <row r="101" spans="2:5">
      <c r="B101" s="493"/>
      <c r="C101" s="493"/>
      <c r="D101" s="493"/>
      <c r="E101" s="493"/>
    </row>
    <row r="102" spans="2:5">
      <c r="B102" s="493"/>
      <c r="C102" s="493"/>
      <c r="D102" s="493"/>
      <c r="E102" s="493"/>
    </row>
    <row r="103" spans="2:5">
      <c r="B103" s="493"/>
      <c r="C103" s="493"/>
      <c r="D103" s="493"/>
      <c r="E103" s="493"/>
    </row>
    <row r="104" spans="2:5">
      <c r="B104" s="493"/>
      <c r="C104" s="493"/>
      <c r="D104" s="493"/>
      <c r="E104" s="493"/>
    </row>
    <row r="105" spans="2:5">
      <c r="B105" s="493"/>
      <c r="C105" s="493"/>
      <c r="D105" s="493"/>
      <c r="E105" s="493"/>
    </row>
    <row r="106" spans="2:5">
      <c r="B106" s="493"/>
      <c r="C106" s="493"/>
      <c r="D106" s="493"/>
      <c r="E106" s="493"/>
    </row>
    <row r="107" spans="2:5">
      <c r="B107" s="493"/>
      <c r="C107" s="493"/>
      <c r="D107" s="493"/>
      <c r="E107" s="493"/>
    </row>
    <row r="108" spans="2:5">
      <c r="B108" s="493"/>
      <c r="C108" s="493"/>
      <c r="D108" s="493"/>
      <c r="E108" s="493"/>
    </row>
    <row r="109" spans="2:5">
      <c r="B109" s="493"/>
      <c r="C109" s="493"/>
      <c r="D109" s="493"/>
      <c r="E109" s="493"/>
    </row>
    <row r="110" spans="2:5">
      <c r="B110" s="493"/>
      <c r="C110" s="493"/>
      <c r="D110" s="493"/>
      <c r="E110" s="493"/>
    </row>
    <row r="111" spans="2:5">
      <c r="B111" s="493"/>
      <c r="C111" s="493"/>
      <c r="D111" s="493"/>
      <c r="E111" s="493"/>
    </row>
    <row r="112" spans="2:5">
      <c r="B112" s="493"/>
      <c r="C112" s="493"/>
      <c r="D112" s="493"/>
      <c r="E112" s="493"/>
    </row>
    <row r="113" spans="2:5">
      <c r="B113" s="493"/>
      <c r="C113" s="493"/>
      <c r="D113" s="493"/>
      <c r="E113" s="493"/>
    </row>
    <row r="114" spans="2:5">
      <c r="B114" s="493"/>
      <c r="C114" s="493"/>
      <c r="D114" s="493"/>
      <c r="E114" s="493"/>
    </row>
    <row r="115" spans="2:5">
      <c r="B115" s="493"/>
      <c r="C115" s="493"/>
      <c r="D115" s="493"/>
      <c r="E115" s="493"/>
    </row>
    <row r="116" spans="2:5">
      <c r="B116" s="493"/>
      <c r="C116" s="493"/>
      <c r="D116" s="493"/>
      <c r="E116" s="493"/>
    </row>
    <row r="117" spans="2:5">
      <c r="B117" s="493"/>
      <c r="C117" s="493"/>
      <c r="D117" s="493"/>
      <c r="E117" s="493"/>
    </row>
    <row r="118" spans="2:5">
      <c r="B118" s="493"/>
      <c r="C118" s="493"/>
      <c r="D118" s="493"/>
      <c r="E118" s="493"/>
    </row>
    <row r="119" spans="2:5">
      <c r="B119" s="493"/>
      <c r="C119" s="493"/>
      <c r="D119" s="493"/>
      <c r="E119" s="493"/>
    </row>
    <row r="120" spans="2:5">
      <c r="B120" s="493"/>
      <c r="C120" s="493"/>
      <c r="D120" s="493"/>
      <c r="E120" s="493"/>
    </row>
    <row r="121" spans="2:5">
      <c r="B121" s="493"/>
      <c r="C121" s="493"/>
      <c r="D121" s="493"/>
      <c r="E121" s="493"/>
    </row>
    <row r="122" spans="2:5">
      <c r="B122" s="493"/>
      <c r="C122" s="493"/>
      <c r="D122" s="493"/>
      <c r="E122" s="493"/>
    </row>
    <row r="123" spans="2:5">
      <c r="B123" s="493"/>
      <c r="C123" s="493"/>
      <c r="D123" s="493"/>
      <c r="E123" s="493"/>
    </row>
    <row r="124" spans="2:5">
      <c r="B124" s="493"/>
      <c r="C124" s="493"/>
      <c r="D124" s="493"/>
      <c r="E124" s="493"/>
    </row>
    <row r="125" spans="2:5">
      <c r="B125" s="493"/>
      <c r="C125" s="493"/>
      <c r="D125" s="493"/>
      <c r="E125" s="493"/>
    </row>
    <row r="126" spans="2:5">
      <c r="B126" s="493"/>
      <c r="C126" s="493"/>
      <c r="D126" s="493"/>
      <c r="E126" s="493"/>
    </row>
    <row r="127" spans="2:5">
      <c r="B127" s="493"/>
      <c r="C127" s="493"/>
      <c r="D127" s="493"/>
      <c r="E127" s="493"/>
    </row>
    <row r="128" spans="2:5">
      <c r="B128" s="493"/>
      <c r="C128" s="493"/>
      <c r="D128" s="493"/>
      <c r="E128" s="493"/>
    </row>
    <row r="129" spans="2:5">
      <c r="B129" s="493"/>
      <c r="C129" s="493"/>
      <c r="D129" s="493"/>
      <c r="E129" s="493"/>
    </row>
    <row r="130" spans="2:5">
      <c r="B130" s="493"/>
      <c r="C130" s="493"/>
      <c r="D130" s="493"/>
      <c r="E130" s="493"/>
    </row>
    <row r="131" spans="2:5">
      <c r="B131" s="493"/>
      <c r="C131" s="493"/>
      <c r="D131" s="493"/>
      <c r="E131" s="493"/>
    </row>
    <row r="132" spans="2:5">
      <c r="B132" s="493"/>
      <c r="C132" s="493"/>
      <c r="D132" s="493"/>
      <c r="E132" s="493"/>
    </row>
  </sheetData>
  <mergeCells count="48">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B10:E10"/>
    <mergeCell ref="B11:E11"/>
    <mergeCell ref="B39:E39"/>
    <mergeCell ref="B40:E40"/>
    <mergeCell ref="B41:E41"/>
    <mergeCell ref="B42:E42"/>
    <mergeCell ref="B43:E43"/>
    <mergeCell ref="B44:E44"/>
    <mergeCell ref="B45:E45"/>
    <mergeCell ref="B46:E46"/>
    <mergeCell ref="B47:E47"/>
    <mergeCell ref="B48:E48"/>
    <mergeCell ref="B49:E49"/>
    <mergeCell ref="B50:E50"/>
    <mergeCell ref="B51:C51"/>
    <mergeCell ref="B52:E52"/>
    <mergeCell ref="B74:C74"/>
    <mergeCell ref="D83:E83"/>
    <mergeCell ref="D84:E84"/>
    <mergeCell ref="D85:E85"/>
    <mergeCell ref="D86:E86"/>
    <mergeCell ref="P8:P9"/>
    <mergeCell ref="AC8:AC9"/>
    <mergeCell ref="A1:AJ2"/>
  </mergeCells>
  <dataValidations count="5">
    <dataValidation allowBlank="1" showInputMessage="1" showErrorMessage="1" prompt="Do not type name of learners here. Go to INPUT DATA sheet." sqref="B14 B15 B16 B17 B18 B25 B26 B27 B28 B29 B30 B31 B54 C54 B55 C55 B56 C56 B57 C57 B58 C58 B59 C59 B60 C60 B61 C61 B62 C62 B63 C63 B66 C66 B67 C67 B68 C68 B69 C69 B73 C73 B75:B77 B78:B88"/>
    <dataValidation allowBlank="1" sqref="D51 C47:D50"/>
    <dataValidation allowBlank="1" showErrorMessage="1" sqref="F51:AJ51 F8:AJ50 F52:AJ69 F70:AJ77"/>
    <dataValidation allowBlank="1" showInputMessage="1" showErrorMessage="1" prompt="Either manually encode learner's name here or copy learner's name from SF1 then paste here." sqref="D53 E53 C75 D75 E75 C76:C77 D54:D69 D70:D72 D73:D74 D76:D77 E54:E69 E70:E72 E73:E74 E76:E77"/>
    <dataValidation allowBlank="1" showInputMessage="1" prompt="Do not type name of learners here. Go to INPUT DATA sheet." sqref="B32:B38 B39:B50"/>
  </dataValidation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B82"/>
  <sheetViews>
    <sheetView zoomScale="105" zoomScaleNormal="105" topLeftCell="A8" workbookViewId="0">
      <selection activeCell="N50" sqref="N50:Q50"/>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62</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349" t="s">
        <v>2</v>
      </c>
      <c r="H5" s="350"/>
      <c r="I5" s="350"/>
      <c r="J5" s="357"/>
      <c r="K5" s="56"/>
      <c r="L5" s="57" t="s">
        <v>3</v>
      </c>
      <c r="M5" s="57"/>
      <c r="N5" s="58"/>
      <c r="O5" s="349" t="s">
        <v>63</v>
      </c>
      <c r="P5" s="350"/>
      <c r="Q5" s="350"/>
      <c r="R5" s="357"/>
      <c r="S5" s="317"/>
      <c r="T5" s="317"/>
      <c r="U5" s="317"/>
      <c r="V5" s="317"/>
      <c r="W5" s="318"/>
      <c r="X5" s="318"/>
      <c r="Y5" s="318"/>
      <c r="Z5" s="318"/>
      <c r="AA5" s="318"/>
      <c r="AB5" s="318"/>
    </row>
    <row r="6" ht="18.15" spans="1:28">
      <c r="A6" s="3"/>
      <c r="B6" s="5" t="s">
        <v>5</v>
      </c>
      <c r="C6" s="5"/>
      <c r="D6" s="5"/>
      <c r="E6" s="5"/>
      <c r="F6" s="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14</v>
      </c>
      <c r="L8" s="60"/>
      <c r="M8" s="60"/>
      <c r="N8" s="60"/>
      <c r="O8" s="60"/>
      <c r="P8" s="60"/>
      <c r="Q8" s="60"/>
      <c r="R8" s="79"/>
      <c r="S8" s="18" t="s">
        <v>15</v>
      </c>
      <c r="T8" s="19"/>
      <c r="U8" s="19"/>
      <c r="V8" s="19"/>
      <c r="W8" s="59" t="s">
        <v>65</v>
      </c>
      <c r="X8" s="59"/>
      <c r="Y8" s="59"/>
      <c r="Z8" s="59"/>
      <c r="AA8" s="59"/>
      <c r="AB8" s="78"/>
    </row>
    <row r="9" ht="15.6" spans="1:28">
      <c r="A9" s="15"/>
      <c r="B9" s="16"/>
      <c r="C9" s="16"/>
      <c r="D9" s="16"/>
      <c r="E9" s="17"/>
      <c r="F9" s="20" t="s">
        <v>65</v>
      </c>
      <c r="G9" s="21"/>
      <c r="H9" s="21"/>
      <c r="I9" s="61"/>
      <c r="J9" s="20" t="s">
        <v>65</v>
      </c>
      <c r="K9" s="21"/>
      <c r="L9" s="21"/>
      <c r="M9" s="61"/>
      <c r="N9" s="20" t="s">
        <v>65</v>
      </c>
      <c r="O9" s="21"/>
      <c r="P9" s="21"/>
      <c r="Q9" s="61"/>
      <c r="R9" s="20" t="s">
        <v>65</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75" spans="1:28">
      <c r="A12" s="32">
        <v>1</v>
      </c>
      <c r="B12" s="375" t="str">
        <f>'INPUT DATA'!B12:D12</f>
        <v>ANUBLING, REGIE C.</v>
      </c>
      <c r="C12" s="376"/>
      <c r="D12" s="376"/>
      <c r="E12" s="376"/>
      <c r="F12" s="81">
        <v>75</v>
      </c>
      <c r="G12" s="82"/>
      <c r="H12" s="82"/>
      <c r="I12" s="93"/>
      <c r="J12" s="81">
        <v>75</v>
      </c>
      <c r="K12" s="82"/>
      <c r="L12" s="82"/>
      <c r="M12" s="93"/>
      <c r="N12" s="81">
        <v>78</v>
      </c>
      <c r="O12" s="82"/>
      <c r="P12" s="82"/>
      <c r="Q12" s="93"/>
      <c r="R12" s="81">
        <v>75</v>
      </c>
      <c r="S12" s="82"/>
      <c r="T12" s="82"/>
      <c r="U12" s="93"/>
      <c r="V12" s="406">
        <f>SUM(F12,J12,N12,R12)/4</f>
        <v>75.75</v>
      </c>
      <c r="W12" s="407"/>
      <c r="X12" s="407"/>
      <c r="Y12" s="413"/>
      <c r="Z12" s="414" t="str">
        <f>IF(V12&gt;=75,"PASSED","FAILED")</f>
        <v>PASSED</v>
      </c>
      <c r="AA12" s="415"/>
      <c r="AB12" s="416"/>
    </row>
    <row r="13" ht="15.75" spans="1:28">
      <c r="A13" s="37">
        <v>2</v>
      </c>
      <c r="B13" s="375" t="str">
        <f>'INPUT DATA'!B13:D13</f>
        <v>BANGCOY, JOHN PAUL P.</v>
      </c>
      <c r="C13" s="377"/>
      <c r="D13" s="377"/>
      <c r="E13" s="377"/>
      <c r="F13" s="81">
        <v>60</v>
      </c>
      <c r="G13" s="82"/>
      <c r="H13" s="82"/>
      <c r="I13" s="93"/>
      <c r="J13" s="81">
        <v>60</v>
      </c>
      <c r="K13" s="82"/>
      <c r="L13" s="82"/>
      <c r="M13" s="93"/>
      <c r="N13" s="81">
        <v>60</v>
      </c>
      <c r="O13" s="82"/>
      <c r="P13" s="82"/>
      <c r="Q13" s="93"/>
      <c r="R13" s="81">
        <v>60</v>
      </c>
      <c r="S13" s="82"/>
      <c r="T13" s="82"/>
      <c r="U13" s="93"/>
      <c r="V13" s="406">
        <f t="shared" ref="V13:V36" si="0">SUM(F13,J13,N13,R13)/4</f>
        <v>60</v>
      </c>
      <c r="W13" s="407"/>
      <c r="X13" s="407"/>
      <c r="Y13" s="413"/>
      <c r="Z13" s="97" t="str">
        <f t="shared" ref="Z13:Z31" si="1">IF(V13&gt;=75,"PASSED","FAILED")</f>
        <v>FAILED</v>
      </c>
      <c r="AA13" s="95"/>
      <c r="AB13" s="99"/>
    </row>
    <row r="14" ht="15.75" spans="1:28">
      <c r="A14" s="37">
        <v>3</v>
      </c>
      <c r="B14" s="375" t="str">
        <f>'INPUT DATA'!B14:D14</f>
        <v>BARRIENTOS, JOHN PAUL M.</v>
      </c>
      <c r="C14" s="377"/>
      <c r="D14" s="377"/>
      <c r="E14" s="378"/>
      <c r="F14" s="81">
        <v>90</v>
      </c>
      <c r="G14" s="82"/>
      <c r="H14" s="82"/>
      <c r="I14" s="93"/>
      <c r="J14" s="81">
        <v>85</v>
      </c>
      <c r="K14" s="82"/>
      <c r="L14" s="82"/>
      <c r="M14" s="93"/>
      <c r="N14" s="81">
        <v>93</v>
      </c>
      <c r="O14" s="82"/>
      <c r="P14" s="82"/>
      <c r="Q14" s="93"/>
      <c r="R14" s="81">
        <v>95</v>
      </c>
      <c r="S14" s="82"/>
      <c r="T14" s="82"/>
      <c r="U14" s="93"/>
      <c r="V14" s="406">
        <f t="shared" si="0"/>
        <v>90.75</v>
      </c>
      <c r="W14" s="407"/>
      <c r="X14" s="407"/>
      <c r="Y14" s="413"/>
      <c r="Z14" s="97" t="str">
        <f t="shared" si="1"/>
        <v>PASSED</v>
      </c>
      <c r="AA14" s="95"/>
      <c r="AB14" s="99"/>
    </row>
    <row r="15" ht="15.75" spans="1:28">
      <c r="A15" s="37">
        <v>4</v>
      </c>
      <c r="B15" s="375" t="str">
        <f>'INPUT DATA'!B15:D15</f>
        <v>BRIGOLE, ROMEL</v>
      </c>
      <c r="C15" s="377"/>
      <c r="D15" s="377"/>
      <c r="E15" s="378"/>
      <c r="F15" s="81">
        <v>75</v>
      </c>
      <c r="G15" s="82"/>
      <c r="H15" s="82"/>
      <c r="I15" s="93"/>
      <c r="J15" s="81">
        <v>75</v>
      </c>
      <c r="K15" s="82"/>
      <c r="L15" s="82"/>
      <c r="M15" s="93"/>
      <c r="N15" s="81">
        <v>65</v>
      </c>
      <c r="O15" s="82"/>
      <c r="P15" s="82"/>
      <c r="Q15" s="93"/>
      <c r="R15" s="81">
        <v>65</v>
      </c>
      <c r="S15" s="82"/>
      <c r="T15" s="82"/>
      <c r="U15" s="93"/>
      <c r="V15" s="406">
        <f t="shared" si="0"/>
        <v>70</v>
      </c>
      <c r="W15" s="407"/>
      <c r="X15" s="407"/>
      <c r="Y15" s="413"/>
      <c r="Z15" s="97" t="str">
        <f t="shared" si="1"/>
        <v>FAILED</v>
      </c>
      <c r="AA15" s="95"/>
      <c r="AB15" s="99"/>
    </row>
    <row r="16" ht="15.75" spans="1:28">
      <c r="A16" s="37">
        <v>5</v>
      </c>
      <c r="B16" s="375" t="str">
        <f>'INPUT DATA'!B16:D16</f>
        <v>BULAHAN,ROVIC L.</v>
      </c>
      <c r="C16" s="377"/>
      <c r="D16" s="377"/>
      <c r="E16" s="378"/>
      <c r="F16" s="81">
        <v>91</v>
      </c>
      <c r="G16" s="82"/>
      <c r="H16" s="82"/>
      <c r="I16" s="93"/>
      <c r="J16" s="81">
        <v>92</v>
      </c>
      <c r="K16" s="82"/>
      <c r="L16" s="82"/>
      <c r="M16" s="93"/>
      <c r="N16" s="81">
        <v>89</v>
      </c>
      <c r="O16" s="82"/>
      <c r="P16" s="82"/>
      <c r="Q16" s="93"/>
      <c r="R16" s="81">
        <v>91</v>
      </c>
      <c r="S16" s="82"/>
      <c r="T16" s="82"/>
      <c r="U16" s="93"/>
      <c r="V16" s="406">
        <f t="shared" si="0"/>
        <v>90.75</v>
      </c>
      <c r="W16" s="407"/>
      <c r="X16" s="407"/>
      <c r="Y16" s="413"/>
      <c r="Z16" s="97" t="str">
        <f t="shared" ref="Z16" si="2">IF(V16&gt;=75,"PASSED","FAILED")</f>
        <v>PASSED</v>
      </c>
      <c r="AA16" s="95"/>
      <c r="AB16" s="99"/>
    </row>
    <row r="17" ht="15.75" spans="1:28">
      <c r="A17" s="37">
        <v>6</v>
      </c>
      <c r="B17" s="375" t="str">
        <f>'INPUT DATA'!B17:D17</f>
        <v>CIJAS, ROLIE JR. A.</v>
      </c>
      <c r="C17" s="377"/>
      <c r="D17" s="377"/>
      <c r="E17" s="378"/>
      <c r="F17" s="81">
        <v>87</v>
      </c>
      <c r="G17" s="82"/>
      <c r="H17" s="82"/>
      <c r="I17" s="93"/>
      <c r="J17" s="81">
        <v>84</v>
      </c>
      <c r="K17" s="82"/>
      <c r="L17" s="82"/>
      <c r="M17" s="93"/>
      <c r="N17" s="81">
        <v>86</v>
      </c>
      <c r="O17" s="82"/>
      <c r="P17" s="82"/>
      <c r="Q17" s="93"/>
      <c r="R17" s="81">
        <v>94</v>
      </c>
      <c r="S17" s="82"/>
      <c r="T17" s="82"/>
      <c r="U17" s="93"/>
      <c r="V17" s="406">
        <f t="shared" si="0"/>
        <v>87.75</v>
      </c>
      <c r="W17" s="407"/>
      <c r="X17" s="407"/>
      <c r="Y17" s="413"/>
      <c r="Z17" s="97" t="str">
        <f t="shared" si="1"/>
        <v>PASSED</v>
      </c>
      <c r="AA17" s="95"/>
      <c r="AB17" s="99"/>
    </row>
    <row r="18" ht="15.75" spans="1:28">
      <c r="A18" s="37">
        <v>7</v>
      </c>
      <c r="B18" s="375" t="str">
        <f>'INPUT DATA'!B18:D18</f>
        <v>GARCIA, DAVE P.</v>
      </c>
      <c r="C18" s="377"/>
      <c r="D18" s="377"/>
      <c r="E18" s="378"/>
      <c r="F18" s="81">
        <v>86</v>
      </c>
      <c r="G18" s="82"/>
      <c r="H18" s="82"/>
      <c r="I18" s="93"/>
      <c r="J18" s="81">
        <v>78</v>
      </c>
      <c r="K18" s="82"/>
      <c r="L18" s="82"/>
      <c r="M18" s="93"/>
      <c r="N18" s="81">
        <v>74</v>
      </c>
      <c r="O18" s="82"/>
      <c r="P18" s="82"/>
      <c r="Q18" s="93"/>
      <c r="R18" s="81">
        <v>85</v>
      </c>
      <c r="S18" s="82"/>
      <c r="T18" s="82"/>
      <c r="U18" s="93"/>
      <c r="V18" s="406">
        <f t="shared" si="0"/>
        <v>80.75</v>
      </c>
      <c r="W18" s="407"/>
      <c r="X18" s="407"/>
      <c r="Y18" s="413"/>
      <c r="Z18" s="97" t="str">
        <f t="shared" si="1"/>
        <v>PASSED</v>
      </c>
      <c r="AA18" s="95"/>
      <c r="AB18" s="99"/>
    </row>
    <row r="19" ht="15.75" spans="1:28">
      <c r="A19" s="37">
        <v>8</v>
      </c>
      <c r="B19" s="394" t="str">
        <f>'INPUT DATA'!B19:C19</f>
        <v>GONZALES, JAMES A.</v>
      </c>
      <c r="C19" s="111"/>
      <c r="D19" s="111"/>
      <c r="E19" s="111"/>
      <c r="F19" s="81">
        <v>80</v>
      </c>
      <c r="G19" s="82"/>
      <c r="H19" s="82"/>
      <c r="I19" s="93"/>
      <c r="J19" s="81">
        <v>78</v>
      </c>
      <c r="K19" s="82"/>
      <c r="L19" s="82"/>
      <c r="M19" s="93"/>
      <c r="N19" s="81">
        <v>85</v>
      </c>
      <c r="O19" s="82"/>
      <c r="P19" s="82"/>
      <c r="Q19" s="93"/>
      <c r="R19" s="81">
        <v>85</v>
      </c>
      <c r="S19" s="82"/>
      <c r="T19" s="82"/>
      <c r="U19" s="93"/>
      <c r="V19" s="406">
        <f t="shared" si="0"/>
        <v>82</v>
      </c>
      <c r="W19" s="407"/>
      <c r="X19" s="407"/>
      <c r="Y19" s="413"/>
      <c r="Z19" s="97" t="str">
        <f t="shared" si="1"/>
        <v>PASSED</v>
      </c>
      <c r="AA19" s="95"/>
      <c r="AB19" s="99"/>
    </row>
    <row r="20" ht="15.75" spans="1:28">
      <c r="A20" s="37">
        <v>9</v>
      </c>
      <c r="B20" s="375" t="str">
        <f>'INPUT DATA'!B20:D20</f>
        <v>LAGUNA, J.B. B.</v>
      </c>
      <c r="C20" s="377"/>
      <c r="D20" s="377">
        <v>0</v>
      </c>
      <c r="E20" s="378"/>
      <c r="F20" s="81">
        <v>85</v>
      </c>
      <c r="G20" s="82"/>
      <c r="H20" s="82"/>
      <c r="I20" s="93"/>
      <c r="J20" s="81">
        <v>88</v>
      </c>
      <c r="K20" s="82"/>
      <c r="L20" s="82"/>
      <c r="M20" s="93"/>
      <c r="N20" s="81">
        <v>80</v>
      </c>
      <c r="O20" s="82"/>
      <c r="P20" s="82"/>
      <c r="Q20" s="93"/>
      <c r="R20" s="81">
        <v>94</v>
      </c>
      <c r="S20" s="82"/>
      <c r="T20" s="82"/>
      <c r="U20" s="93"/>
      <c r="V20" s="406">
        <f t="shared" si="0"/>
        <v>86.75</v>
      </c>
      <c r="W20" s="407"/>
      <c r="X20" s="407"/>
      <c r="Y20" s="413"/>
      <c r="Z20" s="97" t="str">
        <f t="shared" si="1"/>
        <v>PASSED</v>
      </c>
      <c r="AA20" s="95"/>
      <c r="AB20" s="99"/>
    </row>
    <row r="21" ht="15.75" spans="1:28">
      <c r="A21" s="37">
        <v>10</v>
      </c>
      <c r="B21" s="375" t="str">
        <f>'INPUT DATA'!B21:D21</f>
        <v>LARODA, STEVEN S.</v>
      </c>
      <c r="C21" s="377"/>
      <c r="D21" s="377"/>
      <c r="E21" s="378"/>
      <c r="F21" s="81">
        <v>75</v>
      </c>
      <c r="G21" s="82"/>
      <c r="H21" s="82"/>
      <c r="I21" s="93"/>
      <c r="J21" s="81">
        <v>79</v>
      </c>
      <c r="K21" s="82"/>
      <c r="L21" s="82"/>
      <c r="M21" s="93"/>
      <c r="N21" s="81">
        <v>82</v>
      </c>
      <c r="O21" s="82"/>
      <c r="P21" s="82"/>
      <c r="Q21" s="93"/>
      <c r="R21" s="81">
        <v>85</v>
      </c>
      <c r="S21" s="82"/>
      <c r="T21" s="82"/>
      <c r="U21" s="93"/>
      <c r="V21" s="406">
        <f t="shared" si="0"/>
        <v>80.25</v>
      </c>
      <c r="W21" s="407"/>
      <c r="X21" s="407"/>
      <c r="Y21" s="413"/>
      <c r="Z21" s="97" t="str">
        <f t="shared" si="1"/>
        <v>PASSED</v>
      </c>
      <c r="AA21" s="95"/>
      <c r="AB21" s="99"/>
    </row>
    <row r="22" ht="15.75" spans="1:28">
      <c r="A22" s="37">
        <v>11</v>
      </c>
      <c r="B22" s="375" t="str">
        <f>'INPUT DATA'!B22:D22</f>
        <v>MERINO, SEDRIK R.</v>
      </c>
      <c r="C22" s="377"/>
      <c r="D22" s="377"/>
      <c r="E22" s="378"/>
      <c r="F22" s="81">
        <v>74</v>
      </c>
      <c r="G22" s="82"/>
      <c r="H22" s="82"/>
      <c r="I22" s="93"/>
      <c r="J22" s="81">
        <v>75</v>
      </c>
      <c r="K22" s="82"/>
      <c r="L22" s="82"/>
      <c r="M22" s="93"/>
      <c r="N22" s="81">
        <v>74</v>
      </c>
      <c r="O22" s="82"/>
      <c r="P22" s="82"/>
      <c r="Q22" s="93"/>
      <c r="R22" s="81">
        <v>78</v>
      </c>
      <c r="S22" s="82"/>
      <c r="T22" s="82"/>
      <c r="U22" s="93"/>
      <c r="V22" s="406">
        <f t="shared" si="0"/>
        <v>75.25</v>
      </c>
      <c r="W22" s="407"/>
      <c r="X22" s="407"/>
      <c r="Y22" s="413"/>
      <c r="Z22" s="97" t="str">
        <f t="shared" si="1"/>
        <v>PASSED</v>
      </c>
      <c r="AA22" s="95"/>
      <c r="AB22" s="99"/>
    </row>
    <row r="23" ht="15.75" spans="1:28">
      <c r="A23" s="37">
        <v>12</v>
      </c>
      <c r="B23" s="375" t="str">
        <f>'INPUT DATA'!B23:D23</f>
        <v>MONTERAS, VINCENT S.</v>
      </c>
      <c r="C23" s="377"/>
      <c r="D23" s="377">
        <v>0</v>
      </c>
      <c r="E23" s="378"/>
      <c r="F23" s="81">
        <v>85</v>
      </c>
      <c r="G23" s="82"/>
      <c r="H23" s="82"/>
      <c r="I23" s="93"/>
      <c r="J23" s="81">
        <v>77</v>
      </c>
      <c r="K23" s="82"/>
      <c r="L23" s="82"/>
      <c r="M23" s="93"/>
      <c r="N23" s="81">
        <v>76</v>
      </c>
      <c r="O23" s="82"/>
      <c r="P23" s="82"/>
      <c r="Q23" s="93"/>
      <c r="R23" s="81">
        <v>73</v>
      </c>
      <c r="S23" s="82"/>
      <c r="T23" s="82"/>
      <c r="U23" s="93"/>
      <c r="V23" s="406">
        <f t="shared" si="0"/>
        <v>77.75</v>
      </c>
      <c r="W23" s="407"/>
      <c r="X23" s="407"/>
      <c r="Y23" s="413"/>
      <c r="Z23" s="97" t="str">
        <f t="shared" si="1"/>
        <v>PASSED</v>
      </c>
      <c r="AA23" s="95"/>
      <c r="AB23" s="99"/>
    </row>
    <row r="24" ht="15.75" spans="1:28">
      <c r="A24" s="37">
        <v>13</v>
      </c>
      <c r="B24" s="375" t="str">
        <f>'INPUT DATA'!B24:D24</f>
        <v>NACAWILI, ANDRIE L.</v>
      </c>
      <c r="C24" s="377"/>
      <c r="D24" s="377"/>
      <c r="E24" s="378"/>
      <c r="F24" s="81">
        <v>85</v>
      </c>
      <c r="G24" s="82"/>
      <c r="H24" s="82"/>
      <c r="I24" s="93"/>
      <c r="J24" s="81">
        <v>85</v>
      </c>
      <c r="K24" s="82"/>
      <c r="L24" s="82"/>
      <c r="M24" s="93"/>
      <c r="N24" s="81">
        <v>82</v>
      </c>
      <c r="O24" s="82"/>
      <c r="P24" s="82"/>
      <c r="Q24" s="93"/>
      <c r="R24" s="81">
        <v>82</v>
      </c>
      <c r="S24" s="82"/>
      <c r="T24" s="82"/>
      <c r="U24" s="93"/>
      <c r="V24" s="406">
        <f t="shared" si="0"/>
        <v>83.5</v>
      </c>
      <c r="W24" s="407"/>
      <c r="X24" s="407"/>
      <c r="Y24" s="413"/>
      <c r="Z24" s="97" t="str">
        <f t="shared" si="1"/>
        <v>PASSED</v>
      </c>
      <c r="AA24" s="95"/>
      <c r="AB24" s="99"/>
    </row>
    <row r="25" ht="15.75" spans="1:28">
      <c r="A25" s="37">
        <v>14</v>
      </c>
      <c r="B25" s="375" t="str">
        <f>'INPUT DATA'!B25:D25</f>
        <v>OLIVERIO, CYREL JAY G.</v>
      </c>
      <c r="C25" s="377"/>
      <c r="D25" s="377"/>
      <c r="E25" s="378"/>
      <c r="F25" s="81">
        <v>70</v>
      </c>
      <c r="G25" s="82"/>
      <c r="H25" s="82"/>
      <c r="I25" s="93"/>
      <c r="J25" s="81">
        <v>74</v>
      </c>
      <c r="K25" s="82"/>
      <c r="L25" s="82"/>
      <c r="M25" s="93"/>
      <c r="N25" s="81">
        <v>72</v>
      </c>
      <c r="O25" s="82"/>
      <c r="P25" s="82"/>
      <c r="Q25" s="93"/>
      <c r="R25" s="81">
        <v>65</v>
      </c>
      <c r="S25" s="82"/>
      <c r="T25" s="82"/>
      <c r="U25" s="93"/>
      <c r="V25" s="406">
        <f t="shared" si="0"/>
        <v>70.25</v>
      </c>
      <c r="W25" s="407"/>
      <c r="X25" s="407"/>
      <c r="Y25" s="413"/>
      <c r="Z25" s="97" t="str">
        <f t="shared" si="1"/>
        <v>FAILED</v>
      </c>
      <c r="AA25" s="95"/>
      <c r="AB25" s="99"/>
    </row>
    <row r="26" ht="15.75" spans="1:28">
      <c r="A26" s="37">
        <v>15</v>
      </c>
      <c r="B26" s="375" t="str">
        <f>'INPUT DATA'!B26:D26</f>
        <v>ORBITA,BRENN JOHN A.</v>
      </c>
      <c r="C26" s="377"/>
      <c r="D26" s="377"/>
      <c r="E26" s="378"/>
      <c r="F26" s="81">
        <v>84</v>
      </c>
      <c r="G26" s="82"/>
      <c r="H26" s="82"/>
      <c r="I26" s="93"/>
      <c r="J26" s="81">
        <v>78</v>
      </c>
      <c r="K26" s="82"/>
      <c r="L26" s="82"/>
      <c r="M26" s="93"/>
      <c r="N26" s="81">
        <v>88</v>
      </c>
      <c r="O26" s="82"/>
      <c r="P26" s="82"/>
      <c r="Q26" s="93"/>
      <c r="R26" s="81">
        <v>77</v>
      </c>
      <c r="S26" s="82"/>
      <c r="T26" s="82"/>
      <c r="U26" s="93"/>
      <c r="V26" s="406">
        <f t="shared" si="0"/>
        <v>81.75</v>
      </c>
      <c r="W26" s="407"/>
      <c r="X26" s="407"/>
      <c r="Y26" s="413"/>
      <c r="Z26" s="97" t="str">
        <f t="shared" si="1"/>
        <v>PASSED</v>
      </c>
      <c r="AA26" s="95"/>
      <c r="AB26" s="99"/>
    </row>
    <row r="27" ht="15.75" spans="1:28">
      <c r="A27" s="37">
        <v>16</v>
      </c>
      <c r="B27" s="375" t="str">
        <f>'INPUT DATA'!B27:D27</f>
        <v>PAINLO,SHERWIN V.</v>
      </c>
      <c r="C27" s="377"/>
      <c r="D27" s="377"/>
      <c r="E27" s="378"/>
      <c r="F27" s="81">
        <v>90</v>
      </c>
      <c r="G27" s="82"/>
      <c r="H27" s="82"/>
      <c r="I27" s="93"/>
      <c r="J27" s="81">
        <v>92</v>
      </c>
      <c r="K27" s="82"/>
      <c r="L27" s="82"/>
      <c r="M27" s="93"/>
      <c r="N27" s="81">
        <v>94</v>
      </c>
      <c r="O27" s="82"/>
      <c r="P27" s="82"/>
      <c r="Q27" s="93"/>
      <c r="R27" s="81">
        <v>95</v>
      </c>
      <c r="S27" s="82"/>
      <c r="T27" s="82"/>
      <c r="U27" s="93"/>
      <c r="V27" s="406">
        <f t="shared" si="0"/>
        <v>92.75</v>
      </c>
      <c r="W27" s="407"/>
      <c r="X27" s="407"/>
      <c r="Y27" s="413"/>
      <c r="Z27" s="97" t="str">
        <f t="shared" si="1"/>
        <v>PASSED</v>
      </c>
      <c r="AA27" s="95"/>
      <c r="AB27" s="99"/>
    </row>
    <row r="28" ht="15.75" spans="1:28">
      <c r="A28" s="37">
        <v>17</v>
      </c>
      <c r="B28" s="375" t="str">
        <f>'INPUT DATA'!B28:D28</f>
        <v>RAMIREZ, MATTEO JOHN DAVE D.</v>
      </c>
      <c r="C28" s="377"/>
      <c r="D28" s="377"/>
      <c r="E28" s="378"/>
      <c r="F28" s="81">
        <v>70</v>
      </c>
      <c r="G28" s="82"/>
      <c r="H28" s="82"/>
      <c r="I28" s="93"/>
      <c r="J28" s="81">
        <v>60</v>
      </c>
      <c r="K28" s="82"/>
      <c r="L28" s="82"/>
      <c r="M28" s="93"/>
      <c r="N28" s="81">
        <v>60</v>
      </c>
      <c r="O28" s="82"/>
      <c r="P28" s="82"/>
      <c r="Q28" s="93"/>
      <c r="R28" s="81">
        <v>60</v>
      </c>
      <c r="S28" s="82"/>
      <c r="T28" s="82"/>
      <c r="U28" s="93"/>
      <c r="V28" s="406">
        <f t="shared" si="0"/>
        <v>62.5</v>
      </c>
      <c r="W28" s="407"/>
      <c r="X28" s="407"/>
      <c r="Y28" s="413"/>
      <c r="Z28" s="97" t="str">
        <f t="shared" si="1"/>
        <v>FAILED</v>
      </c>
      <c r="AA28" s="95"/>
      <c r="AB28" s="99"/>
    </row>
    <row r="29" ht="15.75" spans="1:28">
      <c r="A29" s="37">
        <v>18</v>
      </c>
      <c r="B29" s="375" t="str">
        <f>'INPUT DATA'!B29:D29</f>
        <v>SIGUIRA, JASTINE B.</v>
      </c>
      <c r="C29" s="377"/>
      <c r="D29" s="377"/>
      <c r="E29" s="378"/>
      <c r="F29" s="81">
        <v>75</v>
      </c>
      <c r="G29" s="82"/>
      <c r="H29" s="82"/>
      <c r="I29" s="93"/>
      <c r="J29" s="81">
        <v>60</v>
      </c>
      <c r="K29" s="82"/>
      <c r="L29" s="82"/>
      <c r="M29" s="93"/>
      <c r="N29" s="81">
        <v>60</v>
      </c>
      <c r="O29" s="82"/>
      <c r="P29" s="82"/>
      <c r="Q29" s="93"/>
      <c r="R29" s="81">
        <v>60</v>
      </c>
      <c r="S29" s="82"/>
      <c r="T29" s="82"/>
      <c r="U29" s="93"/>
      <c r="V29" s="406">
        <f t="shared" si="0"/>
        <v>63.75</v>
      </c>
      <c r="W29" s="407"/>
      <c r="X29" s="407"/>
      <c r="Y29" s="413"/>
      <c r="Z29" s="97" t="str">
        <f t="shared" si="1"/>
        <v>FAILED</v>
      </c>
      <c r="AA29" s="95"/>
      <c r="AB29" s="99"/>
    </row>
    <row r="30" ht="15.75" spans="1:28">
      <c r="A30" s="37">
        <v>19</v>
      </c>
      <c r="B30" s="375" t="str">
        <f>'INPUT DATA'!B30:D30</f>
        <v>TAA, JHONVINZ Y.</v>
      </c>
      <c r="C30" s="377"/>
      <c r="D30" s="377"/>
      <c r="E30" s="378"/>
      <c r="F30" s="81">
        <v>75</v>
      </c>
      <c r="G30" s="82"/>
      <c r="H30" s="82"/>
      <c r="I30" s="93"/>
      <c r="J30" s="81">
        <v>74</v>
      </c>
      <c r="K30" s="82"/>
      <c r="L30" s="82"/>
      <c r="M30" s="93"/>
      <c r="N30" s="81">
        <v>73</v>
      </c>
      <c r="O30" s="82"/>
      <c r="P30" s="82"/>
      <c r="Q30" s="93"/>
      <c r="R30" s="81">
        <v>76</v>
      </c>
      <c r="S30" s="82"/>
      <c r="T30" s="82"/>
      <c r="U30" s="93"/>
      <c r="V30" s="406">
        <f t="shared" si="0"/>
        <v>74.5</v>
      </c>
      <c r="W30" s="407"/>
      <c r="X30" s="407"/>
      <c r="Y30" s="413"/>
      <c r="Z30" s="97" t="str">
        <f t="shared" si="1"/>
        <v>FAILED</v>
      </c>
      <c r="AA30" s="95"/>
      <c r="AB30" s="99"/>
    </row>
    <row r="31" ht="15" customHeight="1" spans="1:28">
      <c r="A31" s="37">
        <v>20</v>
      </c>
      <c r="B31" s="375" t="str">
        <f>'INPUT DATA'!B31:D31</f>
        <v>ZOILO, JOHN LORENCE M.</v>
      </c>
      <c r="C31" s="377"/>
      <c r="D31" s="377"/>
      <c r="E31" s="378"/>
      <c r="F31" s="351">
        <v>84</v>
      </c>
      <c r="G31" s="352"/>
      <c r="H31" s="352"/>
      <c r="I31" s="359"/>
      <c r="J31" s="81">
        <v>79</v>
      </c>
      <c r="K31" s="82"/>
      <c r="L31" s="82"/>
      <c r="M31" s="93"/>
      <c r="N31" s="81">
        <v>88</v>
      </c>
      <c r="O31" s="82"/>
      <c r="P31" s="82"/>
      <c r="Q31" s="93"/>
      <c r="R31" s="81">
        <v>89</v>
      </c>
      <c r="S31" s="82"/>
      <c r="T31" s="82"/>
      <c r="U31" s="93"/>
      <c r="V31" s="406">
        <f t="shared" si="0"/>
        <v>85</v>
      </c>
      <c r="W31" s="407"/>
      <c r="X31" s="407"/>
      <c r="Y31" s="413"/>
      <c r="Z31" s="97" t="str">
        <f t="shared" si="1"/>
        <v>PASSED</v>
      </c>
      <c r="AA31" s="95"/>
      <c r="AB31" s="99"/>
    </row>
    <row r="32" ht="15" spans="1:28">
      <c r="A32" s="37">
        <v>21</v>
      </c>
      <c r="B32" s="286" t="s">
        <v>73</v>
      </c>
      <c r="C32" s="289"/>
      <c r="D32" s="377"/>
      <c r="E32" s="378"/>
      <c r="F32" s="395">
        <v>81</v>
      </c>
      <c r="G32" s="354"/>
      <c r="H32" s="354"/>
      <c r="I32" s="401"/>
      <c r="J32" s="395">
        <v>78</v>
      </c>
      <c r="K32" s="354"/>
      <c r="L32" s="354"/>
      <c r="M32" s="360"/>
      <c r="N32" s="353">
        <v>78</v>
      </c>
      <c r="O32" s="354"/>
      <c r="P32" s="354"/>
      <c r="Q32" s="360"/>
      <c r="R32" s="353">
        <v>76</v>
      </c>
      <c r="S32" s="354"/>
      <c r="T32" s="354"/>
      <c r="U32" s="360"/>
      <c r="V32" s="406">
        <f t="shared" si="0"/>
        <v>78.25</v>
      </c>
      <c r="W32" s="407"/>
      <c r="X32" s="407"/>
      <c r="Y32" s="413"/>
      <c r="Z32" s="97" t="str">
        <f t="shared" ref="Z32:Z37" si="3">IF(V32&gt;=75,"PASSED","FAILED")</f>
        <v>PASSED</v>
      </c>
      <c r="AA32" s="95"/>
      <c r="AB32" s="99"/>
    </row>
    <row r="33" ht="15.75" hidden="1" spans="1:28">
      <c r="A33" s="37">
        <v>22</v>
      </c>
      <c r="B33" s="375">
        <f>'INPUT DATA'!B33:D33</f>
        <v>0</v>
      </c>
      <c r="C33" s="377"/>
      <c r="D33" s="377"/>
      <c r="E33" s="377"/>
      <c r="F33" s="395"/>
      <c r="G33" s="354"/>
      <c r="H33" s="354"/>
      <c r="I33" s="401"/>
      <c r="J33" s="395"/>
      <c r="K33" s="354"/>
      <c r="L33" s="354"/>
      <c r="M33" s="360"/>
      <c r="N33" s="353"/>
      <c r="O33" s="354"/>
      <c r="P33" s="354"/>
      <c r="Q33" s="360"/>
      <c r="R33" s="353"/>
      <c r="S33" s="354"/>
      <c r="T33" s="354"/>
      <c r="U33" s="360"/>
      <c r="V33" s="406">
        <f t="shared" si="0"/>
        <v>0</v>
      </c>
      <c r="W33" s="407"/>
      <c r="X33" s="407"/>
      <c r="Y33" s="413"/>
      <c r="Z33" s="97" t="str">
        <f t="shared" si="3"/>
        <v>FAILED</v>
      </c>
      <c r="AA33" s="95"/>
      <c r="AB33" s="99"/>
    </row>
    <row r="34" ht="15.75" hidden="1" spans="1:28">
      <c r="A34" s="37">
        <v>23</v>
      </c>
      <c r="B34" s="375">
        <f>'INPUT DATA'!B34:D34</f>
        <v>0</v>
      </c>
      <c r="C34" s="377"/>
      <c r="D34" s="377"/>
      <c r="E34" s="377"/>
      <c r="F34" s="395"/>
      <c r="G34" s="354"/>
      <c r="H34" s="354"/>
      <c r="I34" s="401"/>
      <c r="J34" s="395"/>
      <c r="K34" s="354"/>
      <c r="L34" s="354"/>
      <c r="M34" s="360"/>
      <c r="N34" s="353"/>
      <c r="O34" s="354"/>
      <c r="P34" s="354"/>
      <c r="Q34" s="360"/>
      <c r="R34" s="353"/>
      <c r="S34" s="354"/>
      <c r="T34" s="354"/>
      <c r="U34" s="360"/>
      <c r="V34" s="406">
        <f t="shared" si="0"/>
        <v>0</v>
      </c>
      <c r="W34" s="407"/>
      <c r="X34" s="407"/>
      <c r="Y34" s="413"/>
      <c r="Z34" s="97" t="str">
        <f t="shared" si="3"/>
        <v>FAILED</v>
      </c>
      <c r="AA34" s="95"/>
      <c r="AB34" s="99"/>
    </row>
    <row r="35" ht="15.75" hidden="1" spans="1:28">
      <c r="A35" s="37">
        <v>24</v>
      </c>
      <c r="B35" s="375">
        <f>'INPUT DATA'!B35:D35</f>
        <v>0</v>
      </c>
      <c r="C35" s="377"/>
      <c r="D35" s="377"/>
      <c r="E35" s="377"/>
      <c r="F35" s="395"/>
      <c r="G35" s="354"/>
      <c r="H35" s="354"/>
      <c r="I35" s="401"/>
      <c r="J35" s="395"/>
      <c r="K35" s="354"/>
      <c r="L35" s="354"/>
      <c r="M35" s="360"/>
      <c r="N35" s="353"/>
      <c r="O35" s="354"/>
      <c r="P35" s="354"/>
      <c r="Q35" s="360"/>
      <c r="R35" s="353"/>
      <c r="S35" s="354"/>
      <c r="T35" s="354"/>
      <c r="U35" s="360"/>
      <c r="V35" s="406">
        <f t="shared" si="0"/>
        <v>0</v>
      </c>
      <c r="W35" s="407"/>
      <c r="X35" s="407"/>
      <c r="Y35" s="413"/>
      <c r="Z35" s="97" t="str">
        <f t="shared" si="3"/>
        <v>FAILED</v>
      </c>
      <c r="AA35" s="95"/>
      <c r="AB35" s="99"/>
    </row>
    <row r="36" ht="15.75" hidden="1" spans="1:28">
      <c r="A36" s="37">
        <v>25</v>
      </c>
      <c r="B36" s="375">
        <f>'INPUT DATA'!B36:D36</f>
        <v>0</v>
      </c>
      <c r="C36" s="377"/>
      <c r="D36" s="377"/>
      <c r="E36" s="377"/>
      <c r="F36" s="395"/>
      <c r="G36" s="354"/>
      <c r="H36" s="354"/>
      <c r="I36" s="401"/>
      <c r="J36" s="395"/>
      <c r="K36" s="354"/>
      <c r="L36" s="354"/>
      <c r="M36" s="360"/>
      <c r="N36" s="353"/>
      <c r="O36" s="354"/>
      <c r="P36" s="354"/>
      <c r="Q36" s="360"/>
      <c r="R36" s="353"/>
      <c r="S36" s="354"/>
      <c r="T36" s="354"/>
      <c r="U36" s="360"/>
      <c r="V36" s="406">
        <f t="shared" si="0"/>
        <v>0</v>
      </c>
      <c r="W36" s="407"/>
      <c r="X36" s="407"/>
      <c r="Y36" s="413"/>
      <c r="Z36" s="97" t="str">
        <f t="shared" si="3"/>
        <v>FAILED</v>
      </c>
      <c r="AA36" s="95"/>
      <c r="AB36" s="99"/>
    </row>
    <row r="37" ht="15.75" hidden="1" spans="1:28">
      <c r="A37" s="37">
        <v>26</v>
      </c>
      <c r="B37" s="375">
        <f>'INPUT DATA'!B37:D37</f>
        <v>0</v>
      </c>
      <c r="C37" s="377"/>
      <c r="D37" s="377"/>
      <c r="E37" s="377"/>
      <c r="F37" s="395"/>
      <c r="G37" s="354"/>
      <c r="H37" s="354"/>
      <c r="I37" s="401"/>
      <c r="J37" s="395"/>
      <c r="K37" s="354"/>
      <c r="L37" s="354"/>
      <c r="M37" s="360"/>
      <c r="N37" s="353"/>
      <c r="O37" s="354"/>
      <c r="P37" s="354"/>
      <c r="Q37" s="360"/>
      <c r="R37" s="353"/>
      <c r="S37" s="354"/>
      <c r="T37" s="354"/>
      <c r="U37" s="360"/>
      <c r="V37" s="353">
        <f t="shared" ref="V37:V40" si="4">SUM(F37,J37,N37,R37)/4</f>
        <v>0</v>
      </c>
      <c r="W37" s="354"/>
      <c r="X37" s="354"/>
      <c r="Y37" s="360"/>
      <c r="Z37" s="97" t="str">
        <f t="shared" si="3"/>
        <v>FAILED</v>
      </c>
      <c r="AA37" s="95"/>
      <c r="AB37" s="99"/>
    </row>
    <row r="38" ht="15.75" hidden="1" spans="1:28">
      <c r="A38" s="37">
        <v>31</v>
      </c>
      <c r="B38" s="375">
        <f>'INPUT DATA'!B42:D42</f>
        <v>0</v>
      </c>
      <c r="C38" s="377"/>
      <c r="D38" s="377"/>
      <c r="E38" s="378"/>
      <c r="F38" s="81"/>
      <c r="G38" s="82"/>
      <c r="H38" s="82"/>
      <c r="I38" s="93"/>
      <c r="J38" s="81"/>
      <c r="K38" s="82"/>
      <c r="L38" s="82"/>
      <c r="M38" s="93"/>
      <c r="N38" s="81"/>
      <c r="O38" s="82"/>
      <c r="P38" s="82"/>
      <c r="Q38" s="93"/>
      <c r="R38" s="81"/>
      <c r="S38" s="82"/>
      <c r="T38" s="82"/>
      <c r="U38" s="93"/>
      <c r="V38" s="353">
        <f t="shared" si="4"/>
        <v>0</v>
      </c>
      <c r="W38" s="354"/>
      <c r="X38" s="354"/>
      <c r="Y38" s="360"/>
      <c r="Z38" s="97" t="str">
        <f t="shared" ref="Z38:Z46" si="5">IF(V38&gt;=75,"PASSED","FAILED")</f>
        <v>FAILED</v>
      </c>
      <c r="AA38" s="95"/>
      <c r="AB38" s="99"/>
    </row>
    <row r="39" ht="15.75" hidden="1" spans="1:28">
      <c r="A39" s="37">
        <v>32</v>
      </c>
      <c r="B39" s="375">
        <f>'INPUT DATA'!B43:D43</f>
        <v>0</v>
      </c>
      <c r="C39" s="377"/>
      <c r="D39" s="377"/>
      <c r="E39" s="378"/>
      <c r="F39" s="81"/>
      <c r="G39" s="82"/>
      <c r="H39" s="82"/>
      <c r="I39" s="93"/>
      <c r="J39" s="81"/>
      <c r="K39" s="82"/>
      <c r="L39" s="82"/>
      <c r="M39" s="93"/>
      <c r="N39" s="81"/>
      <c r="O39" s="82"/>
      <c r="P39" s="82"/>
      <c r="Q39" s="93"/>
      <c r="R39" s="81"/>
      <c r="S39" s="82"/>
      <c r="T39" s="82"/>
      <c r="U39" s="93"/>
      <c r="V39" s="353">
        <f t="shared" si="4"/>
        <v>0</v>
      </c>
      <c r="W39" s="354"/>
      <c r="X39" s="354"/>
      <c r="Y39" s="360"/>
      <c r="Z39" s="97" t="str">
        <f t="shared" si="5"/>
        <v>FAILED</v>
      </c>
      <c r="AA39" s="95"/>
      <c r="AB39" s="99"/>
    </row>
    <row r="40" ht="15.75" hidden="1" spans="1:28">
      <c r="A40" s="37">
        <v>33</v>
      </c>
      <c r="B40" s="375">
        <f>'INPUT DATA'!B44:D44</f>
        <v>0</v>
      </c>
      <c r="C40" s="377"/>
      <c r="D40" s="377"/>
      <c r="E40" s="378"/>
      <c r="F40" s="81"/>
      <c r="G40" s="82"/>
      <c r="H40" s="82"/>
      <c r="I40" s="93"/>
      <c r="J40" s="81"/>
      <c r="K40" s="82"/>
      <c r="L40" s="82"/>
      <c r="M40" s="93"/>
      <c r="N40" s="81"/>
      <c r="O40" s="82"/>
      <c r="P40" s="82"/>
      <c r="Q40" s="93"/>
      <c r="R40" s="81"/>
      <c r="S40" s="82"/>
      <c r="T40" s="82"/>
      <c r="U40" s="93"/>
      <c r="V40" s="353">
        <f t="shared" si="4"/>
        <v>0</v>
      </c>
      <c r="W40" s="354"/>
      <c r="X40" s="354"/>
      <c r="Y40" s="360"/>
      <c r="Z40" s="97" t="str">
        <f t="shared" si="5"/>
        <v>FAILED</v>
      </c>
      <c r="AA40" s="95"/>
      <c r="AB40" s="99"/>
    </row>
    <row r="41" ht="15.75" hidden="1" spans="1:28">
      <c r="A41" s="396">
        <v>34</v>
      </c>
      <c r="B41" s="397">
        <f>'INPUT DATA'!B45:D45</f>
        <v>0</v>
      </c>
      <c r="C41" s="377"/>
      <c r="D41" s="377"/>
      <c r="E41" s="378"/>
      <c r="F41" s="351"/>
      <c r="G41" s="352"/>
      <c r="H41" s="352"/>
      <c r="I41" s="359"/>
      <c r="J41" s="351"/>
      <c r="K41" s="352"/>
      <c r="L41" s="352"/>
      <c r="M41" s="359"/>
      <c r="N41" s="351"/>
      <c r="O41" s="352"/>
      <c r="P41" s="352"/>
      <c r="Q41" s="359"/>
      <c r="R41" s="351"/>
      <c r="S41" s="352"/>
      <c r="T41" s="352"/>
      <c r="U41" s="359"/>
      <c r="V41" s="353"/>
      <c r="W41" s="354"/>
      <c r="X41" s="354"/>
      <c r="Y41" s="360"/>
      <c r="Z41" s="97" t="str">
        <f t="shared" si="5"/>
        <v>FAILED</v>
      </c>
      <c r="AA41" s="95"/>
      <c r="AB41" s="99"/>
    </row>
    <row r="42" ht="15.75" hidden="1" spans="1:28">
      <c r="A42" s="398">
        <v>35</v>
      </c>
      <c r="B42" s="394">
        <f>'INPUT DATA'!B46:D46</f>
        <v>0</v>
      </c>
      <c r="C42" s="399"/>
      <c r="D42" s="399"/>
      <c r="E42" s="400"/>
      <c r="F42" s="401"/>
      <c r="G42" s="83"/>
      <c r="H42" s="83"/>
      <c r="I42" s="326"/>
      <c r="J42" s="323"/>
      <c r="K42" s="83"/>
      <c r="L42" s="83"/>
      <c r="M42" s="326"/>
      <c r="N42" s="323"/>
      <c r="O42" s="83"/>
      <c r="P42" s="83"/>
      <c r="Q42" s="326"/>
      <c r="R42" s="401"/>
      <c r="S42" s="83"/>
      <c r="T42" s="83"/>
      <c r="U42" s="83"/>
      <c r="V42" s="353"/>
      <c r="W42" s="354"/>
      <c r="X42" s="354"/>
      <c r="Y42" s="360"/>
      <c r="Z42" s="97" t="str">
        <f t="shared" si="5"/>
        <v>FAILED</v>
      </c>
      <c r="AA42" s="95"/>
      <c r="AB42" s="99"/>
    </row>
    <row r="43" ht="15.75" hidden="1" spans="1:28">
      <c r="A43" s="398">
        <v>36</v>
      </c>
      <c r="B43" s="394">
        <f>'INPUT DATA'!B47:D47</f>
        <v>0</v>
      </c>
      <c r="C43" s="399"/>
      <c r="D43" s="399"/>
      <c r="E43" s="400"/>
      <c r="F43" s="401"/>
      <c r="G43" s="83"/>
      <c r="H43" s="83"/>
      <c r="I43" s="326"/>
      <c r="J43" s="323"/>
      <c r="K43" s="83"/>
      <c r="L43" s="83"/>
      <c r="M43" s="326"/>
      <c r="N43" s="323"/>
      <c r="O43" s="83"/>
      <c r="P43" s="83"/>
      <c r="Q43" s="326"/>
      <c r="R43" s="401"/>
      <c r="S43" s="83"/>
      <c r="T43" s="83"/>
      <c r="U43" s="83"/>
      <c r="V43" s="353"/>
      <c r="W43" s="354"/>
      <c r="X43" s="354"/>
      <c r="Y43" s="360"/>
      <c r="Z43" s="97" t="str">
        <f t="shared" si="5"/>
        <v>FAILED</v>
      </c>
      <c r="AA43" s="95"/>
      <c r="AB43" s="99"/>
    </row>
    <row r="44" ht="15.75" hidden="1" spans="1:28">
      <c r="A44" s="402">
        <v>37</v>
      </c>
      <c r="B44" s="397">
        <f>'INPUT DATA'!B48:D48</f>
        <v>0</v>
      </c>
      <c r="C44" s="399"/>
      <c r="D44" s="399"/>
      <c r="E44" s="403"/>
      <c r="F44" s="323"/>
      <c r="G44" s="83"/>
      <c r="H44" s="83"/>
      <c r="I44" s="326"/>
      <c r="J44" s="323"/>
      <c r="K44" s="83"/>
      <c r="L44" s="83"/>
      <c r="M44" s="326"/>
      <c r="N44" s="323"/>
      <c r="O44" s="83"/>
      <c r="P44" s="83"/>
      <c r="Q44" s="326"/>
      <c r="R44" s="401"/>
      <c r="S44" s="83"/>
      <c r="T44" s="83"/>
      <c r="U44" s="83"/>
      <c r="V44" s="353"/>
      <c r="W44" s="354"/>
      <c r="X44" s="354"/>
      <c r="Y44" s="360"/>
      <c r="Z44" s="97" t="str">
        <f t="shared" si="5"/>
        <v>FAILED</v>
      </c>
      <c r="AA44" s="95"/>
      <c r="AB44" s="99"/>
    </row>
    <row r="45" ht="15.75" hidden="1" spans="1:28">
      <c r="A45" s="402">
        <v>38</v>
      </c>
      <c r="B45" s="397">
        <f>'INPUT DATA'!B49:D49</f>
        <v>0</v>
      </c>
      <c r="C45" s="404"/>
      <c r="D45" s="404"/>
      <c r="E45" s="405"/>
      <c r="F45" s="353"/>
      <c r="G45" s="354"/>
      <c r="H45" s="354"/>
      <c r="I45" s="360"/>
      <c r="J45" s="353"/>
      <c r="K45" s="354"/>
      <c r="L45" s="354"/>
      <c r="M45" s="360"/>
      <c r="N45" s="353"/>
      <c r="O45" s="354"/>
      <c r="P45" s="354"/>
      <c r="Q45" s="360"/>
      <c r="R45" s="353"/>
      <c r="S45" s="354"/>
      <c r="T45" s="354"/>
      <c r="U45" s="360"/>
      <c r="V45" s="353"/>
      <c r="W45" s="354"/>
      <c r="X45" s="354"/>
      <c r="Y45" s="360"/>
      <c r="Z45" s="97" t="str">
        <f t="shared" si="5"/>
        <v>FAILED</v>
      </c>
      <c r="AA45" s="95"/>
      <c r="AB45" s="99"/>
    </row>
    <row r="46" ht="15" hidden="1" spans="1:28">
      <c r="A46" s="402">
        <v>39</v>
      </c>
      <c r="B46" s="397">
        <f>'INPUT DATA'!B50:D50</f>
        <v>0</v>
      </c>
      <c r="C46" s="399"/>
      <c r="D46" s="399"/>
      <c r="E46" s="403"/>
      <c r="F46" s="323"/>
      <c r="G46" s="83"/>
      <c r="H46" s="83"/>
      <c r="I46" s="326"/>
      <c r="J46" s="323"/>
      <c r="K46" s="83"/>
      <c r="L46" s="83"/>
      <c r="M46" s="326"/>
      <c r="N46" s="323"/>
      <c r="O46" s="83"/>
      <c r="P46" s="83"/>
      <c r="Q46" s="326"/>
      <c r="R46" s="401"/>
      <c r="S46" s="83"/>
      <c r="T46" s="83"/>
      <c r="U46" s="83"/>
      <c r="V46" s="353"/>
      <c r="W46" s="354"/>
      <c r="X46" s="354"/>
      <c r="Y46" s="360"/>
      <c r="Z46" s="97" t="str">
        <f t="shared" si="5"/>
        <v>FAILED</v>
      </c>
      <c r="AA46" s="95"/>
      <c r="AB46" s="99"/>
    </row>
    <row r="47" ht="15.75" spans="1:28">
      <c r="A47" s="30"/>
      <c r="B47" s="339" t="s">
        <v>39</v>
      </c>
      <c r="C47" s="306"/>
      <c r="D47" s="306"/>
      <c r="E47" s="307"/>
      <c r="F47" s="51"/>
      <c r="G47" s="52"/>
      <c r="H47" s="52"/>
      <c r="I47" s="69"/>
      <c r="J47" s="51"/>
      <c r="K47" s="52"/>
      <c r="L47" s="52"/>
      <c r="M47" s="69"/>
      <c r="N47" s="51"/>
      <c r="O47" s="52"/>
      <c r="P47" s="52"/>
      <c r="Q47" s="69"/>
      <c r="R47" s="408"/>
      <c r="S47" s="409"/>
      <c r="T47" s="409"/>
      <c r="U47" s="410"/>
      <c r="V47" s="411"/>
      <c r="W47" s="412"/>
      <c r="X47" s="412"/>
      <c r="Y47" s="417"/>
      <c r="Z47" s="418" t="s">
        <v>74</v>
      </c>
      <c r="AA47" s="419"/>
      <c r="AB47" s="420"/>
    </row>
    <row r="48" ht="15.75" spans="1:28">
      <c r="A48" s="32">
        <v>1</v>
      </c>
      <c r="B48" s="375" t="str">
        <f>'INPUT DATA'!B53:D53</f>
        <v>ANGCOY, PRINCESS NAILLE T.</v>
      </c>
      <c r="C48" s="376"/>
      <c r="D48" s="376"/>
      <c r="E48" s="383"/>
      <c r="F48" s="81">
        <v>75</v>
      </c>
      <c r="G48" s="82"/>
      <c r="H48" s="82"/>
      <c r="I48" s="93"/>
      <c r="J48" s="81">
        <v>83</v>
      </c>
      <c r="K48" s="82"/>
      <c r="L48" s="82"/>
      <c r="M48" s="93"/>
      <c r="N48" s="81">
        <v>84</v>
      </c>
      <c r="O48" s="82"/>
      <c r="P48" s="82"/>
      <c r="Q48" s="93"/>
      <c r="R48" s="81">
        <v>89</v>
      </c>
      <c r="S48" s="82"/>
      <c r="T48" s="82"/>
      <c r="U48" s="93"/>
      <c r="V48" s="406">
        <f>SUM(F48,J48,N48,R48)/4</f>
        <v>82.75</v>
      </c>
      <c r="W48" s="407"/>
      <c r="X48" s="407"/>
      <c r="Y48" s="413"/>
      <c r="Z48" s="97" t="str">
        <f>IF(V48&gt;=75,"PASSED","FAILED")</f>
        <v>PASSED</v>
      </c>
      <c r="AA48" s="98"/>
      <c r="AB48" s="99"/>
    </row>
    <row r="49" ht="15.75" spans="1:28">
      <c r="A49" s="37">
        <v>2</v>
      </c>
      <c r="B49" s="375" t="str">
        <f>'INPUT DATA'!B54:D54</f>
        <v>BIMOS, SHEILLA KATE O.</v>
      </c>
      <c r="C49" s="377"/>
      <c r="D49" s="377"/>
      <c r="E49" s="378"/>
      <c r="F49" s="81">
        <v>78</v>
      </c>
      <c r="G49" s="82"/>
      <c r="H49" s="82"/>
      <c r="I49" s="93"/>
      <c r="J49" s="81">
        <v>77</v>
      </c>
      <c r="K49" s="82"/>
      <c r="L49" s="82"/>
      <c r="M49" s="93"/>
      <c r="N49" s="81">
        <v>83</v>
      </c>
      <c r="O49" s="82"/>
      <c r="P49" s="82"/>
      <c r="Q49" s="93"/>
      <c r="R49" s="81">
        <v>87</v>
      </c>
      <c r="S49" s="82"/>
      <c r="T49" s="82"/>
      <c r="U49" s="93"/>
      <c r="V49" s="406">
        <f t="shared" ref="V49:V70" si="6">SUM(F49,J49,N49,R49)/4</f>
        <v>81.25</v>
      </c>
      <c r="W49" s="407"/>
      <c r="X49" s="407"/>
      <c r="Y49" s="413"/>
      <c r="Z49" s="97" t="str">
        <f>IF(V49&gt;=75,"PASSED","FAILED")</f>
        <v>PASSED</v>
      </c>
      <c r="AA49" s="98"/>
      <c r="AB49" s="99"/>
    </row>
    <row r="50" ht="15.75" spans="1:28">
      <c r="A50" s="37">
        <v>3</v>
      </c>
      <c r="B50" s="375" t="str">
        <f>'INPUT DATA'!B55:D55</f>
        <v>BONGABONG, DWEYN ZHAIRA A.</v>
      </c>
      <c r="C50" s="377"/>
      <c r="D50" s="377"/>
      <c r="E50" s="378"/>
      <c r="F50" s="81">
        <v>92</v>
      </c>
      <c r="G50" s="82"/>
      <c r="H50" s="82"/>
      <c r="I50" s="93"/>
      <c r="J50" s="81">
        <v>85</v>
      </c>
      <c r="K50" s="82"/>
      <c r="L50" s="82"/>
      <c r="M50" s="93"/>
      <c r="N50" s="81">
        <v>87</v>
      </c>
      <c r="O50" s="82"/>
      <c r="P50" s="82"/>
      <c r="Q50" s="93"/>
      <c r="R50" s="81">
        <v>92</v>
      </c>
      <c r="S50" s="82"/>
      <c r="T50" s="82"/>
      <c r="U50" s="93"/>
      <c r="V50" s="406">
        <f t="shared" si="6"/>
        <v>89</v>
      </c>
      <c r="W50" s="407"/>
      <c r="X50" s="407"/>
      <c r="Y50" s="413"/>
      <c r="Z50" s="97" t="str">
        <f t="shared" ref="Z50:Z64" si="7">IF(V50&gt;=75,"PASSED","FAILED")</f>
        <v>PASSED</v>
      </c>
      <c r="AA50" s="98"/>
      <c r="AB50" s="99"/>
    </row>
    <row r="51" ht="15.75" spans="1:28">
      <c r="A51" s="37">
        <v>4</v>
      </c>
      <c r="B51" s="375" t="str">
        <f>'INPUT DATA'!B56:D56</f>
        <v>CABEL, LOURENE A.</v>
      </c>
      <c r="C51" s="377"/>
      <c r="D51" s="377"/>
      <c r="E51" s="378"/>
      <c r="F51" s="81">
        <v>93</v>
      </c>
      <c r="G51" s="82"/>
      <c r="H51" s="82"/>
      <c r="I51" s="93"/>
      <c r="J51" s="81">
        <v>95</v>
      </c>
      <c r="K51" s="82"/>
      <c r="L51" s="82"/>
      <c r="M51" s="93"/>
      <c r="N51" s="81">
        <v>87</v>
      </c>
      <c r="O51" s="82"/>
      <c r="P51" s="82"/>
      <c r="Q51" s="93"/>
      <c r="R51" s="81">
        <v>93</v>
      </c>
      <c r="S51" s="82"/>
      <c r="T51" s="82"/>
      <c r="U51" s="93"/>
      <c r="V51" s="406">
        <f t="shared" ref="V51" si="8">SUM(F51,J51,N51,R51)/4</f>
        <v>92</v>
      </c>
      <c r="W51" s="407"/>
      <c r="X51" s="407"/>
      <c r="Y51" s="413"/>
      <c r="Z51" s="97" t="str">
        <f t="shared" ref="Z51" si="9">IF(V51&gt;=75,"PASSED","FAILED")</f>
        <v>PASSED</v>
      </c>
      <c r="AA51" s="98"/>
      <c r="AB51" s="99"/>
    </row>
    <row r="52" ht="15.75" spans="1:28">
      <c r="A52" s="37">
        <v>5</v>
      </c>
      <c r="B52" s="375" t="str">
        <f>'INPUT DATA'!B57:D57</f>
        <v>CAMIGAO, DHENISE CLARE V.</v>
      </c>
      <c r="C52" s="377"/>
      <c r="D52" s="377"/>
      <c r="E52" s="378"/>
      <c r="F52" s="81">
        <v>87</v>
      </c>
      <c r="G52" s="82"/>
      <c r="H52" s="82"/>
      <c r="I52" s="93"/>
      <c r="J52" s="81">
        <v>79</v>
      </c>
      <c r="K52" s="82"/>
      <c r="L52" s="82"/>
      <c r="M52" s="93"/>
      <c r="N52" s="81">
        <v>77</v>
      </c>
      <c r="O52" s="82"/>
      <c r="P52" s="82"/>
      <c r="Q52" s="93"/>
      <c r="R52" s="81">
        <v>89</v>
      </c>
      <c r="S52" s="82"/>
      <c r="T52" s="82"/>
      <c r="U52" s="93"/>
      <c r="V52" s="406">
        <f t="shared" si="6"/>
        <v>83</v>
      </c>
      <c r="W52" s="407"/>
      <c r="X52" s="407"/>
      <c r="Y52" s="413"/>
      <c r="Z52" s="97" t="str">
        <f t="shared" si="7"/>
        <v>PASSED</v>
      </c>
      <c r="AA52" s="98"/>
      <c r="AB52" s="99"/>
    </row>
    <row r="53" ht="15.75" spans="1:28">
      <c r="A53" s="37">
        <v>6</v>
      </c>
      <c r="B53" s="375" t="str">
        <f>'INPUT DATA'!B58:D58</f>
        <v>CARISMA, NATHALIA MAE M.</v>
      </c>
      <c r="C53" s="377"/>
      <c r="D53" s="377"/>
      <c r="E53" s="378"/>
      <c r="F53" s="81">
        <v>88</v>
      </c>
      <c r="G53" s="82"/>
      <c r="H53" s="82"/>
      <c r="I53" s="93"/>
      <c r="J53" s="81">
        <v>89</v>
      </c>
      <c r="K53" s="82"/>
      <c r="L53" s="82"/>
      <c r="M53" s="93"/>
      <c r="N53" s="81">
        <v>89</v>
      </c>
      <c r="O53" s="82"/>
      <c r="P53" s="82"/>
      <c r="Q53" s="93"/>
      <c r="R53" s="81">
        <v>89</v>
      </c>
      <c r="S53" s="82"/>
      <c r="T53" s="82"/>
      <c r="U53" s="93"/>
      <c r="V53" s="406">
        <f t="shared" si="6"/>
        <v>88.75</v>
      </c>
      <c r="W53" s="407"/>
      <c r="X53" s="407"/>
      <c r="Y53" s="413"/>
      <c r="Z53" s="97" t="str">
        <f t="shared" si="7"/>
        <v>PASSED</v>
      </c>
      <c r="AA53" s="98"/>
      <c r="AB53" s="99"/>
    </row>
    <row r="54" ht="15.75" spans="1:28">
      <c r="A54" s="37">
        <v>7</v>
      </c>
      <c r="B54" s="375" t="str">
        <f>'INPUT DATA'!B59:D59</f>
        <v>CLARO, REANZ P.</v>
      </c>
      <c r="C54" s="377"/>
      <c r="D54" s="377"/>
      <c r="E54" s="378"/>
      <c r="F54" s="81">
        <v>84</v>
      </c>
      <c r="G54" s="82"/>
      <c r="H54" s="82"/>
      <c r="I54" s="93"/>
      <c r="J54" s="81">
        <v>91</v>
      </c>
      <c r="K54" s="82"/>
      <c r="L54" s="82"/>
      <c r="M54" s="93"/>
      <c r="N54" s="81">
        <v>78</v>
      </c>
      <c r="O54" s="82"/>
      <c r="P54" s="82"/>
      <c r="Q54" s="93"/>
      <c r="R54" s="81">
        <v>77</v>
      </c>
      <c r="S54" s="82"/>
      <c r="T54" s="82"/>
      <c r="U54" s="93"/>
      <c r="V54" s="406">
        <f t="shared" si="6"/>
        <v>82.5</v>
      </c>
      <c r="W54" s="407"/>
      <c r="X54" s="407"/>
      <c r="Y54" s="413"/>
      <c r="Z54" s="97" t="str">
        <f t="shared" si="7"/>
        <v>PASSED</v>
      </c>
      <c r="AA54" s="98"/>
      <c r="AB54" s="99"/>
    </row>
    <row r="55" ht="15.75" spans="1:28">
      <c r="A55" s="37">
        <v>8</v>
      </c>
      <c r="B55" s="375" t="str">
        <f>'INPUT DATA'!B60:D60</f>
        <v>FRANCISCO, YSABELLA BEATRICE B.</v>
      </c>
      <c r="C55" s="377"/>
      <c r="D55" s="377"/>
      <c r="E55" s="378"/>
      <c r="F55" s="81">
        <v>92</v>
      </c>
      <c r="G55" s="82"/>
      <c r="H55" s="82"/>
      <c r="I55" s="93"/>
      <c r="J55" s="81">
        <v>92</v>
      </c>
      <c r="K55" s="82"/>
      <c r="L55" s="82"/>
      <c r="M55" s="93"/>
      <c r="N55" s="81">
        <v>87</v>
      </c>
      <c r="O55" s="82"/>
      <c r="P55" s="82"/>
      <c r="Q55" s="93"/>
      <c r="R55" s="81">
        <v>96</v>
      </c>
      <c r="S55" s="82"/>
      <c r="T55" s="82"/>
      <c r="U55" s="93"/>
      <c r="V55" s="406">
        <f t="shared" si="6"/>
        <v>91.75</v>
      </c>
      <c r="W55" s="407"/>
      <c r="X55" s="407"/>
      <c r="Y55" s="413"/>
      <c r="Z55" s="97" t="str">
        <f t="shared" si="7"/>
        <v>PASSED</v>
      </c>
      <c r="AA55" s="98"/>
      <c r="AB55" s="99"/>
    </row>
    <row r="56" ht="15.75" spans="1:28">
      <c r="A56" s="37">
        <v>9</v>
      </c>
      <c r="B56" s="375" t="str">
        <f>'INPUT DATA'!B61:D61</f>
        <v>GALDO, ALYSSA RHIAN P.</v>
      </c>
      <c r="C56" s="377"/>
      <c r="D56" s="377"/>
      <c r="E56" s="378"/>
      <c r="F56" s="81">
        <v>80</v>
      </c>
      <c r="G56" s="82"/>
      <c r="H56" s="82"/>
      <c r="I56" s="93"/>
      <c r="J56" s="81"/>
      <c r="K56" s="82"/>
      <c r="L56" s="82"/>
      <c r="M56" s="93"/>
      <c r="N56" s="81"/>
      <c r="O56" s="82"/>
      <c r="P56" s="82"/>
      <c r="Q56" s="93"/>
      <c r="R56" s="81"/>
      <c r="S56" s="82"/>
      <c r="T56" s="82"/>
      <c r="U56" s="93"/>
      <c r="V56" s="406">
        <f t="shared" si="6"/>
        <v>20</v>
      </c>
      <c r="W56" s="407"/>
      <c r="X56" s="407"/>
      <c r="Y56" s="413"/>
      <c r="Z56" s="97" t="str">
        <f t="shared" si="7"/>
        <v>FAILED</v>
      </c>
      <c r="AA56" s="98"/>
      <c r="AB56" s="99"/>
    </row>
    <row r="57" ht="15.75" spans="1:28">
      <c r="A57" s="37">
        <v>10</v>
      </c>
      <c r="B57" s="375" t="str">
        <f>'INPUT DATA'!B62:D62</f>
        <v>HURAÑO, RIOMI M.</v>
      </c>
      <c r="C57" s="377"/>
      <c r="D57" s="377"/>
      <c r="E57" s="378"/>
      <c r="F57" s="81">
        <v>88</v>
      </c>
      <c r="G57" s="82"/>
      <c r="H57" s="82"/>
      <c r="I57" s="93"/>
      <c r="J57" s="81">
        <v>89</v>
      </c>
      <c r="K57" s="82"/>
      <c r="L57" s="82"/>
      <c r="M57" s="93"/>
      <c r="N57" s="81">
        <v>87</v>
      </c>
      <c r="O57" s="82"/>
      <c r="P57" s="82"/>
      <c r="Q57" s="93"/>
      <c r="R57" s="81">
        <v>94</v>
      </c>
      <c r="S57" s="82"/>
      <c r="T57" s="82"/>
      <c r="U57" s="93"/>
      <c r="V57" s="406">
        <f t="shared" si="6"/>
        <v>89.5</v>
      </c>
      <c r="W57" s="407"/>
      <c r="X57" s="407"/>
      <c r="Y57" s="413"/>
      <c r="Z57" s="97" t="str">
        <f t="shared" si="7"/>
        <v>PASSED</v>
      </c>
      <c r="AA57" s="98"/>
      <c r="AB57" s="99"/>
    </row>
    <row r="58" ht="15.75" spans="1:28">
      <c r="A58" s="37">
        <v>11</v>
      </c>
      <c r="B58" s="375" t="str">
        <f>'INPUT DATA'!B63:D63</f>
        <v>LAGUNA, WELLAIZA O.</v>
      </c>
      <c r="C58" s="377"/>
      <c r="D58" s="377"/>
      <c r="E58" s="378"/>
      <c r="F58" s="81">
        <v>75</v>
      </c>
      <c r="G58" s="82"/>
      <c r="H58" s="82"/>
      <c r="I58" s="93"/>
      <c r="J58" s="81"/>
      <c r="K58" s="82"/>
      <c r="L58" s="82"/>
      <c r="M58" s="93"/>
      <c r="N58" s="81"/>
      <c r="O58" s="82"/>
      <c r="P58" s="82"/>
      <c r="Q58" s="93"/>
      <c r="R58" s="81"/>
      <c r="S58" s="82"/>
      <c r="T58" s="82"/>
      <c r="U58" s="93"/>
      <c r="V58" s="406">
        <f t="shared" si="6"/>
        <v>18.75</v>
      </c>
      <c r="W58" s="407"/>
      <c r="X58" s="407"/>
      <c r="Y58" s="413"/>
      <c r="Z58" s="97" t="str">
        <f t="shared" si="7"/>
        <v>FAILED</v>
      </c>
      <c r="AA58" s="98"/>
      <c r="AB58" s="99"/>
    </row>
    <row r="59" ht="15.75" spans="1:28">
      <c r="A59" s="37">
        <v>12</v>
      </c>
      <c r="B59" s="375" t="str">
        <f>'INPUT DATA'!B64:D64</f>
        <v>LAZAGA, PRINCESS JEAN O.</v>
      </c>
      <c r="C59" s="377"/>
      <c r="D59" s="377"/>
      <c r="E59" s="378"/>
      <c r="F59" s="81">
        <v>85</v>
      </c>
      <c r="G59" s="82"/>
      <c r="H59" s="82"/>
      <c r="I59" s="93"/>
      <c r="J59" s="81">
        <v>88</v>
      </c>
      <c r="K59" s="82"/>
      <c r="L59" s="82"/>
      <c r="M59" s="93"/>
      <c r="N59" s="81">
        <v>88</v>
      </c>
      <c r="O59" s="82"/>
      <c r="P59" s="82"/>
      <c r="Q59" s="93"/>
      <c r="R59" s="81">
        <v>90</v>
      </c>
      <c r="S59" s="82"/>
      <c r="T59" s="82"/>
      <c r="U59" s="93"/>
      <c r="V59" s="406">
        <f t="shared" si="6"/>
        <v>87.75</v>
      </c>
      <c r="W59" s="407"/>
      <c r="X59" s="407"/>
      <c r="Y59" s="413"/>
      <c r="Z59" s="97" t="str">
        <f t="shared" si="7"/>
        <v>PASSED</v>
      </c>
      <c r="AA59" s="98"/>
      <c r="AB59" s="99"/>
    </row>
    <row r="60" ht="15.75" spans="1:28">
      <c r="A60" s="37">
        <v>13</v>
      </c>
      <c r="B60" s="375" t="str">
        <f>'INPUT DATA'!B65:D65</f>
        <v>LIBRES, MIKYLLA B.</v>
      </c>
      <c r="C60" s="377"/>
      <c r="D60" s="377"/>
      <c r="E60" s="378"/>
      <c r="F60" s="81">
        <v>75</v>
      </c>
      <c r="G60" s="82"/>
      <c r="H60" s="82"/>
      <c r="I60" s="93"/>
      <c r="J60" s="81">
        <v>76</v>
      </c>
      <c r="K60" s="82"/>
      <c r="L60" s="82"/>
      <c r="M60" s="93"/>
      <c r="N60" s="81">
        <v>77</v>
      </c>
      <c r="O60" s="82"/>
      <c r="P60" s="82"/>
      <c r="Q60" s="93"/>
      <c r="R60" s="81">
        <v>83</v>
      </c>
      <c r="S60" s="82"/>
      <c r="T60" s="82"/>
      <c r="U60" s="93"/>
      <c r="V60" s="406">
        <f t="shared" si="6"/>
        <v>77.75</v>
      </c>
      <c r="W60" s="407"/>
      <c r="X60" s="407"/>
      <c r="Y60" s="413"/>
      <c r="Z60" s="97" t="str">
        <f t="shared" si="7"/>
        <v>PASSED</v>
      </c>
      <c r="AA60" s="98"/>
      <c r="AB60" s="99"/>
    </row>
    <row r="61" ht="15.75" spans="1:28">
      <c r="A61" s="37">
        <v>14</v>
      </c>
      <c r="B61" s="375" t="str">
        <f>'INPUT DATA'!B66:D66</f>
        <v>LIM, LENNIE GRACE S.</v>
      </c>
      <c r="C61" s="377"/>
      <c r="D61" s="377"/>
      <c r="E61" s="378"/>
      <c r="F61" s="81">
        <v>86</v>
      </c>
      <c r="G61" s="82"/>
      <c r="H61" s="82"/>
      <c r="I61" s="93"/>
      <c r="J61" s="81">
        <v>78</v>
      </c>
      <c r="K61" s="82"/>
      <c r="L61" s="82"/>
      <c r="M61" s="93"/>
      <c r="N61" s="81">
        <v>85</v>
      </c>
      <c r="O61" s="82"/>
      <c r="P61" s="82"/>
      <c r="Q61" s="93"/>
      <c r="R61" s="81">
        <v>89</v>
      </c>
      <c r="S61" s="82"/>
      <c r="T61" s="82"/>
      <c r="U61" s="93"/>
      <c r="V61" s="406">
        <f t="shared" si="6"/>
        <v>84.5</v>
      </c>
      <c r="W61" s="407"/>
      <c r="X61" s="407"/>
      <c r="Y61" s="413"/>
      <c r="Z61" s="97" t="str">
        <f t="shared" si="7"/>
        <v>PASSED</v>
      </c>
      <c r="AA61" s="98"/>
      <c r="AB61" s="99"/>
    </row>
    <row r="62" ht="15.75" spans="1:28">
      <c r="A62" s="37">
        <v>15</v>
      </c>
      <c r="B62" s="375" t="str">
        <f>'INPUT DATA'!B67:D67</f>
        <v>MASAYON, RHEA JANE L.</v>
      </c>
      <c r="C62" s="377"/>
      <c r="D62" s="377"/>
      <c r="E62" s="378"/>
      <c r="F62" s="81">
        <v>70</v>
      </c>
      <c r="G62" s="82"/>
      <c r="H62" s="82"/>
      <c r="I62" s="93"/>
      <c r="J62" s="81">
        <v>75</v>
      </c>
      <c r="K62" s="82"/>
      <c r="L62" s="82"/>
      <c r="M62" s="93"/>
      <c r="N62" s="81">
        <v>75</v>
      </c>
      <c r="O62" s="82"/>
      <c r="P62" s="82"/>
      <c r="Q62" s="93"/>
      <c r="R62" s="81">
        <v>78</v>
      </c>
      <c r="S62" s="82"/>
      <c r="T62" s="82"/>
      <c r="U62" s="93"/>
      <c r="V62" s="406">
        <f t="shared" si="6"/>
        <v>74.5</v>
      </c>
      <c r="W62" s="407"/>
      <c r="X62" s="407"/>
      <c r="Y62" s="413"/>
      <c r="Z62" s="97" t="str">
        <f t="shared" si="7"/>
        <v>FAILED</v>
      </c>
      <c r="AA62" s="98"/>
      <c r="AB62" s="99"/>
    </row>
    <row r="63" ht="15.75" spans="1:28">
      <c r="A63" s="37">
        <v>16</v>
      </c>
      <c r="B63" s="375" t="str">
        <f>'INPUT DATA'!B68:D68</f>
        <v>MORANCIL, JENEVI A.</v>
      </c>
      <c r="C63" s="377"/>
      <c r="D63" s="377"/>
      <c r="E63" s="378"/>
      <c r="F63" s="81">
        <v>84</v>
      </c>
      <c r="G63" s="82"/>
      <c r="H63" s="82"/>
      <c r="I63" s="93"/>
      <c r="J63" s="81">
        <v>86</v>
      </c>
      <c r="K63" s="82"/>
      <c r="L63" s="82"/>
      <c r="M63" s="93"/>
      <c r="N63" s="81">
        <v>84</v>
      </c>
      <c r="O63" s="82"/>
      <c r="P63" s="82"/>
      <c r="Q63" s="93"/>
      <c r="R63" s="81">
        <v>88</v>
      </c>
      <c r="S63" s="82"/>
      <c r="T63" s="82"/>
      <c r="U63" s="93"/>
      <c r="V63" s="406">
        <f t="shared" si="6"/>
        <v>85.5</v>
      </c>
      <c r="W63" s="407"/>
      <c r="X63" s="407"/>
      <c r="Y63" s="413"/>
      <c r="Z63" s="97" t="str">
        <f t="shared" si="7"/>
        <v>PASSED</v>
      </c>
      <c r="AA63" s="98"/>
      <c r="AB63" s="99"/>
    </row>
    <row r="64" ht="15.75" spans="1:28">
      <c r="A64" s="37">
        <v>17</v>
      </c>
      <c r="B64" s="375" t="str">
        <f>'INPUT DATA'!B69:D69</f>
        <v>PATRICIO, MICHA ELLA P.</v>
      </c>
      <c r="C64" s="377"/>
      <c r="D64" s="377"/>
      <c r="E64" s="378"/>
      <c r="F64" s="81">
        <v>72</v>
      </c>
      <c r="G64" s="82"/>
      <c r="H64" s="82"/>
      <c r="I64" s="93"/>
      <c r="J64" s="81">
        <v>75</v>
      </c>
      <c r="K64" s="82"/>
      <c r="L64" s="82"/>
      <c r="M64" s="93"/>
      <c r="N64" s="81">
        <v>75</v>
      </c>
      <c r="O64" s="82"/>
      <c r="P64" s="82"/>
      <c r="Q64" s="93"/>
      <c r="R64" s="81">
        <v>76</v>
      </c>
      <c r="S64" s="82"/>
      <c r="T64" s="82"/>
      <c r="U64" s="93"/>
      <c r="V64" s="406">
        <f t="shared" si="6"/>
        <v>74.5</v>
      </c>
      <c r="W64" s="407"/>
      <c r="X64" s="407"/>
      <c r="Y64" s="413"/>
      <c r="Z64" s="97" t="str">
        <f t="shared" si="7"/>
        <v>FAILED</v>
      </c>
      <c r="AA64" s="98"/>
      <c r="AB64" s="99"/>
    </row>
    <row r="65" ht="15.75" spans="1:28">
      <c r="A65" s="37">
        <v>18</v>
      </c>
      <c r="B65" s="375" t="str">
        <f>'INPUT DATA'!B70:D70</f>
        <v>PELINGON , ASHLEY C.</v>
      </c>
      <c r="C65" s="377"/>
      <c r="D65" s="377"/>
      <c r="E65" s="378"/>
      <c r="F65" s="81">
        <v>88</v>
      </c>
      <c r="G65" s="82"/>
      <c r="H65" s="82"/>
      <c r="I65" s="93"/>
      <c r="J65" s="81">
        <v>83</v>
      </c>
      <c r="K65" s="82"/>
      <c r="L65" s="82"/>
      <c r="M65" s="93"/>
      <c r="N65" s="81">
        <v>81</v>
      </c>
      <c r="O65" s="82"/>
      <c r="P65" s="82"/>
      <c r="Q65" s="93"/>
      <c r="R65" s="81">
        <v>77</v>
      </c>
      <c r="S65" s="82"/>
      <c r="T65" s="82"/>
      <c r="U65" s="93"/>
      <c r="V65" s="406">
        <f t="shared" si="6"/>
        <v>82.25</v>
      </c>
      <c r="W65" s="407"/>
      <c r="X65" s="407"/>
      <c r="Y65" s="413"/>
      <c r="Z65" s="97" t="str">
        <f t="shared" ref="Z65:Z78" si="10">IF(V65&gt;=75,"PASSED","FAILED")</f>
        <v>PASSED</v>
      </c>
      <c r="AA65" s="98"/>
      <c r="AB65" s="99"/>
    </row>
    <row r="66" ht="15.75" spans="1:28">
      <c r="A66" s="37">
        <v>19</v>
      </c>
      <c r="B66" s="375" t="str">
        <f>'INPUT DATA'!B71:D71</f>
        <v>PEREZ, MERCY JEAN T.</v>
      </c>
      <c r="C66" s="377"/>
      <c r="D66" s="377"/>
      <c r="E66" s="378"/>
      <c r="F66" s="81">
        <v>70</v>
      </c>
      <c r="G66" s="82"/>
      <c r="H66" s="82"/>
      <c r="I66" s="93"/>
      <c r="J66" s="81">
        <v>75</v>
      </c>
      <c r="K66" s="82"/>
      <c r="L66" s="82"/>
      <c r="M66" s="93"/>
      <c r="N66" s="81">
        <v>74</v>
      </c>
      <c r="O66" s="82"/>
      <c r="P66" s="82"/>
      <c r="Q66" s="93"/>
      <c r="R66" s="81">
        <v>79</v>
      </c>
      <c r="S66" s="82"/>
      <c r="T66" s="82"/>
      <c r="U66" s="93"/>
      <c r="V66" s="406">
        <f t="shared" si="6"/>
        <v>74.5</v>
      </c>
      <c r="W66" s="407"/>
      <c r="X66" s="407"/>
      <c r="Y66" s="413"/>
      <c r="Z66" s="97" t="str">
        <f t="shared" si="10"/>
        <v>FAILED</v>
      </c>
      <c r="AA66" s="98"/>
      <c r="AB66" s="99"/>
    </row>
    <row r="67" ht="15.75" spans="1:28">
      <c r="A67" s="37">
        <v>20</v>
      </c>
      <c r="B67" s="375" t="str">
        <f>'INPUT DATA'!B72:D72</f>
        <v>PINGOT, RHEA L.</v>
      </c>
      <c r="C67" s="377"/>
      <c r="D67" s="377"/>
      <c r="E67" s="378"/>
      <c r="F67" s="81">
        <v>70</v>
      </c>
      <c r="G67" s="82"/>
      <c r="H67" s="82"/>
      <c r="I67" s="93"/>
      <c r="J67" s="81">
        <v>74</v>
      </c>
      <c r="K67" s="82"/>
      <c r="L67" s="82"/>
      <c r="M67" s="93"/>
      <c r="N67" s="81">
        <v>74</v>
      </c>
      <c r="O67" s="82"/>
      <c r="P67" s="82"/>
      <c r="Q67" s="93"/>
      <c r="R67" s="81">
        <v>61</v>
      </c>
      <c r="S67" s="82"/>
      <c r="T67" s="82"/>
      <c r="U67" s="93"/>
      <c r="V67" s="406">
        <f t="shared" si="6"/>
        <v>69.75</v>
      </c>
      <c r="W67" s="407"/>
      <c r="X67" s="407"/>
      <c r="Y67" s="413"/>
      <c r="Z67" s="97" t="str">
        <f t="shared" si="10"/>
        <v>FAILED</v>
      </c>
      <c r="AA67" s="98"/>
      <c r="AB67" s="99"/>
    </row>
    <row r="68" ht="15.75" spans="1:28">
      <c r="A68" s="37">
        <v>21</v>
      </c>
      <c r="B68" s="375" t="str">
        <f>'INPUT DATA'!B73:D73</f>
        <v>QUILAT, FERRA MAE</v>
      </c>
      <c r="C68" s="377"/>
      <c r="D68" s="377"/>
      <c r="E68" s="378"/>
      <c r="F68" s="81">
        <v>74</v>
      </c>
      <c r="G68" s="82"/>
      <c r="H68" s="82"/>
      <c r="I68" s="93"/>
      <c r="J68" s="81">
        <v>75</v>
      </c>
      <c r="K68" s="82"/>
      <c r="L68" s="82"/>
      <c r="M68" s="93"/>
      <c r="N68" s="81">
        <v>75</v>
      </c>
      <c r="O68" s="82"/>
      <c r="P68" s="82"/>
      <c r="Q68" s="93"/>
      <c r="R68" s="81">
        <v>75</v>
      </c>
      <c r="S68" s="82"/>
      <c r="T68" s="82"/>
      <c r="U68" s="93"/>
      <c r="V68" s="406">
        <f t="shared" si="6"/>
        <v>74.75</v>
      </c>
      <c r="W68" s="407"/>
      <c r="X68" s="407"/>
      <c r="Y68" s="413"/>
      <c r="Z68" s="97" t="str">
        <f t="shared" si="10"/>
        <v>FAILED</v>
      </c>
      <c r="AA68" s="98"/>
      <c r="AB68" s="99"/>
    </row>
    <row r="69" ht="15.75" spans="1:28">
      <c r="A69" s="37">
        <v>22</v>
      </c>
      <c r="B69" s="375" t="str">
        <f>'INPUT DATA'!B74:D74</f>
        <v>ROSALES, RYZA MAE C.</v>
      </c>
      <c r="C69" s="38"/>
      <c r="D69" s="38"/>
      <c r="E69" s="41"/>
      <c r="F69" s="81">
        <v>89</v>
      </c>
      <c r="G69" s="82"/>
      <c r="H69" s="82"/>
      <c r="I69" s="93"/>
      <c r="J69" s="81">
        <v>88</v>
      </c>
      <c r="K69" s="82"/>
      <c r="L69" s="82"/>
      <c r="M69" s="93"/>
      <c r="N69" s="81">
        <v>89</v>
      </c>
      <c r="O69" s="82"/>
      <c r="P69" s="82"/>
      <c r="Q69" s="93"/>
      <c r="R69" s="81">
        <v>93</v>
      </c>
      <c r="S69" s="82"/>
      <c r="T69" s="82"/>
      <c r="U69" s="93"/>
      <c r="V69" s="406">
        <f t="shared" si="6"/>
        <v>89.75</v>
      </c>
      <c r="W69" s="407"/>
      <c r="X69" s="407"/>
      <c r="Y69" s="413"/>
      <c r="Z69" s="97" t="str">
        <f t="shared" si="10"/>
        <v>PASSED</v>
      </c>
      <c r="AA69" s="98"/>
      <c r="AB69" s="99"/>
    </row>
    <row r="70" ht="15.75" spans="1:28">
      <c r="A70" s="37">
        <v>23</v>
      </c>
      <c r="B70" s="375">
        <f>'INPUT DATA'!B75:D75</f>
        <v>0</v>
      </c>
      <c r="C70" s="38"/>
      <c r="D70" s="38"/>
      <c r="E70" s="41"/>
      <c r="F70" s="81"/>
      <c r="G70" s="82"/>
      <c r="H70" s="82"/>
      <c r="I70" s="93"/>
      <c r="J70" s="81"/>
      <c r="K70" s="82"/>
      <c r="L70" s="82"/>
      <c r="M70" s="93"/>
      <c r="N70" s="81"/>
      <c r="O70" s="82"/>
      <c r="P70" s="82"/>
      <c r="Q70" s="93"/>
      <c r="R70" s="81"/>
      <c r="S70" s="82"/>
      <c r="T70" s="82"/>
      <c r="U70" s="93"/>
      <c r="V70" s="406">
        <f t="shared" si="6"/>
        <v>0</v>
      </c>
      <c r="W70" s="407"/>
      <c r="X70" s="407"/>
      <c r="Y70" s="413"/>
      <c r="Z70" s="97" t="str">
        <f t="shared" si="10"/>
        <v>FAILED</v>
      </c>
      <c r="AA70" s="98"/>
      <c r="AB70" s="99"/>
    </row>
    <row r="71" ht="15.75" spans="1:28">
      <c r="A71" s="37">
        <v>24</v>
      </c>
      <c r="B71" s="375">
        <f>'INPUT DATA'!B76:D76</f>
        <v>0</v>
      </c>
      <c r="C71" s="38"/>
      <c r="D71" s="38"/>
      <c r="E71" s="41"/>
      <c r="F71" s="81"/>
      <c r="G71" s="82"/>
      <c r="H71" s="82"/>
      <c r="I71" s="93"/>
      <c r="J71" s="81"/>
      <c r="K71" s="82"/>
      <c r="L71" s="82"/>
      <c r="M71" s="93"/>
      <c r="N71" s="81"/>
      <c r="O71" s="82"/>
      <c r="P71" s="82"/>
      <c r="Q71" s="93"/>
      <c r="R71" s="81"/>
      <c r="S71" s="82"/>
      <c r="T71" s="82"/>
      <c r="U71" s="93"/>
      <c r="V71" s="406">
        <f t="shared" ref="V71:V82" si="11">SUM(F71,J71,N71,R71)/4</f>
        <v>0</v>
      </c>
      <c r="W71" s="407"/>
      <c r="X71" s="407"/>
      <c r="Y71" s="413"/>
      <c r="Z71" s="97" t="str">
        <f t="shared" si="10"/>
        <v>FAILED</v>
      </c>
      <c r="AA71" s="98"/>
      <c r="AB71" s="99"/>
    </row>
    <row r="72" ht="15" spans="1:28">
      <c r="A72" s="37">
        <v>25</v>
      </c>
      <c r="B72" s="375">
        <f>'INPUT DATA'!B77:D77</f>
        <v>0</v>
      </c>
      <c r="C72" s="38"/>
      <c r="D72" s="38"/>
      <c r="E72" s="41"/>
      <c r="F72" s="81"/>
      <c r="G72" s="82"/>
      <c r="H72" s="82"/>
      <c r="I72" s="93"/>
      <c r="J72" s="81"/>
      <c r="K72" s="82"/>
      <c r="L72" s="82"/>
      <c r="M72" s="93"/>
      <c r="N72" s="81"/>
      <c r="O72" s="82"/>
      <c r="P72" s="82"/>
      <c r="Q72" s="93"/>
      <c r="R72" s="81"/>
      <c r="S72" s="82"/>
      <c r="T72" s="82"/>
      <c r="U72" s="93"/>
      <c r="V72" s="406">
        <f t="shared" si="11"/>
        <v>0</v>
      </c>
      <c r="W72" s="407"/>
      <c r="X72" s="407"/>
      <c r="Y72" s="413"/>
      <c r="Z72" s="97" t="str">
        <f t="shared" si="10"/>
        <v>FAILED</v>
      </c>
      <c r="AA72" s="98"/>
      <c r="AB72" s="99"/>
    </row>
    <row r="73" ht="15.75" hidden="1" spans="1:28">
      <c r="A73" s="37">
        <v>26</v>
      </c>
      <c r="B73" s="394">
        <f>'INPUT DATA'!B78:D78</f>
        <v>0</v>
      </c>
      <c r="C73" s="107"/>
      <c r="D73" s="107"/>
      <c r="E73" s="108"/>
      <c r="F73" s="81"/>
      <c r="G73" s="82"/>
      <c r="H73" s="82"/>
      <c r="I73" s="93"/>
      <c r="J73" s="81"/>
      <c r="K73" s="82"/>
      <c r="L73" s="82"/>
      <c r="M73" s="93"/>
      <c r="N73" s="81"/>
      <c r="O73" s="82"/>
      <c r="P73" s="82"/>
      <c r="Q73" s="93"/>
      <c r="R73" s="81"/>
      <c r="S73" s="82"/>
      <c r="T73" s="82"/>
      <c r="U73" s="93"/>
      <c r="V73" s="406">
        <f t="shared" si="11"/>
        <v>0</v>
      </c>
      <c r="W73" s="407"/>
      <c r="X73" s="407"/>
      <c r="Y73" s="413"/>
      <c r="Z73" s="97" t="str">
        <f t="shared" si="10"/>
        <v>FAILED</v>
      </c>
      <c r="AA73" s="98"/>
      <c r="AB73" s="99"/>
    </row>
    <row r="74" ht="15.75" hidden="1" spans="1:28">
      <c r="A74" s="42">
        <v>27</v>
      </c>
      <c r="B74" s="394">
        <f>'INPUT DATA'!B79:D79</f>
        <v>0</v>
      </c>
      <c r="C74" s="107"/>
      <c r="D74" s="107"/>
      <c r="E74" s="108"/>
      <c r="F74" s="81"/>
      <c r="G74" s="82"/>
      <c r="H74" s="82"/>
      <c r="I74" s="93"/>
      <c r="J74" s="81"/>
      <c r="K74" s="82"/>
      <c r="L74" s="82"/>
      <c r="M74" s="93"/>
      <c r="N74" s="81"/>
      <c r="O74" s="82"/>
      <c r="P74" s="82"/>
      <c r="Q74" s="93"/>
      <c r="R74" s="81"/>
      <c r="S74" s="82"/>
      <c r="T74" s="82"/>
      <c r="U74" s="93"/>
      <c r="V74" s="406">
        <f t="shared" si="11"/>
        <v>0</v>
      </c>
      <c r="W74" s="407"/>
      <c r="X74" s="407"/>
      <c r="Y74" s="413"/>
      <c r="Z74" s="97" t="str">
        <f t="shared" si="10"/>
        <v>FAILED</v>
      </c>
      <c r="AA74" s="98"/>
      <c r="AB74" s="99"/>
    </row>
    <row r="75" ht="15.75" hidden="1" spans="1:28">
      <c r="A75" s="42">
        <v>28</v>
      </c>
      <c r="B75" s="375">
        <f>'INPUT DATA'!B80:D80</f>
        <v>0</v>
      </c>
      <c r="C75" s="107"/>
      <c r="D75" s="107"/>
      <c r="E75" s="108"/>
      <c r="F75" s="81"/>
      <c r="G75" s="82"/>
      <c r="H75" s="82"/>
      <c r="I75" s="93"/>
      <c r="J75" s="81"/>
      <c r="K75" s="82"/>
      <c r="L75" s="82"/>
      <c r="M75" s="93"/>
      <c r="N75" s="81"/>
      <c r="O75" s="82"/>
      <c r="P75" s="82"/>
      <c r="Q75" s="93"/>
      <c r="R75" s="81"/>
      <c r="S75" s="82"/>
      <c r="T75" s="82"/>
      <c r="U75" s="93"/>
      <c r="V75" s="406">
        <f t="shared" si="11"/>
        <v>0</v>
      </c>
      <c r="W75" s="407"/>
      <c r="X75" s="407"/>
      <c r="Y75" s="413"/>
      <c r="Z75" s="97" t="str">
        <f t="shared" si="10"/>
        <v>FAILED</v>
      </c>
      <c r="AA75" s="98"/>
      <c r="AB75" s="99"/>
    </row>
    <row r="76" ht="15.75" hidden="1" spans="1:28">
      <c r="A76" s="42">
        <v>29</v>
      </c>
      <c r="B76" s="394">
        <f>'INPUT DATA'!B81:D81</f>
        <v>0</v>
      </c>
      <c r="C76" s="107"/>
      <c r="D76" s="107"/>
      <c r="E76" s="108"/>
      <c r="F76" s="81"/>
      <c r="G76" s="82"/>
      <c r="H76" s="82"/>
      <c r="I76" s="93"/>
      <c r="J76" s="81"/>
      <c r="K76" s="82"/>
      <c r="L76" s="82"/>
      <c r="M76" s="93"/>
      <c r="N76" s="81"/>
      <c r="O76" s="82"/>
      <c r="P76" s="82"/>
      <c r="Q76" s="93"/>
      <c r="R76" s="81"/>
      <c r="S76" s="82"/>
      <c r="T76" s="82"/>
      <c r="U76" s="93"/>
      <c r="V76" s="406">
        <f t="shared" si="11"/>
        <v>0</v>
      </c>
      <c r="W76" s="407"/>
      <c r="X76" s="407"/>
      <c r="Y76" s="413"/>
      <c r="Z76" s="97" t="str">
        <f t="shared" si="10"/>
        <v>FAILED</v>
      </c>
      <c r="AA76" s="98"/>
      <c r="AB76" s="99"/>
    </row>
    <row r="77" ht="15.75" hidden="1" spans="1:28">
      <c r="A77" s="42">
        <v>30</v>
      </c>
      <c r="B77" s="394">
        <f>'INPUT DATA'!B82:D82</f>
        <v>0</v>
      </c>
      <c r="C77" s="107"/>
      <c r="D77" s="107"/>
      <c r="E77" s="108"/>
      <c r="F77" s="81"/>
      <c r="G77" s="82"/>
      <c r="H77" s="82"/>
      <c r="I77" s="93"/>
      <c r="J77" s="81"/>
      <c r="K77" s="82"/>
      <c r="L77" s="82"/>
      <c r="M77" s="93"/>
      <c r="N77" s="81"/>
      <c r="O77" s="82"/>
      <c r="P77" s="82"/>
      <c r="Q77" s="93"/>
      <c r="R77" s="81"/>
      <c r="S77" s="82"/>
      <c r="T77" s="82"/>
      <c r="U77" s="93"/>
      <c r="V77" s="406">
        <f t="shared" si="11"/>
        <v>0</v>
      </c>
      <c r="W77" s="407"/>
      <c r="X77" s="407"/>
      <c r="Y77" s="413"/>
      <c r="Z77" s="97" t="str">
        <f t="shared" si="10"/>
        <v>FAILED</v>
      </c>
      <c r="AA77" s="98"/>
      <c r="AB77" s="99"/>
    </row>
    <row r="78" ht="15.75" hidden="1" spans="1:28">
      <c r="A78" s="42">
        <v>31</v>
      </c>
      <c r="B78" s="375">
        <f>'INPUT DATA'!B83:D83</f>
        <v>0</v>
      </c>
      <c r="C78" s="107"/>
      <c r="D78" s="107"/>
      <c r="E78" s="108"/>
      <c r="F78" s="81"/>
      <c r="G78" s="82"/>
      <c r="H78" s="82"/>
      <c r="I78" s="93"/>
      <c r="J78" s="81"/>
      <c r="K78" s="82"/>
      <c r="L78" s="82"/>
      <c r="M78" s="93"/>
      <c r="N78" s="81"/>
      <c r="O78" s="82"/>
      <c r="P78" s="82"/>
      <c r="Q78" s="93"/>
      <c r="R78" s="81"/>
      <c r="S78" s="82"/>
      <c r="T78" s="82"/>
      <c r="U78" s="93"/>
      <c r="V78" s="406">
        <f t="shared" si="11"/>
        <v>0</v>
      </c>
      <c r="W78" s="407"/>
      <c r="X78" s="407"/>
      <c r="Y78" s="413"/>
      <c r="Z78" s="97"/>
      <c r="AA78" s="98"/>
      <c r="AB78" s="99"/>
    </row>
    <row r="79" ht="15.75" hidden="1" spans="1:28">
      <c r="A79" s="42">
        <v>32</v>
      </c>
      <c r="B79" s="375">
        <f>'INPUT DATA'!B84:D84</f>
        <v>0</v>
      </c>
      <c r="C79" s="107"/>
      <c r="D79" s="107"/>
      <c r="E79" s="108"/>
      <c r="F79" s="81"/>
      <c r="G79" s="82"/>
      <c r="H79" s="82"/>
      <c r="I79" s="93"/>
      <c r="J79" s="81"/>
      <c r="K79" s="82"/>
      <c r="L79" s="82"/>
      <c r="M79" s="93"/>
      <c r="N79" s="81"/>
      <c r="O79" s="82"/>
      <c r="P79" s="82"/>
      <c r="Q79" s="93"/>
      <c r="R79" s="81"/>
      <c r="S79" s="82"/>
      <c r="T79" s="82"/>
      <c r="U79" s="93"/>
      <c r="V79" s="406">
        <f t="shared" si="11"/>
        <v>0</v>
      </c>
      <c r="W79" s="407"/>
      <c r="X79" s="407"/>
      <c r="Y79" s="413"/>
      <c r="Z79" s="97"/>
      <c r="AA79" s="98"/>
      <c r="AB79" s="99"/>
    </row>
    <row r="80" ht="15.75" hidden="1" spans="1:28">
      <c r="A80" s="42">
        <v>33</v>
      </c>
      <c r="B80" s="394">
        <f>'INPUT DATA'!B85:D85</f>
        <v>0</v>
      </c>
      <c r="C80" s="107"/>
      <c r="D80" s="107"/>
      <c r="E80" s="108"/>
      <c r="F80" s="81"/>
      <c r="G80" s="82"/>
      <c r="H80" s="82"/>
      <c r="I80" s="93"/>
      <c r="J80" s="81"/>
      <c r="K80" s="82"/>
      <c r="L80" s="82"/>
      <c r="M80" s="93"/>
      <c r="N80" s="81"/>
      <c r="O80" s="82"/>
      <c r="P80" s="82"/>
      <c r="Q80" s="93"/>
      <c r="R80" s="81"/>
      <c r="S80" s="82"/>
      <c r="T80" s="82"/>
      <c r="U80" s="93"/>
      <c r="V80" s="406">
        <f t="shared" si="11"/>
        <v>0</v>
      </c>
      <c r="W80" s="407"/>
      <c r="X80" s="407"/>
      <c r="Y80" s="413"/>
      <c r="Z80" s="97"/>
      <c r="AA80" s="98"/>
      <c r="AB80" s="99"/>
    </row>
    <row r="81" ht="15.75" hidden="1" spans="1:28">
      <c r="A81" s="42">
        <v>34</v>
      </c>
      <c r="B81" s="375">
        <f>'INPUT DATA'!B86:D86</f>
        <v>0</v>
      </c>
      <c r="C81" s="107"/>
      <c r="D81" s="107"/>
      <c r="E81" s="108"/>
      <c r="F81" s="81"/>
      <c r="G81" s="82"/>
      <c r="H81" s="82"/>
      <c r="I81" s="93"/>
      <c r="J81" s="81"/>
      <c r="K81" s="82"/>
      <c r="L81" s="82"/>
      <c r="M81" s="93"/>
      <c r="N81" s="81"/>
      <c r="O81" s="82"/>
      <c r="P81" s="82"/>
      <c r="Q81" s="93"/>
      <c r="R81" s="81"/>
      <c r="S81" s="82"/>
      <c r="T81" s="82"/>
      <c r="U81" s="93"/>
      <c r="V81" s="406">
        <f t="shared" si="11"/>
        <v>0</v>
      </c>
      <c r="W81" s="407"/>
      <c r="X81" s="407"/>
      <c r="Y81" s="413"/>
      <c r="Z81" s="97"/>
      <c r="AA81" s="98"/>
      <c r="AB81" s="99"/>
    </row>
    <row r="82" ht="15" hidden="1" spans="1:28">
      <c r="A82" s="42">
        <v>35</v>
      </c>
      <c r="B82" s="375">
        <f>'INPUT DATA'!B87:D87</f>
        <v>0</v>
      </c>
      <c r="C82" s="107"/>
      <c r="D82" s="107"/>
      <c r="E82" s="108"/>
      <c r="F82" s="81"/>
      <c r="G82" s="82"/>
      <c r="H82" s="82"/>
      <c r="I82" s="93"/>
      <c r="J82" s="81"/>
      <c r="K82" s="82"/>
      <c r="L82" s="82"/>
      <c r="M82" s="93"/>
      <c r="N82" s="81"/>
      <c r="O82" s="82"/>
      <c r="P82" s="82"/>
      <c r="Q82" s="93"/>
      <c r="R82" s="81"/>
      <c r="S82" s="82"/>
      <c r="T82" s="82"/>
      <c r="U82" s="93"/>
      <c r="V82" s="406">
        <f t="shared" si="11"/>
        <v>0</v>
      </c>
      <c r="W82" s="407"/>
      <c r="X82" s="407"/>
      <c r="Y82" s="413"/>
      <c r="Z82" s="97"/>
      <c r="AA82" s="98"/>
      <c r="AB82" s="99"/>
    </row>
  </sheetData>
  <mergeCells count="467">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B47:E47"/>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A7:A10"/>
    <mergeCell ref="B7:E10"/>
    <mergeCell ref="A1:AB2"/>
    <mergeCell ref="Z9:AB10"/>
  </mergeCells>
  <dataValidations count="5">
    <dataValidation allowBlank="1" showErrorMessage="1" sqref="A11:AB11 V16 W16:Y16 J29 K29:M29 N29 O29:Q29 R29 S29:U29 A47:AB47 F51:I51 J51:U51 V51:AB51 F63:I63 J63:AB63 F14:F37 F38:F46 J14:J28 J30:J37 J38:J46 N14:N28 N30:N37 N38:N46 R12:R28 R30:R37 R38:R46 V12:V15 V17:V37 V38:V46 S12:U28 K38:M41 Z38:AB46 G38:I41 S38:U41 W12:Y15 F64:AB82 O38:Q41 F48:AB50 W17:Y36 G14:I31 F52:AB62 Z12:AB37 F12:Q13 O14:Q28 O30:Q31 K14:M28 K30:M31 S30:U31"/>
    <dataValidation allowBlank="1" showInputMessage="1" prompt="Do not type name of learners here. Go to INPUT DATA sheet." sqref="B19"/>
    <dataValidation allowBlank="1" showInputMessage="1" showErrorMessage="1" prompt="Do not type name of learners here. Go to INPUT DATA sheet." sqref="B66 B67 B12:B18 B20:B31 B33:B37 B38:B46 B48:B51 B52:B65 B68:B82"/>
    <dataValidation allowBlank="1" showErrorMessage="1" prompt="EITHER WRITE YOUR OWN HPS OR EMPTY" sqref="F9:AB10"/>
    <dataValidation allowBlank="1" sqref="C33:D37"/>
  </dataValidations>
  <pageMargins left="0.2" right="0.2" top="0.25" bottom="0.25" header="0.3" footer="0.3"/>
  <pageSetup paperSize="5" scale="72"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B86"/>
  <sheetViews>
    <sheetView zoomScale="107" zoomScaleNormal="107" topLeftCell="A17" workbookViewId="0">
      <selection activeCell="F57" sqref="F57:I57"/>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62</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349" t="s">
        <v>2</v>
      </c>
      <c r="H5" s="350"/>
      <c r="I5" s="350"/>
      <c r="J5" s="357"/>
      <c r="K5" s="56"/>
      <c r="L5" s="57" t="s">
        <v>3</v>
      </c>
      <c r="M5" s="57"/>
      <c r="N5" s="58"/>
      <c r="O5" s="349" t="s">
        <v>63</v>
      </c>
      <c r="P5" s="350"/>
      <c r="Q5" s="350"/>
      <c r="R5" s="357"/>
      <c r="S5" s="317"/>
      <c r="T5" s="317"/>
      <c r="U5" s="317"/>
      <c r="V5" s="317"/>
      <c r="W5" s="318"/>
      <c r="X5" s="318"/>
      <c r="Y5" s="318"/>
      <c r="Z5" s="318"/>
      <c r="AA5" s="318"/>
      <c r="AB5" s="318"/>
    </row>
    <row r="6" ht="18.15" spans="1:28">
      <c r="A6" s="3"/>
      <c r="B6" s="5" t="s">
        <v>5</v>
      </c>
      <c r="C6" s="5"/>
      <c r="D6" s="5"/>
      <c r="E6" s="5"/>
      <c r="F6" s="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75</v>
      </c>
      <c r="L8" s="60"/>
      <c r="M8" s="60"/>
      <c r="N8" s="60"/>
      <c r="O8" s="60"/>
      <c r="P8" s="60"/>
      <c r="Q8" s="60"/>
      <c r="R8" s="79"/>
      <c r="S8" s="18" t="s">
        <v>15</v>
      </c>
      <c r="T8" s="19"/>
      <c r="U8" s="19"/>
      <c r="V8" s="19"/>
      <c r="W8" s="59" t="s">
        <v>76</v>
      </c>
      <c r="X8" s="59"/>
      <c r="Y8" s="59"/>
      <c r="Z8" s="59"/>
      <c r="AA8" s="59"/>
      <c r="AB8" s="78"/>
    </row>
    <row r="9" ht="15.6" spans="1:28">
      <c r="A9" s="15"/>
      <c r="B9" s="16"/>
      <c r="C9" s="16"/>
      <c r="D9" s="16"/>
      <c r="E9" s="17"/>
      <c r="F9" s="20" t="s">
        <v>76</v>
      </c>
      <c r="G9" s="21"/>
      <c r="H9" s="21"/>
      <c r="I9" s="61"/>
      <c r="J9" s="20" t="s">
        <v>76</v>
      </c>
      <c r="K9" s="21"/>
      <c r="L9" s="21"/>
      <c r="M9" s="61"/>
      <c r="N9" s="20" t="s">
        <v>76</v>
      </c>
      <c r="O9" s="21"/>
      <c r="P9" s="21"/>
      <c r="Q9" s="61"/>
      <c r="R9" s="20" t="s">
        <v>76</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75" spans="1:28">
      <c r="A12" s="32">
        <v>1</v>
      </c>
      <c r="B12" s="300" t="str">
        <f>'INPUT DATA'!B12:D12</f>
        <v>ANUBLING, REGIE C.</v>
      </c>
      <c r="C12" s="34"/>
      <c r="D12" s="34"/>
      <c r="E12" s="34"/>
      <c r="F12" s="81">
        <v>75</v>
      </c>
      <c r="G12" s="82"/>
      <c r="H12" s="82"/>
      <c r="I12" s="93"/>
      <c r="J12" s="81">
        <v>73</v>
      </c>
      <c r="K12" s="82"/>
      <c r="L12" s="82"/>
      <c r="M12" s="93"/>
      <c r="N12" s="81">
        <v>76</v>
      </c>
      <c r="O12" s="82"/>
      <c r="P12" s="82"/>
      <c r="Q12" s="93"/>
      <c r="R12" s="81">
        <v>81</v>
      </c>
      <c r="S12" s="82"/>
      <c r="T12" s="82"/>
      <c r="U12" s="93"/>
      <c r="V12" s="81">
        <f>SUM(F12,J12,N12,R12)/4</f>
        <v>76.25</v>
      </c>
      <c r="W12" s="82"/>
      <c r="X12" s="82"/>
      <c r="Y12" s="93"/>
      <c r="Z12" s="94" t="str">
        <f>IF(V12&gt;=75,"PASSED","FAILED")</f>
        <v>PASSED</v>
      </c>
      <c r="AA12" s="95"/>
      <c r="AB12" s="96"/>
    </row>
    <row r="13" ht="15.75" spans="1:28">
      <c r="A13" s="37">
        <v>2</v>
      </c>
      <c r="B13" s="300" t="str">
        <f>'INPUT DATA'!B13:D13</f>
        <v>BANGCOY, JOHN PAUL P.</v>
      </c>
      <c r="C13" s="38"/>
      <c r="D13" s="38"/>
      <c r="E13" s="38"/>
      <c r="F13" s="81"/>
      <c r="G13" s="82"/>
      <c r="H13" s="82"/>
      <c r="I13" s="93"/>
      <c r="J13" s="81"/>
      <c r="K13" s="82"/>
      <c r="L13" s="82"/>
      <c r="M13" s="93"/>
      <c r="N13" s="81"/>
      <c r="O13" s="82"/>
      <c r="P13" s="82"/>
      <c r="Q13" s="93"/>
      <c r="R13" s="81"/>
      <c r="S13" s="82"/>
      <c r="T13" s="82"/>
      <c r="U13" s="93"/>
      <c r="V13" s="81">
        <f t="shared" ref="V13:V36" si="0">SUM(F13,J13,N13,R13)/4</f>
        <v>0</v>
      </c>
      <c r="W13" s="82"/>
      <c r="X13" s="82"/>
      <c r="Y13" s="93"/>
      <c r="Z13" s="94" t="str">
        <f>IF(V13&gt;=75,"PASSED","FAILED")</f>
        <v>FAILED</v>
      </c>
      <c r="AA13" s="95"/>
      <c r="AB13" s="96"/>
    </row>
    <row r="14" ht="15.75" spans="1:28">
      <c r="A14" s="37">
        <v>3</v>
      </c>
      <c r="B14" s="300" t="str">
        <f>'INPUT DATA'!B14:D14</f>
        <v>BARRIENTOS, JOHN PAUL M.</v>
      </c>
      <c r="C14" s="38"/>
      <c r="D14" s="38"/>
      <c r="E14" s="41"/>
      <c r="F14" s="81">
        <v>90</v>
      </c>
      <c r="G14" s="82"/>
      <c r="H14" s="82"/>
      <c r="I14" s="93"/>
      <c r="J14" s="81">
        <v>86</v>
      </c>
      <c r="K14" s="82"/>
      <c r="L14" s="82"/>
      <c r="M14" s="93"/>
      <c r="N14" s="81">
        <v>89</v>
      </c>
      <c r="O14" s="82"/>
      <c r="P14" s="82"/>
      <c r="Q14" s="93"/>
      <c r="R14" s="81">
        <v>90</v>
      </c>
      <c r="S14" s="82"/>
      <c r="T14" s="82"/>
      <c r="U14" s="93"/>
      <c r="V14" s="81">
        <f t="shared" si="0"/>
        <v>88.75</v>
      </c>
      <c r="W14" s="82"/>
      <c r="X14" s="82"/>
      <c r="Y14" s="93"/>
      <c r="Z14" s="97" t="str">
        <f t="shared" ref="Z14:Z30" si="1">IF(V14&gt;=75,"PASSED","FAILED")</f>
        <v>PASSED</v>
      </c>
      <c r="AA14" s="95"/>
      <c r="AB14" s="99"/>
    </row>
    <row r="15" ht="15.75" spans="1:28">
      <c r="A15" s="37">
        <v>4</v>
      </c>
      <c r="B15" s="300" t="str">
        <f>'INPUT DATA'!B15:D15</f>
        <v>BRIGOLE, ROMEL</v>
      </c>
      <c r="C15" s="38"/>
      <c r="D15" s="38"/>
      <c r="E15" s="41"/>
      <c r="F15" s="81">
        <v>75</v>
      </c>
      <c r="G15" s="82"/>
      <c r="H15" s="82"/>
      <c r="I15" s="93"/>
      <c r="J15" s="81"/>
      <c r="K15" s="82"/>
      <c r="L15" s="82"/>
      <c r="M15" s="93"/>
      <c r="N15" s="81"/>
      <c r="O15" s="82"/>
      <c r="P15" s="82"/>
      <c r="Q15" s="93"/>
      <c r="R15" s="81"/>
      <c r="S15" s="82"/>
      <c r="T15" s="82"/>
      <c r="U15" s="93"/>
      <c r="V15" s="81">
        <f t="shared" si="0"/>
        <v>18.75</v>
      </c>
      <c r="W15" s="82"/>
      <c r="X15" s="82"/>
      <c r="Y15" s="93"/>
      <c r="Z15" s="97" t="str">
        <f t="shared" si="1"/>
        <v>FAILED</v>
      </c>
      <c r="AA15" s="95"/>
      <c r="AB15" s="99"/>
    </row>
    <row r="16" ht="15.75" spans="1:28">
      <c r="A16" s="37">
        <v>5</v>
      </c>
      <c r="B16" s="300" t="str">
        <f>'INPUT DATA'!B16:D16</f>
        <v>BULAHAN,ROVIC L.</v>
      </c>
      <c r="C16" s="38"/>
      <c r="D16" s="38"/>
      <c r="E16" s="41"/>
      <c r="F16" s="81">
        <v>88</v>
      </c>
      <c r="G16" s="82"/>
      <c r="H16" s="82"/>
      <c r="I16" s="93"/>
      <c r="J16" s="81">
        <v>83</v>
      </c>
      <c r="K16" s="82"/>
      <c r="L16" s="82"/>
      <c r="M16" s="93"/>
      <c r="N16" s="81">
        <v>92</v>
      </c>
      <c r="O16" s="82"/>
      <c r="P16" s="82"/>
      <c r="Q16" s="93"/>
      <c r="R16" s="81">
        <v>92</v>
      </c>
      <c r="S16" s="82"/>
      <c r="T16" s="82"/>
      <c r="U16" s="93"/>
      <c r="V16" s="81">
        <f t="shared" si="0"/>
        <v>88.75</v>
      </c>
      <c r="W16" s="82"/>
      <c r="X16" s="82"/>
      <c r="Y16" s="93"/>
      <c r="Z16" s="97" t="str">
        <f t="shared" ref="Z16" si="2">IF(V16&gt;=75,"PASSED","FAILED")</f>
        <v>PASSED</v>
      </c>
      <c r="AA16" s="95"/>
      <c r="AB16" s="99"/>
    </row>
    <row r="17" ht="15.75" spans="1:28">
      <c r="A17" s="37">
        <v>6</v>
      </c>
      <c r="B17" s="300" t="str">
        <f>'INPUT DATA'!B17:D17</f>
        <v>CIJAS, ROLIE JR. A.</v>
      </c>
      <c r="C17" s="38"/>
      <c r="D17" s="38"/>
      <c r="E17" s="41"/>
      <c r="F17" s="81">
        <v>84</v>
      </c>
      <c r="G17" s="82"/>
      <c r="H17" s="82"/>
      <c r="I17" s="93"/>
      <c r="J17" s="81">
        <v>84</v>
      </c>
      <c r="K17" s="82"/>
      <c r="L17" s="82"/>
      <c r="M17" s="93"/>
      <c r="N17" s="81">
        <v>93</v>
      </c>
      <c r="O17" s="82"/>
      <c r="P17" s="82"/>
      <c r="Q17" s="93"/>
      <c r="R17" s="81">
        <v>92</v>
      </c>
      <c r="S17" s="82"/>
      <c r="T17" s="82"/>
      <c r="U17" s="93"/>
      <c r="V17" s="81">
        <f t="shared" si="0"/>
        <v>88.25</v>
      </c>
      <c r="W17" s="82"/>
      <c r="X17" s="82"/>
      <c r="Y17" s="93"/>
      <c r="Z17" s="97" t="str">
        <f t="shared" si="1"/>
        <v>PASSED</v>
      </c>
      <c r="AA17" s="95"/>
      <c r="AB17" s="99"/>
    </row>
    <row r="18" ht="15.75" spans="1:28">
      <c r="A18" s="37">
        <v>7</v>
      </c>
      <c r="B18" s="300" t="str">
        <f>'INPUT DATA'!B18:D18</f>
        <v>GARCIA, DAVE P.</v>
      </c>
      <c r="C18" s="38"/>
      <c r="D18" s="38"/>
      <c r="E18" s="41"/>
      <c r="F18" s="81">
        <v>81</v>
      </c>
      <c r="G18" s="82"/>
      <c r="H18" s="82"/>
      <c r="I18" s="93"/>
      <c r="J18" s="81">
        <v>81</v>
      </c>
      <c r="K18" s="82"/>
      <c r="L18" s="82"/>
      <c r="M18" s="93"/>
      <c r="N18" s="81">
        <v>85</v>
      </c>
      <c r="O18" s="82"/>
      <c r="P18" s="82"/>
      <c r="Q18" s="93"/>
      <c r="R18" s="81">
        <v>86</v>
      </c>
      <c r="S18" s="82"/>
      <c r="T18" s="82"/>
      <c r="U18" s="93"/>
      <c r="V18" s="81">
        <f t="shared" si="0"/>
        <v>83.25</v>
      </c>
      <c r="W18" s="82"/>
      <c r="X18" s="82"/>
      <c r="Y18" s="93"/>
      <c r="Z18" s="97" t="str">
        <f t="shared" si="1"/>
        <v>PASSED</v>
      </c>
      <c r="AA18" s="95"/>
      <c r="AB18" s="99"/>
    </row>
    <row r="19" ht="15.75" spans="1:28">
      <c r="A19" s="37">
        <v>8</v>
      </c>
      <c r="B19" s="300" t="str">
        <f>'INPUT DATA'!B19:D19</f>
        <v>GONZALES, JAMES A.</v>
      </c>
      <c r="C19" s="38"/>
      <c r="D19" s="38">
        <v>0</v>
      </c>
      <c r="E19" s="41"/>
      <c r="F19" s="81">
        <v>75</v>
      </c>
      <c r="G19" s="82"/>
      <c r="H19" s="82"/>
      <c r="I19" s="93"/>
      <c r="J19" s="81">
        <v>80</v>
      </c>
      <c r="K19" s="82"/>
      <c r="L19" s="82"/>
      <c r="M19" s="93"/>
      <c r="N19" s="81">
        <v>84</v>
      </c>
      <c r="O19" s="82"/>
      <c r="P19" s="82"/>
      <c r="Q19" s="93"/>
      <c r="R19" s="81">
        <v>87</v>
      </c>
      <c r="S19" s="82"/>
      <c r="T19" s="82"/>
      <c r="U19" s="93"/>
      <c r="V19" s="81">
        <f t="shared" si="0"/>
        <v>81.5</v>
      </c>
      <c r="W19" s="82"/>
      <c r="X19" s="82"/>
      <c r="Y19" s="93"/>
      <c r="Z19" s="97" t="str">
        <f t="shared" si="1"/>
        <v>PASSED</v>
      </c>
      <c r="AA19" s="95"/>
      <c r="AB19" s="99"/>
    </row>
    <row r="20" ht="15.75" spans="1:28">
      <c r="A20" s="37">
        <v>9</v>
      </c>
      <c r="B20" s="300" t="str">
        <f>'INPUT DATA'!B20:D20</f>
        <v>LAGUNA, J.B. B.</v>
      </c>
      <c r="C20" s="38"/>
      <c r="D20" s="38"/>
      <c r="E20" s="41"/>
      <c r="F20" s="81">
        <v>88</v>
      </c>
      <c r="G20" s="82"/>
      <c r="H20" s="82"/>
      <c r="I20" s="93"/>
      <c r="J20" s="81">
        <v>84</v>
      </c>
      <c r="K20" s="82"/>
      <c r="L20" s="82"/>
      <c r="M20" s="93"/>
      <c r="N20" s="81">
        <v>86</v>
      </c>
      <c r="O20" s="82"/>
      <c r="P20" s="82"/>
      <c r="Q20" s="93"/>
      <c r="R20" s="81">
        <v>88</v>
      </c>
      <c r="S20" s="82"/>
      <c r="T20" s="82"/>
      <c r="U20" s="93"/>
      <c r="V20" s="81">
        <f t="shared" si="0"/>
        <v>86.5</v>
      </c>
      <c r="W20" s="82"/>
      <c r="X20" s="82"/>
      <c r="Y20" s="93"/>
      <c r="Z20" s="97" t="str">
        <f t="shared" si="1"/>
        <v>PASSED</v>
      </c>
      <c r="AA20" s="95"/>
      <c r="AB20" s="99"/>
    </row>
    <row r="21" ht="15.75" spans="1:28">
      <c r="A21" s="37">
        <v>10</v>
      </c>
      <c r="B21" s="300" t="str">
        <f>'INPUT DATA'!B21:D21</f>
        <v>LARODA, STEVEN S.</v>
      </c>
      <c r="C21" s="38"/>
      <c r="D21" s="38"/>
      <c r="E21" s="41"/>
      <c r="F21" s="81">
        <v>75</v>
      </c>
      <c r="G21" s="82"/>
      <c r="H21" s="82"/>
      <c r="I21" s="93"/>
      <c r="J21" s="81">
        <v>77</v>
      </c>
      <c r="K21" s="82"/>
      <c r="L21" s="82"/>
      <c r="M21" s="93"/>
      <c r="N21" s="81">
        <v>82</v>
      </c>
      <c r="O21" s="82"/>
      <c r="P21" s="82"/>
      <c r="Q21" s="93"/>
      <c r="R21" s="81">
        <v>80</v>
      </c>
      <c r="S21" s="82"/>
      <c r="T21" s="82"/>
      <c r="U21" s="93"/>
      <c r="V21" s="81">
        <f t="shared" si="0"/>
        <v>78.5</v>
      </c>
      <c r="W21" s="82"/>
      <c r="X21" s="82"/>
      <c r="Y21" s="93"/>
      <c r="Z21" s="97" t="str">
        <f t="shared" si="1"/>
        <v>PASSED</v>
      </c>
      <c r="AA21" s="95"/>
      <c r="AB21" s="99"/>
    </row>
    <row r="22" ht="15.75" spans="1:28">
      <c r="A22" s="37">
        <v>11</v>
      </c>
      <c r="B22" s="300" t="str">
        <f>'INPUT DATA'!B22:D22</f>
        <v>MERINO, SEDRIK R.</v>
      </c>
      <c r="C22" s="38"/>
      <c r="D22" s="38">
        <v>0</v>
      </c>
      <c r="E22" s="41"/>
      <c r="F22" s="81">
        <v>65</v>
      </c>
      <c r="G22" s="82"/>
      <c r="H22" s="82"/>
      <c r="I22" s="93"/>
      <c r="J22" s="81">
        <v>73</v>
      </c>
      <c r="K22" s="82"/>
      <c r="L22" s="82"/>
      <c r="M22" s="93"/>
      <c r="N22" s="81">
        <v>75</v>
      </c>
      <c r="O22" s="82"/>
      <c r="P22" s="82"/>
      <c r="Q22" s="93"/>
      <c r="R22" s="81">
        <v>65</v>
      </c>
      <c r="S22" s="82"/>
      <c r="T22" s="82"/>
      <c r="U22" s="93"/>
      <c r="V22" s="81">
        <f t="shared" si="0"/>
        <v>69.5</v>
      </c>
      <c r="W22" s="82"/>
      <c r="X22" s="82"/>
      <c r="Y22" s="93"/>
      <c r="Z22" s="97" t="str">
        <f t="shared" si="1"/>
        <v>FAILED</v>
      </c>
      <c r="AA22" s="95"/>
      <c r="AB22" s="99"/>
    </row>
    <row r="23" ht="15.75" spans="1:28">
      <c r="A23" s="37">
        <v>12</v>
      </c>
      <c r="B23" s="300" t="str">
        <f>'INPUT DATA'!B23:D23</f>
        <v>MONTERAS, VINCENT S.</v>
      </c>
      <c r="C23" s="38"/>
      <c r="D23" s="38"/>
      <c r="E23" s="41"/>
      <c r="F23" s="81">
        <v>81</v>
      </c>
      <c r="G23" s="82"/>
      <c r="H23" s="82"/>
      <c r="I23" s="93"/>
      <c r="J23" s="81">
        <v>78</v>
      </c>
      <c r="K23" s="82"/>
      <c r="L23" s="82"/>
      <c r="M23" s="93"/>
      <c r="N23" s="81">
        <v>75</v>
      </c>
      <c r="O23" s="82"/>
      <c r="P23" s="82"/>
      <c r="Q23" s="93"/>
      <c r="R23" s="81">
        <v>81</v>
      </c>
      <c r="S23" s="82"/>
      <c r="T23" s="82"/>
      <c r="U23" s="93"/>
      <c r="V23" s="81">
        <f t="shared" si="0"/>
        <v>78.75</v>
      </c>
      <c r="W23" s="82"/>
      <c r="X23" s="82"/>
      <c r="Y23" s="93"/>
      <c r="Z23" s="97" t="str">
        <f t="shared" si="1"/>
        <v>PASSED</v>
      </c>
      <c r="AA23" s="95"/>
      <c r="AB23" s="99"/>
    </row>
    <row r="24" ht="15.75" spans="1:28">
      <c r="A24" s="37">
        <v>13</v>
      </c>
      <c r="B24" s="300" t="str">
        <f>'INPUT DATA'!B24:D24</f>
        <v>NACAWILI, ANDRIE L.</v>
      </c>
      <c r="C24" s="38"/>
      <c r="D24" s="38"/>
      <c r="E24" s="41"/>
      <c r="F24" s="81">
        <v>80</v>
      </c>
      <c r="G24" s="82"/>
      <c r="H24" s="82"/>
      <c r="I24" s="93"/>
      <c r="J24" s="81">
        <v>82</v>
      </c>
      <c r="K24" s="82"/>
      <c r="L24" s="82"/>
      <c r="M24" s="93"/>
      <c r="N24" s="81">
        <v>91</v>
      </c>
      <c r="O24" s="82"/>
      <c r="P24" s="82"/>
      <c r="Q24" s="93"/>
      <c r="R24" s="81">
        <v>90</v>
      </c>
      <c r="S24" s="82"/>
      <c r="T24" s="82"/>
      <c r="U24" s="93"/>
      <c r="V24" s="81">
        <f t="shared" si="0"/>
        <v>85.75</v>
      </c>
      <c r="W24" s="82"/>
      <c r="X24" s="82"/>
      <c r="Y24" s="93"/>
      <c r="Z24" s="97" t="str">
        <f t="shared" si="1"/>
        <v>PASSED</v>
      </c>
      <c r="AA24" s="95"/>
      <c r="AB24" s="99"/>
    </row>
    <row r="25" ht="15.75" spans="1:28">
      <c r="A25" s="37">
        <v>14</v>
      </c>
      <c r="B25" s="300" t="str">
        <f>'INPUT DATA'!B25:D25</f>
        <v>OLIVERIO, CYREL JAY G.</v>
      </c>
      <c r="C25" s="38"/>
      <c r="D25" s="38"/>
      <c r="E25" s="41"/>
      <c r="F25" s="81">
        <v>72</v>
      </c>
      <c r="G25" s="82"/>
      <c r="H25" s="82"/>
      <c r="I25" s="93"/>
      <c r="J25" s="81">
        <v>73</v>
      </c>
      <c r="K25" s="82"/>
      <c r="L25" s="82"/>
      <c r="M25" s="93"/>
      <c r="N25" s="81">
        <v>76</v>
      </c>
      <c r="O25" s="82"/>
      <c r="P25" s="82"/>
      <c r="Q25" s="93"/>
      <c r="R25" s="81">
        <v>77</v>
      </c>
      <c r="S25" s="82"/>
      <c r="T25" s="82"/>
      <c r="U25" s="93"/>
      <c r="V25" s="81">
        <f t="shared" si="0"/>
        <v>74.5</v>
      </c>
      <c r="W25" s="82"/>
      <c r="X25" s="82"/>
      <c r="Y25" s="93"/>
      <c r="Z25" s="97" t="str">
        <f t="shared" si="1"/>
        <v>FAILED</v>
      </c>
      <c r="AA25" s="95"/>
      <c r="AB25" s="99"/>
    </row>
    <row r="26" ht="15.75" spans="1:28">
      <c r="A26" s="37">
        <v>15</v>
      </c>
      <c r="B26" s="300" t="str">
        <f>'INPUT DATA'!B26:D26</f>
        <v>ORBITA,BRENN JOHN A.</v>
      </c>
      <c r="C26" s="38"/>
      <c r="D26" s="38"/>
      <c r="E26" s="41"/>
      <c r="F26" s="81">
        <v>85</v>
      </c>
      <c r="G26" s="82"/>
      <c r="H26" s="82"/>
      <c r="I26" s="93"/>
      <c r="J26" s="81">
        <v>83</v>
      </c>
      <c r="K26" s="82"/>
      <c r="L26" s="82"/>
      <c r="M26" s="93"/>
      <c r="N26" s="81">
        <v>80</v>
      </c>
      <c r="O26" s="82"/>
      <c r="P26" s="82"/>
      <c r="Q26" s="93"/>
      <c r="R26" s="81">
        <v>81</v>
      </c>
      <c r="S26" s="82"/>
      <c r="T26" s="82"/>
      <c r="U26" s="93"/>
      <c r="V26" s="81">
        <f t="shared" si="0"/>
        <v>82.25</v>
      </c>
      <c r="W26" s="82"/>
      <c r="X26" s="82"/>
      <c r="Y26" s="93"/>
      <c r="Z26" s="97" t="str">
        <f t="shared" si="1"/>
        <v>PASSED</v>
      </c>
      <c r="AA26" s="95"/>
      <c r="AB26" s="99"/>
    </row>
    <row r="27" ht="15.75" spans="1:28">
      <c r="A27" s="37">
        <v>16</v>
      </c>
      <c r="B27" s="300" t="str">
        <f>'INPUT DATA'!B27:D27</f>
        <v>PAINLO,SHERWIN V.</v>
      </c>
      <c r="C27" s="38"/>
      <c r="D27" s="38"/>
      <c r="E27" s="41"/>
      <c r="F27" s="81">
        <v>88</v>
      </c>
      <c r="G27" s="82"/>
      <c r="H27" s="82"/>
      <c r="I27" s="93"/>
      <c r="J27" s="81">
        <v>87</v>
      </c>
      <c r="K27" s="82"/>
      <c r="L27" s="82"/>
      <c r="M27" s="93"/>
      <c r="N27" s="81">
        <v>91</v>
      </c>
      <c r="O27" s="82"/>
      <c r="P27" s="82"/>
      <c r="Q27" s="93"/>
      <c r="R27" s="81">
        <v>92</v>
      </c>
      <c r="S27" s="82"/>
      <c r="T27" s="82"/>
      <c r="U27" s="93"/>
      <c r="V27" s="81">
        <f t="shared" si="0"/>
        <v>89.5</v>
      </c>
      <c r="W27" s="82"/>
      <c r="X27" s="82"/>
      <c r="Y27" s="93"/>
      <c r="Z27" s="97" t="str">
        <f t="shared" si="1"/>
        <v>PASSED</v>
      </c>
      <c r="AA27" s="95"/>
      <c r="AB27" s="99"/>
    </row>
    <row r="28" ht="15.75" spans="1:28">
      <c r="A28" s="37">
        <v>17</v>
      </c>
      <c r="B28" s="300" t="str">
        <f>'INPUT DATA'!B28:D28</f>
        <v>RAMIREZ, MATTEO JOHN DAVE D.</v>
      </c>
      <c r="C28" s="38"/>
      <c r="D28" s="38"/>
      <c r="E28" s="41"/>
      <c r="F28" s="81"/>
      <c r="G28" s="82"/>
      <c r="H28" s="82"/>
      <c r="I28" s="93"/>
      <c r="J28" s="81"/>
      <c r="K28" s="82"/>
      <c r="L28" s="82"/>
      <c r="M28" s="93"/>
      <c r="N28" s="81"/>
      <c r="O28" s="82"/>
      <c r="P28" s="82"/>
      <c r="Q28" s="93"/>
      <c r="R28" s="81"/>
      <c r="S28" s="82"/>
      <c r="T28" s="82"/>
      <c r="U28" s="93"/>
      <c r="V28" s="81">
        <f t="shared" si="0"/>
        <v>0</v>
      </c>
      <c r="W28" s="82"/>
      <c r="X28" s="82"/>
      <c r="Y28" s="93"/>
      <c r="Z28" s="97" t="str">
        <f t="shared" si="1"/>
        <v>FAILED</v>
      </c>
      <c r="AA28" s="95"/>
      <c r="AB28" s="99"/>
    </row>
    <row r="29" ht="15.75" spans="1:28">
      <c r="A29" s="37">
        <v>18</v>
      </c>
      <c r="B29" s="300" t="str">
        <f>'INPUT DATA'!B29:D29</f>
        <v>SIGUIRA, JASTINE B.</v>
      </c>
      <c r="C29" s="38"/>
      <c r="D29" s="38"/>
      <c r="E29" s="41"/>
      <c r="F29" s="81"/>
      <c r="G29" s="82"/>
      <c r="H29" s="82"/>
      <c r="I29" s="93"/>
      <c r="J29" s="81"/>
      <c r="K29" s="82"/>
      <c r="L29" s="82"/>
      <c r="M29" s="93"/>
      <c r="N29" s="81"/>
      <c r="O29" s="82"/>
      <c r="P29" s="82"/>
      <c r="Q29" s="93"/>
      <c r="R29" s="81"/>
      <c r="S29" s="82"/>
      <c r="T29" s="82"/>
      <c r="U29" s="93"/>
      <c r="V29" s="81">
        <f t="shared" si="0"/>
        <v>0</v>
      </c>
      <c r="W29" s="82"/>
      <c r="X29" s="82"/>
      <c r="Y29" s="93"/>
      <c r="Z29" s="97" t="str">
        <f t="shared" si="1"/>
        <v>FAILED</v>
      </c>
      <c r="AA29" s="95"/>
      <c r="AB29" s="99"/>
    </row>
    <row r="30" ht="15.75" spans="1:28">
      <c r="A30" s="37">
        <v>19</v>
      </c>
      <c r="B30" s="300" t="str">
        <f>'INPUT DATA'!B30:D30</f>
        <v>TAA, JHONVINZ Y.</v>
      </c>
      <c r="C30" s="38"/>
      <c r="D30" s="38"/>
      <c r="E30" s="41"/>
      <c r="F30" s="81">
        <v>75</v>
      </c>
      <c r="G30" s="82"/>
      <c r="H30" s="82"/>
      <c r="I30" s="322"/>
      <c r="J30" s="83">
        <v>75</v>
      </c>
      <c r="K30" s="83"/>
      <c r="L30" s="83"/>
      <c r="M30" s="83"/>
      <c r="N30" s="358">
        <v>78</v>
      </c>
      <c r="O30" s="82"/>
      <c r="P30" s="82"/>
      <c r="Q30" s="93"/>
      <c r="R30" s="81">
        <v>78</v>
      </c>
      <c r="S30" s="82"/>
      <c r="T30" s="82"/>
      <c r="U30" s="93"/>
      <c r="V30" s="81">
        <f t="shared" si="0"/>
        <v>76.5</v>
      </c>
      <c r="W30" s="82"/>
      <c r="X30" s="82"/>
      <c r="Y30" s="93"/>
      <c r="Z30" s="97" t="str">
        <f t="shared" si="1"/>
        <v>PASSED</v>
      </c>
      <c r="AA30" s="95"/>
      <c r="AB30" s="99"/>
    </row>
    <row r="31" ht="15.75" spans="1:28">
      <c r="A31" s="37">
        <v>20</v>
      </c>
      <c r="B31" s="300" t="str">
        <f>'INPUT DATA'!B31:D31</f>
        <v>ZOILO, JOHN LORENCE M.</v>
      </c>
      <c r="C31" s="38"/>
      <c r="D31" s="38"/>
      <c r="E31" s="41"/>
      <c r="F31" s="353">
        <v>80</v>
      </c>
      <c r="G31" s="354"/>
      <c r="H31" s="354"/>
      <c r="I31" s="360"/>
      <c r="J31" s="353">
        <v>79</v>
      </c>
      <c r="K31" s="354"/>
      <c r="L31" s="354"/>
      <c r="M31" s="360"/>
      <c r="N31" s="353">
        <v>84</v>
      </c>
      <c r="O31" s="354"/>
      <c r="P31" s="354"/>
      <c r="Q31" s="360"/>
      <c r="R31" s="353">
        <v>83</v>
      </c>
      <c r="S31" s="354"/>
      <c r="T31" s="354"/>
      <c r="U31" s="360"/>
      <c r="V31" s="81">
        <f t="shared" si="0"/>
        <v>81.5</v>
      </c>
      <c r="W31" s="82"/>
      <c r="X31" s="82"/>
      <c r="Y31" s="93"/>
      <c r="Z31" s="97" t="str">
        <f t="shared" ref="Z31:Z36" si="3">IF(V31&gt;=75,"PASSED","FAILED")</f>
        <v>PASSED</v>
      </c>
      <c r="AA31" s="95"/>
      <c r="AB31" s="99"/>
    </row>
    <row r="32" ht="15.75" spans="1:28">
      <c r="A32" s="37">
        <v>21</v>
      </c>
      <c r="B32" s="286" t="s">
        <v>73</v>
      </c>
      <c r="C32" s="289"/>
      <c r="D32" s="38"/>
      <c r="E32" s="41"/>
      <c r="F32" s="353">
        <v>81</v>
      </c>
      <c r="G32" s="354"/>
      <c r="H32" s="354"/>
      <c r="I32" s="360"/>
      <c r="J32" s="353">
        <v>80</v>
      </c>
      <c r="K32" s="354"/>
      <c r="L32" s="354"/>
      <c r="M32" s="360"/>
      <c r="N32" s="353">
        <v>79</v>
      </c>
      <c r="O32" s="354"/>
      <c r="P32" s="354"/>
      <c r="Q32" s="360"/>
      <c r="R32" s="353">
        <v>78</v>
      </c>
      <c r="S32" s="354"/>
      <c r="T32" s="354"/>
      <c r="U32" s="360"/>
      <c r="V32" s="81">
        <f t="shared" si="0"/>
        <v>79.5</v>
      </c>
      <c r="W32" s="82"/>
      <c r="X32" s="82"/>
      <c r="Y32" s="93"/>
      <c r="Z32" s="97" t="str">
        <f t="shared" si="3"/>
        <v>PASSED</v>
      </c>
      <c r="AA32" s="95"/>
      <c r="AB32" s="99"/>
    </row>
    <row r="33" ht="15.75" hidden="1" spans="1:28">
      <c r="A33" s="37">
        <v>22</v>
      </c>
      <c r="B33" s="300">
        <f>'INPUT DATA'!B33:D33</f>
        <v>0</v>
      </c>
      <c r="C33" s="38"/>
      <c r="D33" s="38"/>
      <c r="E33" s="41"/>
      <c r="F33" s="353"/>
      <c r="G33" s="354"/>
      <c r="H33" s="354"/>
      <c r="I33" s="360"/>
      <c r="J33" s="353"/>
      <c r="K33" s="354"/>
      <c r="L33" s="354"/>
      <c r="M33" s="360"/>
      <c r="N33" s="353"/>
      <c r="O33" s="354"/>
      <c r="P33" s="354"/>
      <c r="Q33" s="360"/>
      <c r="R33" s="353"/>
      <c r="S33" s="354"/>
      <c r="T33" s="354"/>
      <c r="U33" s="360"/>
      <c r="V33" s="81">
        <f t="shared" si="0"/>
        <v>0</v>
      </c>
      <c r="W33" s="82"/>
      <c r="X33" s="82"/>
      <c r="Y33" s="93"/>
      <c r="Z33" s="97" t="str">
        <f t="shared" si="3"/>
        <v>FAILED</v>
      </c>
      <c r="AA33" s="95"/>
      <c r="AB33" s="99"/>
    </row>
    <row r="34" ht="15.75" hidden="1" spans="1:28">
      <c r="A34" s="37">
        <v>23</v>
      </c>
      <c r="B34" s="300">
        <f>'INPUT DATA'!B34:D34</f>
        <v>0</v>
      </c>
      <c r="C34" s="38"/>
      <c r="D34" s="38"/>
      <c r="E34" s="41"/>
      <c r="F34" s="353"/>
      <c r="G34" s="354"/>
      <c r="H34" s="354"/>
      <c r="I34" s="360"/>
      <c r="J34" s="353"/>
      <c r="K34" s="354"/>
      <c r="L34" s="354"/>
      <c r="M34" s="360"/>
      <c r="N34" s="353"/>
      <c r="O34" s="354"/>
      <c r="P34" s="354"/>
      <c r="Q34" s="360"/>
      <c r="R34" s="353"/>
      <c r="S34" s="354"/>
      <c r="T34" s="354"/>
      <c r="U34" s="360"/>
      <c r="V34" s="81">
        <f t="shared" si="0"/>
        <v>0</v>
      </c>
      <c r="W34" s="82"/>
      <c r="X34" s="82"/>
      <c r="Y34" s="93"/>
      <c r="Z34" s="97" t="str">
        <f t="shared" si="3"/>
        <v>FAILED</v>
      </c>
      <c r="AA34" s="95"/>
      <c r="AB34" s="99"/>
    </row>
    <row r="35" ht="15.75" hidden="1" spans="1:28">
      <c r="A35" s="37">
        <v>24</v>
      </c>
      <c r="B35" s="300">
        <f>'INPUT DATA'!B35:D35</f>
        <v>0</v>
      </c>
      <c r="C35" s="38"/>
      <c r="D35" s="38"/>
      <c r="E35" s="41"/>
      <c r="F35" s="353"/>
      <c r="G35" s="354"/>
      <c r="H35" s="354"/>
      <c r="I35" s="360"/>
      <c r="J35" s="353"/>
      <c r="K35" s="354"/>
      <c r="L35" s="354"/>
      <c r="M35" s="360"/>
      <c r="N35" s="353"/>
      <c r="O35" s="354"/>
      <c r="P35" s="354"/>
      <c r="Q35" s="360"/>
      <c r="R35" s="353"/>
      <c r="S35" s="354"/>
      <c r="T35" s="354"/>
      <c r="U35" s="360"/>
      <c r="V35" s="81">
        <f t="shared" si="0"/>
        <v>0</v>
      </c>
      <c r="W35" s="82"/>
      <c r="X35" s="82"/>
      <c r="Y35" s="93"/>
      <c r="Z35" s="97" t="str">
        <f t="shared" si="3"/>
        <v>FAILED</v>
      </c>
      <c r="AA35" s="95"/>
      <c r="AB35" s="99"/>
    </row>
    <row r="36" ht="15.75" hidden="1" spans="1:28">
      <c r="A36" s="37">
        <v>25</v>
      </c>
      <c r="B36" s="300">
        <f>'INPUT DATA'!B36:D36</f>
        <v>0</v>
      </c>
      <c r="C36" s="38"/>
      <c r="D36" s="38"/>
      <c r="E36" s="41"/>
      <c r="F36" s="353"/>
      <c r="G36" s="354"/>
      <c r="H36" s="354"/>
      <c r="I36" s="360"/>
      <c r="J36" s="353"/>
      <c r="K36" s="354"/>
      <c r="L36" s="354"/>
      <c r="M36" s="360"/>
      <c r="N36" s="353"/>
      <c r="O36" s="354"/>
      <c r="P36" s="354"/>
      <c r="Q36" s="360"/>
      <c r="R36" s="353"/>
      <c r="S36" s="354"/>
      <c r="T36" s="354"/>
      <c r="U36" s="360"/>
      <c r="V36" s="81">
        <f t="shared" si="0"/>
        <v>0</v>
      </c>
      <c r="W36" s="82"/>
      <c r="X36" s="82"/>
      <c r="Y36" s="93"/>
      <c r="Z36" s="97" t="str">
        <f t="shared" si="3"/>
        <v>FAILED</v>
      </c>
      <c r="AA36" s="95"/>
      <c r="AB36" s="99"/>
    </row>
    <row r="37" ht="15.75" hidden="1" spans="1:28">
      <c r="A37" s="42">
        <v>26</v>
      </c>
      <c r="B37" s="300">
        <f>'INPUT DATA'!B37:D37</f>
        <v>0</v>
      </c>
      <c r="C37" s="38"/>
      <c r="D37" s="38"/>
      <c r="E37" s="41"/>
      <c r="F37" s="353"/>
      <c r="G37" s="354"/>
      <c r="H37" s="354"/>
      <c r="I37" s="360"/>
      <c r="J37" s="353"/>
      <c r="K37" s="354"/>
      <c r="L37" s="354"/>
      <c r="M37" s="360"/>
      <c r="N37" s="353"/>
      <c r="O37" s="354"/>
      <c r="P37" s="354"/>
      <c r="Q37" s="360"/>
      <c r="R37" s="353"/>
      <c r="S37" s="354"/>
      <c r="T37" s="354"/>
      <c r="U37" s="360"/>
      <c r="V37" s="81">
        <f t="shared" ref="V37" si="4">SUM(F37,J37,N37,R37)/4</f>
        <v>0</v>
      </c>
      <c r="W37" s="82"/>
      <c r="X37" s="82"/>
      <c r="Y37" s="93"/>
      <c r="Z37" s="97" t="str">
        <f t="shared" ref="Z37:Z50" si="5">IF(V37&gt;=75,"PASSED","FAILED")</f>
        <v>FAILED</v>
      </c>
      <c r="AA37" s="95"/>
      <c r="AB37" s="99"/>
    </row>
    <row r="38" ht="15.75" hidden="1" spans="1:28">
      <c r="A38" s="42">
        <v>27</v>
      </c>
      <c r="B38" s="300">
        <f>'INPUT DATA'!B38:D38</f>
        <v>0</v>
      </c>
      <c r="C38" s="38"/>
      <c r="D38" s="38"/>
      <c r="E38" s="41"/>
      <c r="F38" s="353"/>
      <c r="G38" s="354"/>
      <c r="H38" s="354"/>
      <c r="I38" s="360"/>
      <c r="J38" s="353"/>
      <c r="K38" s="354"/>
      <c r="L38" s="354"/>
      <c r="M38" s="360"/>
      <c r="N38" s="353"/>
      <c r="O38" s="354"/>
      <c r="P38" s="354"/>
      <c r="Q38" s="360"/>
      <c r="R38" s="353"/>
      <c r="S38" s="354"/>
      <c r="T38" s="354"/>
      <c r="U38" s="360"/>
      <c r="V38" s="81">
        <f t="shared" ref="V38" si="6">SUM(F38,J38,N38,R38)/4</f>
        <v>0</v>
      </c>
      <c r="W38" s="82"/>
      <c r="X38" s="82"/>
      <c r="Y38" s="93"/>
      <c r="Z38" s="97" t="str">
        <f t="shared" si="5"/>
        <v>FAILED</v>
      </c>
      <c r="AA38" s="95"/>
      <c r="AB38" s="99"/>
    </row>
    <row r="39" ht="15.75" hidden="1" spans="1:28">
      <c r="A39" s="42">
        <v>28</v>
      </c>
      <c r="B39" s="300">
        <f>'INPUT DATA'!B39:D39</f>
        <v>0</v>
      </c>
      <c r="C39" s="38"/>
      <c r="D39" s="38"/>
      <c r="E39" s="41"/>
      <c r="F39" s="353"/>
      <c r="G39" s="354"/>
      <c r="H39" s="354"/>
      <c r="I39" s="360"/>
      <c r="J39" s="353"/>
      <c r="K39" s="354"/>
      <c r="L39" s="354"/>
      <c r="M39" s="360"/>
      <c r="N39" s="353"/>
      <c r="O39" s="354"/>
      <c r="P39" s="354"/>
      <c r="Q39" s="360"/>
      <c r="R39" s="353"/>
      <c r="S39" s="354"/>
      <c r="T39" s="354"/>
      <c r="U39" s="360"/>
      <c r="V39" s="81">
        <f t="shared" ref="V39" si="7">SUM(F39,J39,N39,R39)/4</f>
        <v>0</v>
      </c>
      <c r="W39" s="82"/>
      <c r="X39" s="82"/>
      <c r="Y39" s="93"/>
      <c r="Z39" s="97" t="str">
        <f t="shared" si="5"/>
        <v>FAILED</v>
      </c>
      <c r="AA39" s="95"/>
      <c r="AB39" s="99"/>
    </row>
    <row r="40" ht="15.75" hidden="1" spans="1:28">
      <c r="A40" s="42">
        <v>29</v>
      </c>
      <c r="B40" s="300">
        <f>'INPUT DATA'!B40:D40</f>
        <v>0</v>
      </c>
      <c r="C40" s="38"/>
      <c r="D40" s="38"/>
      <c r="E40" s="41"/>
      <c r="F40" s="353"/>
      <c r="G40" s="354"/>
      <c r="H40" s="354"/>
      <c r="I40" s="360"/>
      <c r="J40" s="353"/>
      <c r="K40" s="354"/>
      <c r="L40" s="354"/>
      <c r="M40" s="360"/>
      <c r="N40" s="353"/>
      <c r="O40" s="354"/>
      <c r="P40" s="354"/>
      <c r="Q40" s="360"/>
      <c r="R40" s="353"/>
      <c r="S40" s="354"/>
      <c r="T40" s="354"/>
      <c r="U40" s="360"/>
      <c r="V40" s="81">
        <f t="shared" ref="V40" si="8">SUM(F40,J40,N40,R40)/4</f>
        <v>0</v>
      </c>
      <c r="W40" s="82"/>
      <c r="X40" s="82"/>
      <c r="Y40" s="93"/>
      <c r="Z40" s="97" t="str">
        <f t="shared" si="5"/>
        <v>FAILED</v>
      </c>
      <c r="AA40" s="95"/>
      <c r="AB40" s="99"/>
    </row>
    <row r="41" ht="15.75" hidden="1" spans="1:28">
      <c r="A41" s="42">
        <v>30</v>
      </c>
      <c r="B41" s="300">
        <f>'INPUT DATA'!B41:D41</f>
        <v>0</v>
      </c>
      <c r="C41" s="38"/>
      <c r="D41" s="38"/>
      <c r="E41" s="41"/>
      <c r="F41" s="81"/>
      <c r="G41" s="82"/>
      <c r="H41" s="82"/>
      <c r="I41" s="93"/>
      <c r="J41" s="81"/>
      <c r="K41" s="82"/>
      <c r="L41" s="82"/>
      <c r="M41" s="93"/>
      <c r="N41" s="81"/>
      <c r="O41" s="82"/>
      <c r="P41" s="82"/>
      <c r="Q41" s="93"/>
      <c r="R41" s="81"/>
      <c r="S41" s="82"/>
      <c r="T41" s="82"/>
      <c r="U41" s="93"/>
      <c r="V41" s="81">
        <f t="shared" ref="V41" si="9">SUM(F41,J41,N41,R41)/4</f>
        <v>0</v>
      </c>
      <c r="W41" s="82"/>
      <c r="X41" s="82"/>
      <c r="Y41" s="93"/>
      <c r="Z41" s="97" t="str">
        <f t="shared" si="5"/>
        <v>FAILED</v>
      </c>
      <c r="AA41" s="95"/>
      <c r="AB41" s="99"/>
    </row>
    <row r="42" ht="15.75" hidden="1" spans="1:28">
      <c r="A42" s="42">
        <v>31</v>
      </c>
      <c r="B42" s="300">
        <f>'INPUT DATA'!B42:D42</f>
        <v>0</v>
      </c>
      <c r="C42" s="38"/>
      <c r="D42" s="38"/>
      <c r="E42" s="41"/>
      <c r="F42" s="81"/>
      <c r="G42" s="82"/>
      <c r="H42" s="82"/>
      <c r="I42" s="93"/>
      <c r="J42" s="81"/>
      <c r="K42" s="82"/>
      <c r="L42" s="82"/>
      <c r="M42" s="93"/>
      <c r="N42" s="81"/>
      <c r="O42" s="82"/>
      <c r="P42" s="82"/>
      <c r="Q42" s="93"/>
      <c r="R42" s="81"/>
      <c r="S42" s="82"/>
      <c r="T42" s="82"/>
      <c r="U42" s="93"/>
      <c r="V42" s="81">
        <f t="shared" ref="V42" si="10">SUM(F42,J42,N42,R42)/4</f>
        <v>0</v>
      </c>
      <c r="W42" s="82"/>
      <c r="X42" s="82"/>
      <c r="Y42" s="93"/>
      <c r="Z42" s="97" t="str">
        <f t="shared" si="5"/>
        <v>FAILED</v>
      </c>
      <c r="AA42" s="95"/>
      <c r="AB42" s="99"/>
    </row>
    <row r="43" ht="15.75" hidden="1" spans="1:28">
      <c r="A43" s="42">
        <v>32</v>
      </c>
      <c r="B43" s="300">
        <f>'INPUT DATA'!B43:D43</f>
        <v>0</v>
      </c>
      <c r="C43" s="38"/>
      <c r="D43" s="38"/>
      <c r="E43" s="41"/>
      <c r="F43" s="81"/>
      <c r="G43" s="82"/>
      <c r="H43" s="82"/>
      <c r="I43" s="93"/>
      <c r="J43" s="81"/>
      <c r="K43" s="82"/>
      <c r="L43" s="82"/>
      <c r="M43" s="93"/>
      <c r="N43" s="81"/>
      <c r="O43" s="82"/>
      <c r="P43" s="82"/>
      <c r="Q43" s="93"/>
      <c r="R43" s="81"/>
      <c r="S43" s="82"/>
      <c r="T43" s="82"/>
      <c r="U43" s="93"/>
      <c r="V43" s="81">
        <f t="shared" ref="V43" si="11">SUM(F43,J43,N43,R43)/4</f>
        <v>0</v>
      </c>
      <c r="W43" s="82"/>
      <c r="X43" s="82"/>
      <c r="Y43" s="93"/>
      <c r="Z43" s="97" t="str">
        <f t="shared" si="5"/>
        <v>FAILED</v>
      </c>
      <c r="AA43" s="95"/>
      <c r="AB43" s="99"/>
    </row>
    <row r="44" ht="15.75" hidden="1" spans="1:28">
      <c r="A44" s="42">
        <v>33</v>
      </c>
      <c r="B44" s="300">
        <f>'INPUT DATA'!B44:D44</f>
        <v>0</v>
      </c>
      <c r="C44" s="38"/>
      <c r="D44" s="38"/>
      <c r="E44" s="41"/>
      <c r="F44" s="81"/>
      <c r="G44" s="82"/>
      <c r="H44" s="82"/>
      <c r="I44" s="93"/>
      <c r="J44" s="81"/>
      <c r="K44" s="82"/>
      <c r="L44" s="82"/>
      <c r="M44" s="93"/>
      <c r="N44" s="81"/>
      <c r="O44" s="82"/>
      <c r="P44" s="82"/>
      <c r="Q44" s="93"/>
      <c r="R44" s="81"/>
      <c r="S44" s="82"/>
      <c r="T44" s="82"/>
      <c r="U44" s="93"/>
      <c r="V44" s="81">
        <f t="shared" ref="V44" si="12">SUM(F44,J44,N44,R44)/4</f>
        <v>0</v>
      </c>
      <c r="W44" s="82"/>
      <c r="X44" s="82"/>
      <c r="Y44" s="93"/>
      <c r="Z44" s="97" t="str">
        <f t="shared" si="5"/>
        <v>FAILED</v>
      </c>
      <c r="AA44" s="95"/>
      <c r="AB44" s="99"/>
    </row>
    <row r="45" ht="15.75" hidden="1" spans="1:28">
      <c r="A45" s="42">
        <v>34</v>
      </c>
      <c r="B45" s="300">
        <f>'INPUT DATA'!B45:D45</f>
        <v>0</v>
      </c>
      <c r="C45" s="38"/>
      <c r="D45" s="38"/>
      <c r="E45" s="41"/>
      <c r="F45" s="81"/>
      <c r="G45" s="82"/>
      <c r="H45" s="82"/>
      <c r="I45" s="93"/>
      <c r="J45" s="81"/>
      <c r="K45" s="82"/>
      <c r="L45" s="82"/>
      <c r="M45" s="93"/>
      <c r="N45" s="81"/>
      <c r="O45" s="82"/>
      <c r="P45" s="82"/>
      <c r="Q45" s="93"/>
      <c r="R45" s="81"/>
      <c r="S45" s="82"/>
      <c r="T45" s="82"/>
      <c r="U45" s="93"/>
      <c r="V45" s="81"/>
      <c r="W45" s="82"/>
      <c r="X45" s="82"/>
      <c r="Y45" s="93"/>
      <c r="Z45" s="97" t="str">
        <f t="shared" si="5"/>
        <v>FAILED</v>
      </c>
      <c r="AA45" s="95"/>
      <c r="AB45" s="99"/>
    </row>
    <row r="46" ht="15.75" hidden="1" spans="1:28">
      <c r="A46" s="42">
        <v>35</v>
      </c>
      <c r="B46" s="300">
        <f>'INPUT DATA'!B46:D46</f>
        <v>0</v>
      </c>
      <c r="C46" s="38"/>
      <c r="D46" s="38"/>
      <c r="E46" s="41"/>
      <c r="F46" s="81"/>
      <c r="G46" s="82"/>
      <c r="H46" s="82"/>
      <c r="I46" s="93"/>
      <c r="J46" s="81"/>
      <c r="K46" s="82"/>
      <c r="L46" s="82"/>
      <c r="M46" s="93"/>
      <c r="N46" s="81"/>
      <c r="O46" s="82"/>
      <c r="P46" s="82"/>
      <c r="Q46" s="93"/>
      <c r="R46" s="81"/>
      <c r="S46" s="82"/>
      <c r="T46" s="82"/>
      <c r="U46" s="93"/>
      <c r="V46" s="81"/>
      <c r="W46" s="82"/>
      <c r="X46" s="82"/>
      <c r="Y46" s="93"/>
      <c r="Z46" s="97" t="str">
        <f t="shared" si="5"/>
        <v>FAILED</v>
      </c>
      <c r="AA46" s="95"/>
      <c r="AB46" s="99"/>
    </row>
    <row r="47" ht="15.75" hidden="1" spans="1:28">
      <c r="A47" s="42">
        <v>36</v>
      </c>
      <c r="B47" s="300">
        <f>'INPUT DATA'!B47:D47</f>
        <v>0</v>
      </c>
      <c r="C47" s="389"/>
      <c r="D47" s="389"/>
      <c r="E47" s="390"/>
      <c r="F47" s="358"/>
      <c r="G47" s="82"/>
      <c r="H47" s="82"/>
      <c r="I47" s="93"/>
      <c r="J47" s="81"/>
      <c r="K47" s="82"/>
      <c r="L47" s="82"/>
      <c r="M47" s="93"/>
      <c r="N47" s="81"/>
      <c r="O47" s="82"/>
      <c r="P47" s="82"/>
      <c r="Q47" s="93"/>
      <c r="R47" s="81"/>
      <c r="S47" s="82"/>
      <c r="T47" s="82"/>
      <c r="U47" s="93"/>
      <c r="V47" s="81"/>
      <c r="W47" s="82"/>
      <c r="X47" s="82"/>
      <c r="Y47" s="93"/>
      <c r="Z47" s="97" t="str">
        <f t="shared" si="5"/>
        <v>FAILED</v>
      </c>
      <c r="AA47" s="95"/>
      <c r="AB47" s="99"/>
    </row>
    <row r="48" ht="15.75" hidden="1" spans="1:28">
      <c r="A48" s="42">
        <v>37</v>
      </c>
      <c r="B48" s="300">
        <f>'INPUT DATA'!B48:D48</f>
        <v>0</v>
      </c>
      <c r="C48" s="389"/>
      <c r="D48" s="389"/>
      <c r="E48" s="390"/>
      <c r="F48" s="358"/>
      <c r="G48" s="82"/>
      <c r="H48" s="82"/>
      <c r="I48" s="93"/>
      <c r="J48" s="81"/>
      <c r="K48" s="82"/>
      <c r="L48" s="82"/>
      <c r="M48" s="93"/>
      <c r="N48" s="81"/>
      <c r="O48" s="82"/>
      <c r="P48" s="82"/>
      <c r="Q48" s="93"/>
      <c r="R48" s="81"/>
      <c r="S48" s="82"/>
      <c r="T48" s="82"/>
      <c r="U48" s="93"/>
      <c r="V48" s="81"/>
      <c r="W48" s="82"/>
      <c r="X48" s="82"/>
      <c r="Y48" s="93"/>
      <c r="Z48" s="97" t="str">
        <f t="shared" si="5"/>
        <v>FAILED</v>
      </c>
      <c r="AA48" s="95"/>
      <c r="AB48" s="99"/>
    </row>
    <row r="49" ht="15.75" hidden="1" spans="1:28">
      <c r="A49" s="42">
        <v>38</v>
      </c>
      <c r="B49" s="300">
        <f>'INPUT DATA'!B49:D49</f>
        <v>0</v>
      </c>
      <c r="C49" s="389"/>
      <c r="D49" s="389"/>
      <c r="E49" s="390"/>
      <c r="F49" s="358"/>
      <c r="G49" s="82"/>
      <c r="H49" s="82"/>
      <c r="I49" s="93"/>
      <c r="J49" s="81"/>
      <c r="K49" s="82"/>
      <c r="L49" s="82"/>
      <c r="M49" s="93"/>
      <c r="N49" s="81"/>
      <c r="O49" s="82"/>
      <c r="P49" s="82"/>
      <c r="Q49" s="93"/>
      <c r="R49" s="81"/>
      <c r="S49" s="82"/>
      <c r="T49" s="82"/>
      <c r="U49" s="93"/>
      <c r="V49" s="81"/>
      <c r="W49" s="82"/>
      <c r="X49" s="82"/>
      <c r="Y49" s="93"/>
      <c r="Z49" s="97" t="str">
        <f t="shared" si="5"/>
        <v>FAILED</v>
      </c>
      <c r="AA49" s="95"/>
      <c r="AB49" s="99"/>
    </row>
    <row r="50" ht="15.75" hidden="1" spans="1:28">
      <c r="A50" s="42">
        <v>39</v>
      </c>
      <c r="B50" s="300">
        <f>'INPUT DATA'!B50:D50</f>
        <v>0</v>
      </c>
      <c r="C50" s="389"/>
      <c r="D50" s="389"/>
      <c r="E50" s="390"/>
      <c r="F50" s="358"/>
      <c r="G50" s="82"/>
      <c r="H50" s="82"/>
      <c r="I50" s="93"/>
      <c r="J50" s="81"/>
      <c r="K50" s="82"/>
      <c r="L50" s="82"/>
      <c r="M50" s="93"/>
      <c r="N50" s="81"/>
      <c r="O50" s="82"/>
      <c r="P50" s="82"/>
      <c r="Q50" s="93"/>
      <c r="R50" s="81"/>
      <c r="S50" s="82"/>
      <c r="T50" s="82"/>
      <c r="U50" s="93"/>
      <c r="V50" s="351"/>
      <c r="W50" s="352"/>
      <c r="X50" s="352"/>
      <c r="Y50" s="359"/>
      <c r="Z50" s="97" t="str">
        <f t="shared" si="5"/>
        <v>FAILED</v>
      </c>
      <c r="AA50" s="95"/>
      <c r="AB50" s="99"/>
    </row>
    <row r="51" ht="15.75" spans="1:28">
      <c r="A51" s="27"/>
      <c r="B51" s="339" t="s">
        <v>39</v>
      </c>
      <c r="C51" s="306"/>
      <c r="D51" s="306"/>
      <c r="E51" s="307"/>
      <c r="F51" s="308"/>
      <c r="G51" s="309"/>
      <c r="H51" s="309"/>
      <c r="I51" s="315"/>
      <c r="J51" s="308"/>
      <c r="K51" s="309"/>
      <c r="L51" s="309"/>
      <c r="M51" s="315"/>
      <c r="N51" s="308"/>
      <c r="O51" s="309"/>
      <c r="P51" s="309"/>
      <c r="Q51" s="315"/>
      <c r="R51" s="363"/>
      <c r="S51" s="364"/>
      <c r="T51" s="364"/>
      <c r="U51" s="365"/>
      <c r="V51" s="391"/>
      <c r="W51" s="392"/>
      <c r="X51" s="392"/>
      <c r="Y51" s="393"/>
      <c r="Z51" s="370" t="s">
        <v>74</v>
      </c>
      <c r="AA51" s="371"/>
      <c r="AB51" s="372"/>
    </row>
    <row r="52" ht="15" spans="1:28">
      <c r="A52" s="32">
        <v>1</v>
      </c>
      <c r="B52" s="300" t="str">
        <f>'INPUT DATA'!B53:D53</f>
        <v>ANGCOY, PRINCESS NAILLE T.</v>
      </c>
      <c r="C52" s="34"/>
      <c r="D52" s="34"/>
      <c r="E52" s="53"/>
      <c r="F52" s="81">
        <v>77</v>
      </c>
      <c r="G52" s="82"/>
      <c r="H52" s="82"/>
      <c r="I52" s="93"/>
      <c r="J52" s="81">
        <v>78</v>
      </c>
      <c r="K52" s="82"/>
      <c r="L52" s="82"/>
      <c r="M52" s="93"/>
      <c r="N52" s="81">
        <v>81</v>
      </c>
      <c r="O52" s="82"/>
      <c r="P52" s="82"/>
      <c r="Q52" s="93"/>
      <c r="R52" s="81">
        <v>82</v>
      </c>
      <c r="S52" s="82"/>
      <c r="T52" s="82"/>
      <c r="U52" s="93"/>
      <c r="V52" s="81">
        <f>SUM(F52,J52,N52,R52)/4</f>
        <v>79.5</v>
      </c>
      <c r="W52" s="82"/>
      <c r="X52" s="82"/>
      <c r="Y52" s="93"/>
      <c r="Z52" s="97" t="str">
        <f>IF(V52&gt;=75,"PASSED","FAILED")</f>
        <v>PASSED</v>
      </c>
      <c r="AA52" s="98"/>
      <c r="AB52" s="99"/>
    </row>
    <row r="53" ht="15" spans="1:28">
      <c r="A53" s="37">
        <v>2</v>
      </c>
      <c r="B53" s="300" t="str">
        <f>'INPUT DATA'!B54:D54</f>
        <v>BIMOS, SHEILLA KATE O.</v>
      </c>
      <c r="C53" s="38"/>
      <c r="D53" s="38"/>
      <c r="E53" s="41"/>
      <c r="F53" s="81">
        <v>85</v>
      </c>
      <c r="G53" s="82"/>
      <c r="H53" s="82"/>
      <c r="I53" s="93"/>
      <c r="J53" s="81">
        <v>85</v>
      </c>
      <c r="K53" s="82"/>
      <c r="L53" s="82"/>
      <c r="M53" s="93"/>
      <c r="N53" s="81">
        <v>89</v>
      </c>
      <c r="O53" s="82"/>
      <c r="P53" s="82"/>
      <c r="Q53" s="93"/>
      <c r="R53" s="81">
        <v>91</v>
      </c>
      <c r="S53" s="82"/>
      <c r="T53" s="82"/>
      <c r="U53" s="93"/>
      <c r="V53" s="81">
        <f t="shared" ref="V53:V76" si="13">SUM(F53,J53,N53,R53)/4</f>
        <v>87.5</v>
      </c>
      <c r="W53" s="82"/>
      <c r="X53" s="82"/>
      <c r="Y53" s="93"/>
      <c r="Z53" s="97" t="str">
        <f>IF(V53&gt;=75,"PASSED","FAILED")</f>
        <v>PASSED</v>
      </c>
      <c r="AA53" s="98"/>
      <c r="AB53" s="99"/>
    </row>
    <row r="54" ht="15" spans="1:28">
      <c r="A54" s="37">
        <v>3</v>
      </c>
      <c r="B54" s="300" t="str">
        <f>'INPUT DATA'!B55:D55</f>
        <v>BONGABONG, DWEYN ZHAIRA A.</v>
      </c>
      <c r="C54" s="38"/>
      <c r="D54" s="38"/>
      <c r="E54" s="41"/>
      <c r="F54" s="81">
        <v>89</v>
      </c>
      <c r="G54" s="82"/>
      <c r="H54" s="82"/>
      <c r="I54" s="93"/>
      <c r="J54" s="81">
        <v>87</v>
      </c>
      <c r="K54" s="82"/>
      <c r="L54" s="82"/>
      <c r="M54" s="93"/>
      <c r="N54" s="81">
        <v>93</v>
      </c>
      <c r="O54" s="82"/>
      <c r="P54" s="82"/>
      <c r="Q54" s="93"/>
      <c r="R54" s="81">
        <v>93</v>
      </c>
      <c r="S54" s="82"/>
      <c r="T54" s="82"/>
      <c r="U54" s="93"/>
      <c r="V54" s="81">
        <f t="shared" si="13"/>
        <v>90.5</v>
      </c>
      <c r="W54" s="82"/>
      <c r="X54" s="82"/>
      <c r="Y54" s="93"/>
      <c r="Z54" s="97" t="str">
        <f t="shared" ref="Z54:Z68" si="14">IF(V54&gt;=75,"PASSED","FAILED")</f>
        <v>PASSED</v>
      </c>
      <c r="AA54" s="98"/>
      <c r="AB54" s="99"/>
    </row>
    <row r="55" ht="15" spans="1:28">
      <c r="A55" s="37">
        <v>4</v>
      </c>
      <c r="B55" s="300" t="str">
        <f>'INPUT DATA'!B56:D56</f>
        <v>CABEL, LOURENE A.</v>
      </c>
      <c r="C55" s="38"/>
      <c r="D55" s="38"/>
      <c r="E55" s="41"/>
      <c r="F55" s="81">
        <v>90</v>
      </c>
      <c r="G55" s="82"/>
      <c r="H55" s="82"/>
      <c r="I55" s="93"/>
      <c r="J55" s="81">
        <v>91</v>
      </c>
      <c r="K55" s="82"/>
      <c r="L55" s="82"/>
      <c r="M55" s="93"/>
      <c r="N55" s="81">
        <v>94</v>
      </c>
      <c r="O55" s="82"/>
      <c r="P55" s="82"/>
      <c r="Q55" s="93"/>
      <c r="R55" s="81">
        <v>94</v>
      </c>
      <c r="S55" s="82"/>
      <c r="T55" s="82"/>
      <c r="U55" s="93"/>
      <c r="V55" s="81">
        <f t="shared" si="13"/>
        <v>92.25</v>
      </c>
      <c r="W55" s="82"/>
      <c r="X55" s="82"/>
      <c r="Y55" s="93"/>
      <c r="Z55" s="97" t="str">
        <f t="shared" si="14"/>
        <v>PASSED</v>
      </c>
      <c r="AA55" s="98"/>
      <c r="AB55" s="99"/>
    </row>
    <row r="56" ht="15" spans="1:28">
      <c r="A56" s="37">
        <v>5</v>
      </c>
      <c r="B56" s="300" t="str">
        <f>'INPUT DATA'!B57:D57</f>
        <v>CAMIGAO, DHENISE CLARE V.</v>
      </c>
      <c r="C56" s="38"/>
      <c r="D56" s="38"/>
      <c r="E56" s="41"/>
      <c r="F56" s="81">
        <v>83</v>
      </c>
      <c r="G56" s="82"/>
      <c r="H56" s="82"/>
      <c r="I56" s="93"/>
      <c r="J56" s="81">
        <v>84</v>
      </c>
      <c r="K56" s="82"/>
      <c r="L56" s="82"/>
      <c r="M56" s="93"/>
      <c r="N56" s="81">
        <v>83</v>
      </c>
      <c r="O56" s="82"/>
      <c r="P56" s="82"/>
      <c r="Q56" s="93"/>
      <c r="R56" s="81">
        <v>88</v>
      </c>
      <c r="S56" s="82"/>
      <c r="T56" s="82"/>
      <c r="U56" s="93"/>
      <c r="V56" s="81">
        <f t="shared" si="13"/>
        <v>84.5</v>
      </c>
      <c r="W56" s="82"/>
      <c r="X56" s="82"/>
      <c r="Y56" s="93"/>
      <c r="Z56" s="97" t="str">
        <f t="shared" si="14"/>
        <v>PASSED</v>
      </c>
      <c r="AA56" s="98"/>
      <c r="AB56" s="99"/>
    </row>
    <row r="57" ht="15" spans="1:28">
      <c r="A57" s="37">
        <v>6</v>
      </c>
      <c r="B57" s="300" t="str">
        <f>'INPUT DATA'!B58:D58</f>
        <v>CARISMA, NATHALIA MAE M.</v>
      </c>
      <c r="C57" s="38"/>
      <c r="D57" s="38"/>
      <c r="E57" s="41"/>
      <c r="F57" s="81">
        <v>86</v>
      </c>
      <c r="G57" s="82"/>
      <c r="H57" s="82"/>
      <c r="I57" s="93"/>
      <c r="J57" s="81">
        <v>85</v>
      </c>
      <c r="K57" s="82"/>
      <c r="L57" s="82"/>
      <c r="M57" s="93"/>
      <c r="N57" s="81">
        <v>89</v>
      </c>
      <c r="O57" s="82"/>
      <c r="P57" s="82"/>
      <c r="Q57" s="93"/>
      <c r="R57" s="81">
        <v>88</v>
      </c>
      <c r="S57" s="82"/>
      <c r="T57" s="82"/>
      <c r="U57" s="93"/>
      <c r="V57" s="81">
        <f t="shared" si="13"/>
        <v>87</v>
      </c>
      <c r="W57" s="82"/>
      <c r="X57" s="82"/>
      <c r="Y57" s="93"/>
      <c r="Z57" s="97" t="str">
        <f t="shared" si="14"/>
        <v>PASSED</v>
      </c>
      <c r="AA57" s="98"/>
      <c r="AB57" s="99"/>
    </row>
    <row r="58" ht="15" spans="1:28">
      <c r="A58" s="37">
        <v>7</v>
      </c>
      <c r="B58" s="300" t="str">
        <f>'INPUT DATA'!B59:D59</f>
        <v>CLARO, REANZ P.</v>
      </c>
      <c r="C58" s="38"/>
      <c r="D58" s="38"/>
      <c r="E58" s="41"/>
      <c r="F58" s="81">
        <v>82</v>
      </c>
      <c r="G58" s="82"/>
      <c r="H58" s="82"/>
      <c r="I58" s="93"/>
      <c r="J58" s="81">
        <v>82</v>
      </c>
      <c r="K58" s="82"/>
      <c r="L58" s="82"/>
      <c r="M58" s="93"/>
      <c r="N58" s="81">
        <v>86</v>
      </c>
      <c r="O58" s="82"/>
      <c r="P58" s="82"/>
      <c r="Q58" s="93"/>
      <c r="R58" s="81">
        <v>86</v>
      </c>
      <c r="S58" s="82"/>
      <c r="T58" s="82"/>
      <c r="U58" s="93"/>
      <c r="V58" s="81">
        <f t="shared" si="13"/>
        <v>84</v>
      </c>
      <c r="W58" s="82"/>
      <c r="X58" s="82"/>
      <c r="Y58" s="93"/>
      <c r="Z58" s="97" t="str">
        <f t="shared" si="14"/>
        <v>PASSED</v>
      </c>
      <c r="AA58" s="98"/>
      <c r="AB58" s="99"/>
    </row>
    <row r="59" ht="15" spans="1:28">
      <c r="A59" s="37">
        <v>8</v>
      </c>
      <c r="B59" s="300" t="str">
        <f>'INPUT DATA'!B60:D60</f>
        <v>FRANCISCO, YSABELLA BEATRICE B.</v>
      </c>
      <c r="C59" s="38"/>
      <c r="D59" s="38"/>
      <c r="E59" s="41"/>
      <c r="F59" s="81">
        <v>90</v>
      </c>
      <c r="G59" s="82"/>
      <c r="H59" s="82"/>
      <c r="I59" s="93"/>
      <c r="J59" s="81">
        <v>90</v>
      </c>
      <c r="K59" s="82"/>
      <c r="L59" s="82"/>
      <c r="M59" s="93"/>
      <c r="N59" s="81">
        <v>94</v>
      </c>
      <c r="O59" s="82"/>
      <c r="P59" s="82"/>
      <c r="Q59" s="93"/>
      <c r="R59" s="81">
        <v>94</v>
      </c>
      <c r="S59" s="82"/>
      <c r="T59" s="82"/>
      <c r="U59" s="93"/>
      <c r="V59" s="81">
        <f t="shared" si="13"/>
        <v>92</v>
      </c>
      <c r="W59" s="82"/>
      <c r="X59" s="82"/>
      <c r="Y59" s="93"/>
      <c r="Z59" s="97" t="str">
        <f t="shared" si="14"/>
        <v>PASSED</v>
      </c>
      <c r="AA59" s="98"/>
      <c r="AB59" s="99"/>
    </row>
    <row r="60" ht="15" spans="1:28">
      <c r="A60" s="37">
        <v>9</v>
      </c>
      <c r="B60" s="300" t="str">
        <f>'INPUT DATA'!B61:D61</f>
        <v>GALDO, ALYSSA RHIAN P.</v>
      </c>
      <c r="C60" s="38"/>
      <c r="D60" s="38"/>
      <c r="E60" s="41"/>
      <c r="F60" s="81">
        <v>81</v>
      </c>
      <c r="G60" s="82"/>
      <c r="H60" s="82"/>
      <c r="I60" s="93"/>
      <c r="J60" s="81"/>
      <c r="K60" s="82"/>
      <c r="L60" s="82"/>
      <c r="M60" s="93"/>
      <c r="N60" s="81"/>
      <c r="O60" s="82"/>
      <c r="P60" s="82"/>
      <c r="Q60" s="93"/>
      <c r="R60" s="81"/>
      <c r="S60" s="82"/>
      <c r="T60" s="82"/>
      <c r="U60" s="93"/>
      <c r="V60" s="81">
        <f t="shared" si="13"/>
        <v>20.25</v>
      </c>
      <c r="W60" s="82"/>
      <c r="X60" s="82"/>
      <c r="Y60" s="93"/>
      <c r="Z60" s="97" t="str">
        <f t="shared" si="14"/>
        <v>FAILED</v>
      </c>
      <c r="AA60" s="98"/>
      <c r="AB60" s="99"/>
    </row>
    <row r="61" ht="15" spans="1:28">
      <c r="A61" s="37">
        <v>10</v>
      </c>
      <c r="B61" s="300" t="str">
        <f>'INPUT DATA'!B62:D62</f>
        <v>HURAÑO, RIOMI M.</v>
      </c>
      <c r="C61" s="38"/>
      <c r="D61" s="38"/>
      <c r="E61" s="41"/>
      <c r="F61" s="81">
        <v>86</v>
      </c>
      <c r="G61" s="82"/>
      <c r="H61" s="82"/>
      <c r="I61" s="93"/>
      <c r="J61" s="81">
        <v>84</v>
      </c>
      <c r="K61" s="82"/>
      <c r="L61" s="82"/>
      <c r="M61" s="93"/>
      <c r="N61" s="81">
        <v>90</v>
      </c>
      <c r="O61" s="82"/>
      <c r="P61" s="82"/>
      <c r="Q61" s="93"/>
      <c r="R61" s="81">
        <v>90</v>
      </c>
      <c r="S61" s="82"/>
      <c r="T61" s="82"/>
      <c r="U61" s="93"/>
      <c r="V61" s="81">
        <f t="shared" si="13"/>
        <v>87.5</v>
      </c>
      <c r="W61" s="82"/>
      <c r="X61" s="82"/>
      <c r="Y61" s="93"/>
      <c r="Z61" s="97" t="str">
        <f t="shared" si="14"/>
        <v>PASSED</v>
      </c>
      <c r="AA61" s="98"/>
      <c r="AB61" s="99"/>
    </row>
    <row r="62" ht="15" spans="1:28">
      <c r="A62" s="37">
        <v>11</v>
      </c>
      <c r="B62" s="300" t="str">
        <f>'INPUT DATA'!B63:D63</f>
        <v>LAGUNA, WELLAIZA O.</v>
      </c>
      <c r="C62" s="38"/>
      <c r="D62" s="38"/>
      <c r="E62" s="41"/>
      <c r="F62" s="81">
        <v>80</v>
      </c>
      <c r="G62" s="82"/>
      <c r="H62" s="82"/>
      <c r="I62" s="93"/>
      <c r="J62" s="81"/>
      <c r="K62" s="82"/>
      <c r="L62" s="82"/>
      <c r="M62" s="93"/>
      <c r="N62" s="81"/>
      <c r="O62" s="82"/>
      <c r="P62" s="82"/>
      <c r="Q62" s="93"/>
      <c r="R62" s="81"/>
      <c r="S62" s="82"/>
      <c r="T62" s="82"/>
      <c r="U62" s="93"/>
      <c r="V62" s="81">
        <f t="shared" si="13"/>
        <v>20</v>
      </c>
      <c r="W62" s="82"/>
      <c r="X62" s="82"/>
      <c r="Y62" s="93"/>
      <c r="Z62" s="97" t="str">
        <f t="shared" si="14"/>
        <v>FAILED</v>
      </c>
      <c r="AA62" s="98"/>
      <c r="AB62" s="99"/>
    </row>
    <row r="63" ht="15" spans="1:28">
      <c r="A63" s="37">
        <v>12</v>
      </c>
      <c r="B63" s="300" t="str">
        <f>'INPUT DATA'!B64:D64</f>
        <v>LAZAGA, PRINCESS JEAN O.</v>
      </c>
      <c r="C63" s="38"/>
      <c r="D63" s="38"/>
      <c r="E63" s="41"/>
      <c r="F63" s="81">
        <v>85</v>
      </c>
      <c r="G63" s="82"/>
      <c r="H63" s="82"/>
      <c r="I63" s="93"/>
      <c r="J63" s="81">
        <v>84</v>
      </c>
      <c r="K63" s="82"/>
      <c r="L63" s="82"/>
      <c r="M63" s="93"/>
      <c r="N63" s="81">
        <v>88</v>
      </c>
      <c r="O63" s="82"/>
      <c r="P63" s="82"/>
      <c r="Q63" s="93"/>
      <c r="R63" s="81">
        <v>87</v>
      </c>
      <c r="S63" s="82"/>
      <c r="T63" s="82"/>
      <c r="U63" s="93"/>
      <c r="V63" s="81">
        <f t="shared" si="13"/>
        <v>86</v>
      </c>
      <c r="W63" s="82"/>
      <c r="X63" s="82"/>
      <c r="Y63" s="93"/>
      <c r="Z63" s="97" t="str">
        <f t="shared" si="14"/>
        <v>PASSED</v>
      </c>
      <c r="AA63" s="98"/>
      <c r="AB63" s="99"/>
    </row>
    <row r="64" ht="15" spans="1:28">
      <c r="A64" s="37">
        <v>13</v>
      </c>
      <c r="B64" s="300" t="str">
        <f>'INPUT DATA'!B65:D65</f>
        <v>LIBRES, MIKYLLA B.</v>
      </c>
      <c r="C64" s="38"/>
      <c r="D64" s="38"/>
      <c r="E64" s="41"/>
      <c r="F64" s="81">
        <v>75</v>
      </c>
      <c r="G64" s="82"/>
      <c r="H64" s="82"/>
      <c r="I64" s="93"/>
      <c r="J64" s="81">
        <v>75</v>
      </c>
      <c r="K64" s="82"/>
      <c r="L64" s="82"/>
      <c r="M64" s="93"/>
      <c r="N64" s="81">
        <v>79</v>
      </c>
      <c r="O64" s="82"/>
      <c r="P64" s="82"/>
      <c r="Q64" s="93"/>
      <c r="R64" s="81">
        <v>83</v>
      </c>
      <c r="S64" s="82"/>
      <c r="T64" s="82"/>
      <c r="U64" s="93"/>
      <c r="V64" s="81">
        <f t="shared" si="13"/>
        <v>78</v>
      </c>
      <c r="W64" s="82"/>
      <c r="X64" s="82"/>
      <c r="Y64" s="93"/>
      <c r="Z64" s="97" t="str">
        <f t="shared" si="14"/>
        <v>PASSED</v>
      </c>
      <c r="AA64" s="98"/>
      <c r="AB64" s="99"/>
    </row>
    <row r="65" ht="15" spans="1:28">
      <c r="A65" s="37">
        <v>14</v>
      </c>
      <c r="B65" s="300" t="str">
        <f>'INPUT DATA'!B66:D66</f>
        <v>LIM, LENNIE GRACE S.</v>
      </c>
      <c r="C65" s="38"/>
      <c r="D65" s="38"/>
      <c r="E65" s="41"/>
      <c r="F65" s="81">
        <v>83</v>
      </c>
      <c r="G65" s="82"/>
      <c r="H65" s="82"/>
      <c r="I65" s="93"/>
      <c r="J65" s="81">
        <v>83</v>
      </c>
      <c r="K65" s="82"/>
      <c r="L65" s="82"/>
      <c r="M65" s="93"/>
      <c r="N65" s="81">
        <v>84</v>
      </c>
      <c r="O65" s="82"/>
      <c r="P65" s="82"/>
      <c r="Q65" s="93"/>
      <c r="R65" s="81">
        <v>85</v>
      </c>
      <c r="S65" s="82"/>
      <c r="T65" s="82"/>
      <c r="U65" s="93"/>
      <c r="V65" s="81">
        <f t="shared" si="13"/>
        <v>83.75</v>
      </c>
      <c r="W65" s="82"/>
      <c r="X65" s="82"/>
      <c r="Y65" s="93"/>
      <c r="Z65" s="97" t="str">
        <f t="shared" si="14"/>
        <v>PASSED</v>
      </c>
      <c r="AA65" s="98"/>
      <c r="AB65" s="99"/>
    </row>
    <row r="66" ht="15" spans="1:28">
      <c r="A66" s="37">
        <v>15</v>
      </c>
      <c r="B66" s="300" t="str">
        <f>'INPUT DATA'!B67:D67</f>
        <v>MASAYON, RHEA JANE L.</v>
      </c>
      <c r="C66" s="38"/>
      <c r="D66" s="38"/>
      <c r="E66" s="41"/>
      <c r="F66" s="81">
        <v>84</v>
      </c>
      <c r="G66" s="82"/>
      <c r="H66" s="82"/>
      <c r="I66" s="93"/>
      <c r="J66" s="81">
        <v>75</v>
      </c>
      <c r="K66" s="82"/>
      <c r="L66" s="82"/>
      <c r="M66" s="93"/>
      <c r="N66" s="81">
        <v>75</v>
      </c>
      <c r="O66" s="82"/>
      <c r="P66" s="82"/>
      <c r="Q66" s="93"/>
      <c r="R66" s="81">
        <v>77</v>
      </c>
      <c r="S66" s="82"/>
      <c r="T66" s="82"/>
      <c r="U66" s="93"/>
      <c r="V66" s="81">
        <f t="shared" si="13"/>
        <v>77.75</v>
      </c>
      <c r="W66" s="82"/>
      <c r="X66" s="82"/>
      <c r="Y66" s="93"/>
      <c r="Z66" s="97" t="str">
        <f t="shared" si="14"/>
        <v>PASSED</v>
      </c>
      <c r="AA66" s="98"/>
      <c r="AB66" s="99"/>
    </row>
    <row r="67" ht="15" spans="1:28">
      <c r="A67" s="37">
        <v>16</v>
      </c>
      <c r="B67" s="300" t="str">
        <f>'INPUT DATA'!B68:D68</f>
        <v>MORANCIL, JENEVI A.</v>
      </c>
      <c r="C67" s="38"/>
      <c r="D67" s="38"/>
      <c r="E67" s="41"/>
      <c r="F67" s="81">
        <v>75</v>
      </c>
      <c r="G67" s="82"/>
      <c r="H67" s="82"/>
      <c r="I67" s="93"/>
      <c r="J67" s="81">
        <v>75</v>
      </c>
      <c r="K67" s="82"/>
      <c r="L67" s="82"/>
      <c r="M67" s="93"/>
      <c r="N67" s="81">
        <v>86</v>
      </c>
      <c r="O67" s="82"/>
      <c r="P67" s="82"/>
      <c r="Q67" s="93"/>
      <c r="R67" s="81">
        <v>87</v>
      </c>
      <c r="S67" s="82"/>
      <c r="T67" s="82"/>
      <c r="U67" s="93"/>
      <c r="V67" s="81">
        <f t="shared" si="13"/>
        <v>80.75</v>
      </c>
      <c r="W67" s="82"/>
      <c r="X67" s="82"/>
      <c r="Y67" s="93"/>
      <c r="Z67" s="97" t="str">
        <f t="shared" si="14"/>
        <v>PASSED</v>
      </c>
      <c r="AA67" s="98"/>
      <c r="AB67" s="99"/>
    </row>
    <row r="68" ht="15" spans="1:28">
      <c r="A68" s="37">
        <v>17</v>
      </c>
      <c r="B68" s="300" t="str">
        <f>'INPUT DATA'!B69:D69</f>
        <v>PATRICIO, MICHA ELLA P.</v>
      </c>
      <c r="C68" s="38"/>
      <c r="D68" s="38"/>
      <c r="E68" s="41"/>
      <c r="F68" s="81">
        <v>75</v>
      </c>
      <c r="G68" s="82"/>
      <c r="H68" s="82"/>
      <c r="I68" s="93"/>
      <c r="J68" s="81">
        <v>75</v>
      </c>
      <c r="K68" s="82"/>
      <c r="L68" s="82"/>
      <c r="M68" s="93"/>
      <c r="N68" s="81">
        <v>75</v>
      </c>
      <c r="O68" s="82"/>
      <c r="P68" s="82"/>
      <c r="Q68" s="93"/>
      <c r="R68" s="81">
        <v>75</v>
      </c>
      <c r="S68" s="82"/>
      <c r="T68" s="82"/>
      <c r="U68" s="93"/>
      <c r="V68" s="81">
        <f t="shared" si="13"/>
        <v>75</v>
      </c>
      <c r="W68" s="82"/>
      <c r="X68" s="82"/>
      <c r="Y68" s="93"/>
      <c r="Z68" s="97" t="str">
        <f t="shared" si="14"/>
        <v>PASSED</v>
      </c>
      <c r="AA68" s="98"/>
      <c r="AB68" s="99"/>
    </row>
    <row r="69" ht="15" spans="1:28">
      <c r="A69" s="37">
        <v>18</v>
      </c>
      <c r="B69" s="300" t="str">
        <f>'INPUT DATA'!B70:D70</f>
        <v>PELINGON , ASHLEY C.</v>
      </c>
      <c r="C69" s="38"/>
      <c r="D69" s="38"/>
      <c r="E69" s="41"/>
      <c r="F69" s="81">
        <v>80</v>
      </c>
      <c r="G69" s="82"/>
      <c r="H69" s="82"/>
      <c r="I69" s="93"/>
      <c r="J69" s="81">
        <v>84</v>
      </c>
      <c r="K69" s="82"/>
      <c r="L69" s="82"/>
      <c r="M69" s="93"/>
      <c r="N69" s="81">
        <v>87</v>
      </c>
      <c r="O69" s="82"/>
      <c r="P69" s="82"/>
      <c r="Q69" s="93"/>
      <c r="R69" s="81">
        <v>87</v>
      </c>
      <c r="S69" s="82"/>
      <c r="T69" s="82"/>
      <c r="U69" s="93"/>
      <c r="V69" s="81">
        <f t="shared" si="13"/>
        <v>84.5</v>
      </c>
      <c r="W69" s="82"/>
      <c r="X69" s="82"/>
      <c r="Y69" s="93"/>
      <c r="Z69" s="97" t="str">
        <f t="shared" ref="Z69:Z81" si="15">IF(V69&gt;=75,"PASSED","FAILED")</f>
        <v>PASSED</v>
      </c>
      <c r="AA69" s="98"/>
      <c r="AB69" s="99"/>
    </row>
    <row r="70" ht="15" spans="1:28">
      <c r="A70" s="37">
        <v>19</v>
      </c>
      <c r="B70" s="300" t="str">
        <f>'INPUT DATA'!B71:D71</f>
        <v>PEREZ, MERCY JEAN T.</v>
      </c>
      <c r="C70" s="38"/>
      <c r="D70" s="38"/>
      <c r="E70" s="41"/>
      <c r="F70" s="81">
        <v>75</v>
      </c>
      <c r="G70" s="82"/>
      <c r="H70" s="82"/>
      <c r="I70" s="93"/>
      <c r="J70" s="81">
        <v>75</v>
      </c>
      <c r="K70" s="82"/>
      <c r="L70" s="82"/>
      <c r="M70" s="93"/>
      <c r="N70" s="81">
        <v>77</v>
      </c>
      <c r="O70" s="82"/>
      <c r="P70" s="82"/>
      <c r="Q70" s="93"/>
      <c r="R70" s="81">
        <v>78</v>
      </c>
      <c r="S70" s="82"/>
      <c r="T70" s="82"/>
      <c r="U70" s="93"/>
      <c r="V70" s="81">
        <f t="shared" si="13"/>
        <v>76.25</v>
      </c>
      <c r="W70" s="82"/>
      <c r="X70" s="82"/>
      <c r="Y70" s="93"/>
      <c r="Z70" s="97" t="str">
        <f t="shared" si="15"/>
        <v>PASSED</v>
      </c>
      <c r="AA70" s="98"/>
      <c r="AB70" s="99"/>
    </row>
    <row r="71" ht="15" spans="1:28">
      <c r="A71" s="37">
        <v>20</v>
      </c>
      <c r="B71" s="300" t="str">
        <f>'INPUT DATA'!B72:D72</f>
        <v>PINGOT, RHEA L.</v>
      </c>
      <c r="C71" s="38"/>
      <c r="D71" s="38"/>
      <c r="E71" s="41"/>
      <c r="F71" s="81"/>
      <c r="G71" s="82"/>
      <c r="H71" s="82"/>
      <c r="I71" s="93"/>
      <c r="J71" s="81"/>
      <c r="K71" s="82"/>
      <c r="L71" s="82"/>
      <c r="M71" s="93"/>
      <c r="N71" s="81"/>
      <c r="O71" s="82"/>
      <c r="P71" s="82"/>
      <c r="Q71" s="93"/>
      <c r="R71" s="81"/>
      <c r="S71" s="82"/>
      <c r="T71" s="82"/>
      <c r="U71" s="93"/>
      <c r="V71" s="81">
        <f t="shared" si="13"/>
        <v>0</v>
      </c>
      <c r="W71" s="82"/>
      <c r="X71" s="82"/>
      <c r="Y71" s="93"/>
      <c r="Z71" s="97" t="str">
        <f t="shared" si="15"/>
        <v>FAILED</v>
      </c>
      <c r="AA71" s="98"/>
      <c r="AB71" s="99"/>
    </row>
    <row r="72" ht="15" spans="1:28">
      <c r="A72" s="37">
        <v>21</v>
      </c>
      <c r="B72" s="300" t="str">
        <f>'INPUT DATA'!B73:D73</f>
        <v>QUILAT, FERRA MAE</v>
      </c>
      <c r="C72" s="38"/>
      <c r="D72" s="38"/>
      <c r="E72" s="41"/>
      <c r="F72" s="81">
        <v>75</v>
      </c>
      <c r="G72" s="82"/>
      <c r="H72" s="82"/>
      <c r="I72" s="93"/>
      <c r="J72" s="81">
        <v>73</v>
      </c>
      <c r="K72" s="82"/>
      <c r="L72" s="82"/>
      <c r="M72" s="93"/>
      <c r="N72" s="81">
        <v>76</v>
      </c>
      <c r="O72" s="82"/>
      <c r="P72" s="82"/>
      <c r="Q72" s="93"/>
      <c r="R72" s="81">
        <v>77</v>
      </c>
      <c r="S72" s="82"/>
      <c r="T72" s="82"/>
      <c r="U72" s="93"/>
      <c r="V72" s="81">
        <f t="shared" si="13"/>
        <v>75.25</v>
      </c>
      <c r="W72" s="82"/>
      <c r="X72" s="82"/>
      <c r="Y72" s="93"/>
      <c r="Z72" s="97" t="str">
        <f t="shared" si="15"/>
        <v>PASSED</v>
      </c>
      <c r="AA72" s="98"/>
      <c r="AB72" s="99"/>
    </row>
    <row r="73" ht="15" spans="1:28">
      <c r="A73" s="37">
        <v>22</v>
      </c>
      <c r="B73" s="300" t="str">
        <f>'INPUT DATA'!B74:D74</f>
        <v>ROSALES, RYZA MAE C.</v>
      </c>
      <c r="C73" s="38"/>
      <c r="D73" s="38"/>
      <c r="E73" s="41"/>
      <c r="F73" s="81">
        <v>86</v>
      </c>
      <c r="G73" s="82"/>
      <c r="H73" s="82"/>
      <c r="I73" s="93"/>
      <c r="J73" s="81">
        <v>84</v>
      </c>
      <c r="K73" s="82"/>
      <c r="L73" s="82"/>
      <c r="M73" s="93"/>
      <c r="N73" s="81">
        <v>89</v>
      </c>
      <c r="O73" s="82"/>
      <c r="P73" s="82"/>
      <c r="Q73" s="93"/>
      <c r="R73" s="81">
        <v>90</v>
      </c>
      <c r="S73" s="82"/>
      <c r="T73" s="82"/>
      <c r="U73" s="93"/>
      <c r="V73" s="81">
        <f t="shared" si="13"/>
        <v>87.25</v>
      </c>
      <c r="W73" s="82"/>
      <c r="X73" s="82"/>
      <c r="Y73" s="93"/>
      <c r="Z73" s="97" t="str">
        <f t="shared" si="15"/>
        <v>PASSED</v>
      </c>
      <c r="AA73" s="98"/>
      <c r="AB73" s="99"/>
    </row>
    <row r="74" ht="15" spans="1:28">
      <c r="A74" s="37">
        <v>23</v>
      </c>
      <c r="B74" s="300">
        <f>'INPUT DATA'!B75:D75</f>
        <v>0</v>
      </c>
      <c r="C74" s="38"/>
      <c r="D74" s="38"/>
      <c r="E74" s="41"/>
      <c r="F74" s="81"/>
      <c r="G74" s="82"/>
      <c r="H74" s="82"/>
      <c r="I74" s="93"/>
      <c r="J74" s="81"/>
      <c r="K74" s="82"/>
      <c r="L74" s="82"/>
      <c r="M74" s="93"/>
      <c r="N74" s="81"/>
      <c r="O74" s="82"/>
      <c r="P74" s="82"/>
      <c r="Q74" s="93"/>
      <c r="R74" s="81"/>
      <c r="S74" s="82"/>
      <c r="T74" s="82"/>
      <c r="U74" s="93"/>
      <c r="V74" s="81">
        <f t="shared" si="13"/>
        <v>0</v>
      </c>
      <c r="W74" s="82"/>
      <c r="X74" s="82"/>
      <c r="Y74" s="93"/>
      <c r="Z74" s="97" t="str">
        <f t="shared" si="15"/>
        <v>FAILED</v>
      </c>
      <c r="AA74" s="98"/>
      <c r="AB74" s="99"/>
    </row>
    <row r="75" ht="15" spans="1:28">
      <c r="A75" s="37">
        <v>24</v>
      </c>
      <c r="B75" s="300">
        <f>'INPUT DATA'!B76:D76</f>
        <v>0</v>
      </c>
      <c r="C75" s="38"/>
      <c r="D75" s="38"/>
      <c r="E75" s="41"/>
      <c r="F75" s="81"/>
      <c r="G75" s="82"/>
      <c r="H75" s="82"/>
      <c r="I75" s="93"/>
      <c r="J75" s="81"/>
      <c r="K75" s="82"/>
      <c r="L75" s="82"/>
      <c r="M75" s="93"/>
      <c r="N75" s="81"/>
      <c r="O75" s="82"/>
      <c r="P75" s="82"/>
      <c r="Q75" s="93"/>
      <c r="R75" s="81"/>
      <c r="S75" s="82"/>
      <c r="T75" s="82"/>
      <c r="U75" s="93"/>
      <c r="V75" s="81">
        <f t="shared" si="13"/>
        <v>0</v>
      </c>
      <c r="W75" s="82"/>
      <c r="X75" s="82"/>
      <c r="Y75" s="93"/>
      <c r="Z75" s="97" t="str">
        <f t="shared" si="15"/>
        <v>FAILED</v>
      </c>
      <c r="AA75" s="98"/>
      <c r="AB75" s="99"/>
    </row>
    <row r="76" ht="15" spans="1:28">
      <c r="A76" s="37">
        <v>25</v>
      </c>
      <c r="B76" s="300">
        <f>'INPUT DATA'!B77:D77</f>
        <v>0</v>
      </c>
      <c r="C76" s="38"/>
      <c r="D76" s="38"/>
      <c r="E76" s="41"/>
      <c r="F76" s="81"/>
      <c r="G76" s="82"/>
      <c r="H76" s="82"/>
      <c r="I76" s="93"/>
      <c r="J76" s="81"/>
      <c r="K76" s="82"/>
      <c r="L76" s="82"/>
      <c r="M76" s="93"/>
      <c r="N76" s="81"/>
      <c r="O76" s="82"/>
      <c r="P76" s="82"/>
      <c r="Q76" s="93"/>
      <c r="R76" s="81"/>
      <c r="S76" s="82"/>
      <c r="T76" s="82"/>
      <c r="U76" s="93"/>
      <c r="V76" s="81">
        <f t="shared" si="13"/>
        <v>0</v>
      </c>
      <c r="W76" s="82"/>
      <c r="X76" s="82"/>
      <c r="Y76" s="93"/>
      <c r="Z76" s="97" t="str">
        <f t="shared" si="15"/>
        <v>FAILED</v>
      </c>
      <c r="AA76" s="98"/>
      <c r="AB76" s="99"/>
    </row>
    <row r="77" ht="15" hidden="1" spans="1:28">
      <c r="A77" s="42">
        <v>26</v>
      </c>
      <c r="B77" s="336">
        <f>'INPUT DATA'!B78:D78</f>
        <v>0</v>
      </c>
      <c r="C77" s="107"/>
      <c r="D77" s="107"/>
      <c r="E77" s="108"/>
      <c r="F77" s="81"/>
      <c r="G77" s="82"/>
      <c r="H77" s="82"/>
      <c r="I77" s="93"/>
      <c r="J77" s="81"/>
      <c r="K77" s="82"/>
      <c r="L77" s="82"/>
      <c r="M77" s="93"/>
      <c r="N77" s="81"/>
      <c r="O77" s="82"/>
      <c r="P77" s="82"/>
      <c r="Q77" s="93"/>
      <c r="R77" s="81"/>
      <c r="S77" s="82"/>
      <c r="T77" s="82"/>
      <c r="U77" s="93"/>
      <c r="V77" s="81">
        <f t="shared" ref="V77:V86" si="16">SUM(F77,J77,N77,R77)/4</f>
        <v>0</v>
      </c>
      <c r="W77" s="82"/>
      <c r="X77" s="82"/>
      <c r="Y77" s="93"/>
      <c r="Z77" s="97" t="str">
        <f t="shared" si="15"/>
        <v>FAILED</v>
      </c>
      <c r="AA77" s="98"/>
      <c r="AB77" s="99"/>
    </row>
    <row r="78" ht="15" hidden="1" spans="1:28">
      <c r="A78" s="42">
        <v>27</v>
      </c>
      <c r="B78" s="300">
        <f>'INPUT DATA'!B79:D79</f>
        <v>0</v>
      </c>
      <c r="C78" s="109"/>
      <c r="D78" s="109"/>
      <c r="E78" s="110"/>
      <c r="F78" s="81"/>
      <c r="G78" s="82"/>
      <c r="H78" s="82"/>
      <c r="I78" s="93"/>
      <c r="J78" s="81"/>
      <c r="K78" s="82"/>
      <c r="L78" s="82"/>
      <c r="M78" s="93"/>
      <c r="N78" s="81"/>
      <c r="O78" s="82"/>
      <c r="P78" s="82"/>
      <c r="Q78" s="93"/>
      <c r="R78" s="81"/>
      <c r="S78" s="82"/>
      <c r="T78" s="82"/>
      <c r="U78" s="93"/>
      <c r="V78" s="81">
        <f t="shared" si="16"/>
        <v>0</v>
      </c>
      <c r="W78" s="82"/>
      <c r="X78" s="82"/>
      <c r="Y78" s="93"/>
      <c r="Z78" s="97" t="str">
        <f t="shared" si="15"/>
        <v>FAILED</v>
      </c>
      <c r="AA78" s="98"/>
      <c r="AB78" s="99"/>
    </row>
    <row r="79" ht="15" hidden="1" spans="1:28">
      <c r="A79" s="42">
        <v>28</v>
      </c>
      <c r="B79" s="336">
        <f>'INPUT DATA'!B80:D80</f>
        <v>0</v>
      </c>
      <c r="C79" s="107"/>
      <c r="D79" s="107"/>
      <c r="E79" s="108"/>
      <c r="F79" s="81"/>
      <c r="G79" s="82"/>
      <c r="H79" s="82"/>
      <c r="I79" s="93"/>
      <c r="J79" s="81"/>
      <c r="K79" s="82"/>
      <c r="L79" s="82"/>
      <c r="M79" s="93"/>
      <c r="N79" s="81"/>
      <c r="O79" s="82"/>
      <c r="P79" s="82"/>
      <c r="Q79" s="93"/>
      <c r="R79" s="81"/>
      <c r="S79" s="82"/>
      <c r="T79" s="82"/>
      <c r="U79" s="93"/>
      <c r="V79" s="81">
        <f t="shared" si="16"/>
        <v>0</v>
      </c>
      <c r="W79" s="82"/>
      <c r="X79" s="82"/>
      <c r="Y79" s="93"/>
      <c r="Z79" s="97" t="str">
        <f t="shared" si="15"/>
        <v>FAILED</v>
      </c>
      <c r="AA79" s="98"/>
      <c r="AB79" s="99"/>
    </row>
    <row r="80" ht="15" hidden="1" spans="1:28">
      <c r="A80" s="42">
        <v>29</v>
      </c>
      <c r="B80" s="300">
        <f>'INPUT DATA'!B81:D81</f>
        <v>0</v>
      </c>
      <c r="C80" s="107"/>
      <c r="D80" s="107"/>
      <c r="E80" s="108"/>
      <c r="F80" s="81"/>
      <c r="G80" s="82"/>
      <c r="H80" s="82"/>
      <c r="I80" s="93"/>
      <c r="J80" s="81"/>
      <c r="K80" s="82"/>
      <c r="L80" s="82"/>
      <c r="M80" s="93"/>
      <c r="N80" s="81"/>
      <c r="O80" s="82"/>
      <c r="P80" s="82"/>
      <c r="Q80" s="93"/>
      <c r="R80" s="81"/>
      <c r="S80" s="82"/>
      <c r="T80" s="82"/>
      <c r="U80" s="93"/>
      <c r="V80" s="81">
        <f t="shared" si="16"/>
        <v>0</v>
      </c>
      <c r="W80" s="82"/>
      <c r="X80" s="82"/>
      <c r="Y80" s="93"/>
      <c r="Z80" s="97" t="str">
        <f t="shared" si="15"/>
        <v>FAILED</v>
      </c>
      <c r="AA80" s="98"/>
      <c r="AB80" s="99"/>
    </row>
    <row r="81" ht="15" hidden="1" spans="1:28">
      <c r="A81" s="42">
        <v>30</v>
      </c>
      <c r="B81" s="300">
        <f>'INPUT DATA'!B82:D82</f>
        <v>0</v>
      </c>
      <c r="C81" s="107"/>
      <c r="D81" s="107"/>
      <c r="E81" s="108"/>
      <c r="F81" s="81"/>
      <c r="G81" s="82"/>
      <c r="H81" s="82"/>
      <c r="I81" s="93"/>
      <c r="J81" s="81"/>
      <c r="K81" s="82"/>
      <c r="L81" s="82"/>
      <c r="M81" s="93"/>
      <c r="N81" s="81"/>
      <c r="O81" s="82"/>
      <c r="P81" s="82"/>
      <c r="Q81" s="93"/>
      <c r="R81" s="81"/>
      <c r="S81" s="82"/>
      <c r="T81" s="82"/>
      <c r="U81" s="93"/>
      <c r="V81" s="81">
        <f t="shared" si="16"/>
        <v>0</v>
      </c>
      <c r="W81" s="82"/>
      <c r="X81" s="82"/>
      <c r="Y81" s="93"/>
      <c r="Z81" s="97" t="str">
        <f t="shared" si="15"/>
        <v>FAILED</v>
      </c>
      <c r="AA81" s="98"/>
      <c r="AB81" s="99"/>
    </row>
    <row r="82" ht="15" hidden="1" spans="1:28">
      <c r="A82" s="42">
        <v>31</v>
      </c>
      <c r="B82" s="300">
        <f>'INPUT DATA'!B83:D83</f>
        <v>0</v>
      </c>
      <c r="C82" s="107"/>
      <c r="D82" s="107"/>
      <c r="E82" s="108"/>
      <c r="F82" s="81"/>
      <c r="G82" s="82"/>
      <c r="H82" s="82"/>
      <c r="I82" s="93"/>
      <c r="J82" s="81"/>
      <c r="K82" s="82"/>
      <c r="L82" s="82"/>
      <c r="M82" s="93"/>
      <c r="N82" s="81"/>
      <c r="O82" s="82"/>
      <c r="P82" s="82"/>
      <c r="Q82" s="93"/>
      <c r="R82" s="81"/>
      <c r="S82" s="82"/>
      <c r="T82" s="82"/>
      <c r="U82" s="93"/>
      <c r="V82" s="81">
        <f t="shared" si="16"/>
        <v>0</v>
      </c>
      <c r="W82" s="82"/>
      <c r="X82" s="82"/>
      <c r="Y82" s="93"/>
      <c r="Z82" s="97"/>
      <c r="AA82" s="98"/>
      <c r="AB82" s="99"/>
    </row>
    <row r="83" ht="15" hidden="1" spans="1:28">
      <c r="A83" s="42">
        <v>32</v>
      </c>
      <c r="B83" s="300">
        <f>'INPUT DATA'!B84:D84</f>
        <v>0</v>
      </c>
      <c r="C83" s="107"/>
      <c r="D83" s="107"/>
      <c r="E83" s="108"/>
      <c r="F83" s="81"/>
      <c r="G83" s="82"/>
      <c r="H83" s="82"/>
      <c r="I83" s="93"/>
      <c r="J83" s="81"/>
      <c r="K83" s="82"/>
      <c r="L83" s="82"/>
      <c r="M83" s="93"/>
      <c r="N83" s="81"/>
      <c r="O83" s="82"/>
      <c r="P83" s="82"/>
      <c r="Q83" s="93"/>
      <c r="R83" s="81"/>
      <c r="S83" s="82"/>
      <c r="T83" s="82"/>
      <c r="U83" s="93"/>
      <c r="V83" s="81">
        <f t="shared" si="16"/>
        <v>0</v>
      </c>
      <c r="W83" s="82"/>
      <c r="X83" s="82"/>
      <c r="Y83" s="93"/>
      <c r="Z83" s="97"/>
      <c r="AA83" s="98"/>
      <c r="AB83" s="99"/>
    </row>
    <row r="84" ht="15" hidden="1" spans="1:28">
      <c r="A84" s="42">
        <v>33</v>
      </c>
      <c r="B84" s="300">
        <f>'INPUT DATA'!B85:D85</f>
        <v>0</v>
      </c>
      <c r="C84" s="107"/>
      <c r="D84" s="107"/>
      <c r="E84" s="108"/>
      <c r="F84" s="81"/>
      <c r="G84" s="82"/>
      <c r="H84" s="82"/>
      <c r="I84" s="93"/>
      <c r="J84" s="81"/>
      <c r="K84" s="82"/>
      <c r="L84" s="82"/>
      <c r="M84" s="93"/>
      <c r="N84" s="81"/>
      <c r="O84" s="82"/>
      <c r="P84" s="82"/>
      <c r="Q84" s="93"/>
      <c r="R84" s="81"/>
      <c r="S84" s="82"/>
      <c r="T84" s="82"/>
      <c r="U84" s="93"/>
      <c r="V84" s="81">
        <f t="shared" si="16"/>
        <v>0</v>
      </c>
      <c r="W84" s="82"/>
      <c r="X84" s="82"/>
      <c r="Y84" s="93"/>
      <c r="Z84" s="97"/>
      <c r="AA84" s="98"/>
      <c r="AB84" s="99"/>
    </row>
    <row r="85" ht="15" hidden="1" spans="1:28">
      <c r="A85" s="42">
        <v>34</v>
      </c>
      <c r="B85" s="300">
        <f>'INPUT DATA'!B86:D86</f>
        <v>0</v>
      </c>
      <c r="C85" s="109"/>
      <c r="D85" s="109"/>
      <c r="E85" s="109"/>
      <c r="F85" s="81"/>
      <c r="G85" s="82"/>
      <c r="H85" s="82"/>
      <c r="I85" s="93"/>
      <c r="J85" s="81"/>
      <c r="K85" s="82"/>
      <c r="L85" s="82"/>
      <c r="M85" s="93"/>
      <c r="N85" s="81"/>
      <c r="O85" s="82"/>
      <c r="P85" s="82"/>
      <c r="Q85" s="93"/>
      <c r="R85" s="81"/>
      <c r="S85" s="82"/>
      <c r="T85" s="82"/>
      <c r="U85" s="93"/>
      <c r="V85" s="81">
        <f t="shared" si="16"/>
        <v>0</v>
      </c>
      <c r="W85" s="82"/>
      <c r="X85" s="82"/>
      <c r="Y85" s="93"/>
      <c r="Z85" s="97"/>
      <c r="AA85" s="98"/>
      <c r="AB85" s="99"/>
    </row>
    <row r="86" ht="15" hidden="1" spans="1:28">
      <c r="A86" s="42">
        <v>35</v>
      </c>
      <c r="B86" s="300">
        <f>'INPUT DATA'!B87:D87</f>
        <v>0</v>
      </c>
      <c r="C86" s="109"/>
      <c r="D86" s="109"/>
      <c r="E86" s="110"/>
      <c r="F86" s="81"/>
      <c r="G86" s="82"/>
      <c r="H86" s="82"/>
      <c r="I86" s="93"/>
      <c r="J86" s="81"/>
      <c r="K86" s="82"/>
      <c r="L86" s="82"/>
      <c r="M86" s="93"/>
      <c r="N86" s="81"/>
      <c r="O86" s="82"/>
      <c r="P86" s="82"/>
      <c r="Q86" s="93"/>
      <c r="R86" s="81"/>
      <c r="S86" s="82"/>
      <c r="T86" s="82"/>
      <c r="U86" s="93"/>
      <c r="V86" s="81">
        <f t="shared" si="16"/>
        <v>0</v>
      </c>
      <c r="W86" s="82"/>
      <c r="X86" s="82"/>
      <c r="Y86" s="93"/>
      <c r="Z86" s="97"/>
      <c r="AA86" s="98"/>
      <c r="AB86" s="99"/>
    </row>
  </sheetData>
  <mergeCells count="491">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B7:E10"/>
    <mergeCell ref="A1:AB2"/>
    <mergeCell ref="Z9:AB10"/>
  </mergeCells>
  <dataValidations count="3">
    <dataValidation allowBlank="1" showErrorMessage="1" sqref="A11:AB11 A51:U51 F12:F50 J32:J50 N12:N50 R12:R50 S12:U30 G41:I50 S41:U50 F52:U86 V12:AB86 K41:M50 K12:M29 G12:J30 O41:Q50 O12:Q30"/>
    <dataValidation allowBlank="1" showInputMessage="1" showErrorMessage="1" prompt="Do not type name of learners here. Go to INPUT DATA sheet." sqref="B12:B31 B33:B50 B52:B86"/>
    <dataValidation allowBlank="1" showErrorMessage="1" prompt="EITHER WRITE YOUR OWN HPS OR EMPTY" sqref="F9:AB10"/>
  </dataValidations>
  <pageMargins left="0.2" right="0.2" top="0.25" bottom="0.25" header="0.3" footer="0.3"/>
  <pageSetup paperSize="9" scale="70"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B87"/>
  <sheetViews>
    <sheetView zoomScale="101" zoomScaleNormal="101" topLeftCell="A15" workbookViewId="0">
      <selection activeCell="R26" sqref="R26:U26"/>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62</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349" t="s">
        <v>2</v>
      </c>
      <c r="H5" s="350"/>
      <c r="I5" s="350"/>
      <c r="J5" s="357"/>
      <c r="K5" s="56"/>
      <c r="L5" s="57" t="s">
        <v>3</v>
      </c>
      <c r="M5" s="57"/>
      <c r="N5" s="58"/>
      <c r="O5" s="349" t="s">
        <v>63</v>
      </c>
      <c r="P5" s="350"/>
      <c r="Q5" s="350"/>
      <c r="R5" s="357"/>
      <c r="S5" s="317"/>
      <c r="T5" s="317"/>
      <c r="U5" s="317"/>
      <c r="V5" s="317"/>
      <c r="W5" s="318"/>
      <c r="X5" s="318"/>
      <c r="Y5" s="318"/>
      <c r="Z5" s="318"/>
      <c r="AA5" s="318"/>
      <c r="AB5" s="318"/>
    </row>
    <row r="6" ht="18.15" spans="1:28">
      <c r="A6" s="3"/>
      <c r="B6" s="5" t="s">
        <v>5</v>
      </c>
      <c r="C6" s="5"/>
      <c r="D6" s="5"/>
      <c r="E6" s="5"/>
      <c r="F6" s="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77</v>
      </c>
      <c r="L8" s="60"/>
      <c r="M8" s="60"/>
      <c r="N8" s="60"/>
      <c r="O8" s="60"/>
      <c r="P8" s="60"/>
      <c r="Q8" s="60"/>
      <c r="R8" s="79"/>
      <c r="S8" s="18" t="s">
        <v>15</v>
      </c>
      <c r="T8" s="19"/>
      <c r="U8" s="19"/>
      <c r="V8" s="19"/>
      <c r="W8" s="59" t="s">
        <v>78</v>
      </c>
      <c r="X8" s="59"/>
      <c r="Y8" s="59"/>
      <c r="Z8" s="59"/>
      <c r="AA8" s="59"/>
      <c r="AB8" s="78"/>
    </row>
    <row r="9" ht="15.6" spans="1:28">
      <c r="A9" s="15"/>
      <c r="B9" s="16"/>
      <c r="C9" s="16"/>
      <c r="D9" s="16"/>
      <c r="E9" s="17"/>
      <c r="F9" s="20" t="s">
        <v>78</v>
      </c>
      <c r="G9" s="21"/>
      <c r="H9" s="21"/>
      <c r="I9" s="61"/>
      <c r="J9" s="20" t="s">
        <v>78</v>
      </c>
      <c r="K9" s="21"/>
      <c r="L9" s="21"/>
      <c r="M9" s="61"/>
      <c r="N9" s="20" t="s">
        <v>78</v>
      </c>
      <c r="O9" s="21"/>
      <c r="P9" s="21"/>
      <c r="Q9" s="61"/>
      <c r="R9" s="20" t="s">
        <v>78</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75" spans="1:28">
      <c r="A12" s="32">
        <v>1</v>
      </c>
      <c r="B12" s="300" t="str">
        <f>'INPUT DATA'!B12:D12</f>
        <v>ANUBLING, REGIE C.</v>
      </c>
      <c r="C12" s="34"/>
      <c r="D12" s="34"/>
      <c r="E12" s="34"/>
      <c r="F12" s="81">
        <v>77</v>
      </c>
      <c r="G12" s="82"/>
      <c r="H12" s="82"/>
      <c r="I12" s="93"/>
      <c r="J12" s="81">
        <v>79</v>
      </c>
      <c r="K12" s="82"/>
      <c r="L12" s="82"/>
      <c r="M12" s="93"/>
      <c r="N12" s="81">
        <v>79</v>
      </c>
      <c r="O12" s="82"/>
      <c r="P12" s="82"/>
      <c r="Q12" s="93"/>
      <c r="R12" s="81">
        <v>80</v>
      </c>
      <c r="S12" s="82"/>
      <c r="T12" s="82"/>
      <c r="U12" s="93"/>
      <c r="V12" s="81">
        <f>SUM(F12,J12,N12,R12)/4</f>
        <v>78.75</v>
      </c>
      <c r="W12" s="82"/>
      <c r="X12" s="82"/>
      <c r="Y12" s="93"/>
      <c r="Z12" s="94" t="str">
        <f>IF(V12&gt;=75,"PASSED","FAILED")</f>
        <v>PASSED</v>
      </c>
      <c r="AA12" s="95"/>
      <c r="AB12" s="96"/>
    </row>
    <row r="13" ht="15.75" spans="1:28">
      <c r="A13" s="37">
        <v>2</v>
      </c>
      <c r="B13" s="300" t="str">
        <f>'INPUT DATA'!B13:D13</f>
        <v>BANGCOY, JOHN PAUL P.</v>
      </c>
      <c r="C13" s="38"/>
      <c r="D13" s="38"/>
      <c r="E13" s="38"/>
      <c r="F13" s="81"/>
      <c r="G13" s="82"/>
      <c r="H13" s="82"/>
      <c r="I13" s="93"/>
      <c r="J13" s="81"/>
      <c r="K13" s="82"/>
      <c r="L13" s="82"/>
      <c r="M13" s="93"/>
      <c r="N13" s="81"/>
      <c r="O13" s="82"/>
      <c r="P13" s="82"/>
      <c r="Q13" s="93"/>
      <c r="R13" s="81"/>
      <c r="S13" s="82"/>
      <c r="T13" s="82"/>
      <c r="U13" s="93"/>
      <c r="V13" s="81">
        <f t="shared" ref="V13:V36" si="0">SUM(F13,J13,N13,R13)/4</f>
        <v>0</v>
      </c>
      <c r="W13" s="82"/>
      <c r="X13" s="82"/>
      <c r="Y13" s="93"/>
      <c r="Z13" s="97" t="str">
        <f t="shared" ref="Z13:Z36" si="1">IF(V13&gt;=75,"PASSED","FAILED")</f>
        <v>FAILED</v>
      </c>
      <c r="AA13" s="95"/>
      <c r="AB13" s="99"/>
    </row>
    <row r="14" ht="15.75" spans="1:28">
      <c r="A14" s="37">
        <v>3</v>
      </c>
      <c r="B14" s="300" t="str">
        <f>'INPUT DATA'!B14:D14</f>
        <v>BARRIENTOS, JOHN PAUL M.</v>
      </c>
      <c r="C14" s="38"/>
      <c r="D14" s="38"/>
      <c r="E14" s="41"/>
      <c r="F14" s="81">
        <v>86</v>
      </c>
      <c r="G14" s="82"/>
      <c r="H14" s="82"/>
      <c r="I14" s="93"/>
      <c r="J14" s="81">
        <v>89</v>
      </c>
      <c r="K14" s="82"/>
      <c r="L14" s="82"/>
      <c r="M14" s="93"/>
      <c r="N14" s="81">
        <v>90</v>
      </c>
      <c r="O14" s="82"/>
      <c r="P14" s="82"/>
      <c r="Q14" s="93"/>
      <c r="R14" s="81">
        <v>90</v>
      </c>
      <c r="S14" s="82"/>
      <c r="T14" s="82"/>
      <c r="U14" s="93"/>
      <c r="V14" s="81">
        <f t="shared" si="0"/>
        <v>88.75</v>
      </c>
      <c r="W14" s="82"/>
      <c r="X14" s="82"/>
      <c r="Y14" s="93"/>
      <c r="Z14" s="97" t="str">
        <f t="shared" si="1"/>
        <v>PASSED</v>
      </c>
      <c r="AA14" s="95"/>
      <c r="AB14" s="99"/>
    </row>
    <row r="15" ht="15.75" spans="1:28">
      <c r="A15" s="37">
        <v>4</v>
      </c>
      <c r="B15" s="300" t="str">
        <f>'INPUT DATA'!B15:D15</f>
        <v>BRIGOLE, ROMEL</v>
      </c>
      <c r="C15" s="38"/>
      <c r="D15" s="38"/>
      <c r="E15" s="41"/>
      <c r="F15" s="81"/>
      <c r="G15" s="82"/>
      <c r="H15" s="82"/>
      <c r="I15" s="93"/>
      <c r="J15" s="81"/>
      <c r="K15" s="82"/>
      <c r="L15" s="82"/>
      <c r="M15" s="93"/>
      <c r="N15" s="81"/>
      <c r="O15" s="82"/>
      <c r="P15" s="82"/>
      <c r="Q15" s="93"/>
      <c r="R15" s="81"/>
      <c r="S15" s="82"/>
      <c r="T15" s="82"/>
      <c r="U15" s="93"/>
      <c r="V15" s="81">
        <f t="shared" si="0"/>
        <v>0</v>
      </c>
      <c r="W15" s="82"/>
      <c r="X15" s="82"/>
      <c r="Y15" s="93"/>
      <c r="Z15" s="97" t="str">
        <f t="shared" si="1"/>
        <v>FAILED</v>
      </c>
      <c r="AA15" s="95"/>
      <c r="AB15" s="99"/>
    </row>
    <row r="16" ht="15.75" spans="1:28">
      <c r="A16" s="37">
        <v>5</v>
      </c>
      <c r="B16" s="300" t="str">
        <f>'INPUT DATA'!B16:D16</f>
        <v>BULAHAN,ROVIC L.</v>
      </c>
      <c r="C16" s="38"/>
      <c r="D16" s="38"/>
      <c r="E16" s="41"/>
      <c r="F16" s="81">
        <v>82</v>
      </c>
      <c r="G16" s="82"/>
      <c r="H16" s="82"/>
      <c r="I16" s="93"/>
      <c r="J16" s="81">
        <v>84</v>
      </c>
      <c r="K16" s="82"/>
      <c r="L16" s="82"/>
      <c r="M16" s="93"/>
      <c r="N16" s="81">
        <v>86</v>
      </c>
      <c r="O16" s="82"/>
      <c r="P16" s="82"/>
      <c r="Q16" s="93"/>
      <c r="R16" s="81">
        <v>87</v>
      </c>
      <c r="S16" s="82"/>
      <c r="T16" s="82"/>
      <c r="U16" s="93"/>
      <c r="V16" s="81">
        <f t="shared" si="0"/>
        <v>84.75</v>
      </c>
      <c r="W16" s="82"/>
      <c r="X16" s="82"/>
      <c r="Y16" s="93"/>
      <c r="Z16" s="97" t="str">
        <f t="shared" ref="Z16" si="2">IF(V16&gt;=75,"PASSED","FAILED")</f>
        <v>PASSED</v>
      </c>
      <c r="AA16" s="95"/>
      <c r="AB16" s="99"/>
    </row>
    <row r="17" ht="15.75" spans="1:28">
      <c r="A17" s="37">
        <v>6</v>
      </c>
      <c r="B17" s="300" t="str">
        <f>'INPUT DATA'!B17:D17</f>
        <v>CIJAS, ROLIE JR. A.</v>
      </c>
      <c r="C17" s="38"/>
      <c r="D17" s="38"/>
      <c r="E17" s="41"/>
      <c r="F17" s="81">
        <v>89</v>
      </c>
      <c r="G17" s="82"/>
      <c r="H17" s="82"/>
      <c r="I17" s="93"/>
      <c r="J17" s="81">
        <v>91</v>
      </c>
      <c r="K17" s="82"/>
      <c r="L17" s="82"/>
      <c r="M17" s="93"/>
      <c r="N17" s="81">
        <v>91</v>
      </c>
      <c r="O17" s="82"/>
      <c r="P17" s="82"/>
      <c r="Q17" s="93"/>
      <c r="R17" s="81">
        <v>92</v>
      </c>
      <c r="S17" s="82"/>
      <c r="T17" s="82"/>
      <c r="U17" s="93"/>
      <c r="V17" s="81">
        <f t="shared" si="0"/>
        <v>90.75</v>
      </c>
      <c r="W17" s="82"/>
      <c r="X17" s="82"/>
      <c r="Y17" s="93"/>
      <c r="Z17" s="97" t="str">
        <f t="shared" si="1"/>
        <v>PASSED</v>
      </c>
      <c r="AA17" s="95"/>
      <c r="AB17" s="99"/>
    </row>
    <row r="18" ht="15.75" spans="1:28">
      <c r="A18" s="37">
        <v>7</v>
      </c>
      <c r="B18" s="300" t="str">
        <f>'INPUT DATA'!B18:D18</f>
        <v>GARCIA, DAVE P.</v>
      </c>
      <c r="C18" s="38"/>
      <c r="D18" s="38"/>
      <c r="E18" s="41"/>
      <c r="F18" s="81">
        <v>84</v>
      </c>
      <c r="G18" s="82"/>
      <c r="H18" s="82"/>
      <c r="I18" s="93"/>
      <c r="J18" s="81">
        <v>85</v>
      </c>
      <c r="K18" s="82"/>
      <c r="L18" s="82"/>
      <c r="M18" s="93"/>
      <c r="N18" s="81">
        <v>84</v>
      </c>
      <c r="O18" s="82"/>
      <c r="P18" s="82"/>
      <c r="Q18" s="93"/>
      <c r="R18" s="81">
        <v>85</v>
      </c>
      <c r="S18" s="82"/>
      <c r="T18" s="82"/>
      <c r="U18" s="93"/>
      <c r="V18" s="81">
        <f t="shared" si="0"/>
        <v>84.5</v>
      </c>
      <c r="W18" s="82"/>
      <c r="X18" s="82"/>
      <c r="Y18" s="93"/>
      <c r="Z18" s="97" t="str">
        <f t="shared" si="1"/>
        <v>PASSED</v>
      </c>
      <c r="AA18" s="95"/>
      <c r="AB18" s="99"/>
    </row>
    <row r="19" ht="15.75" spans="1:28">
      <c r="A19" s="37">
        <v>8</v>
      </c>
      <c r="B19" s="300" t="str">
        <f>'INPUT DATA'!B19:D19</f>
        <v>GONZALES, JAMES A.</v>
      </c>
      <c r="C19" s="38"/>
      <c r="D19" s="38">
        <v>0</v>
      </c>
      <c r="E19" s="41"/>
      <c r="F19" s="81">
        <v>87</v>
      </c>
      <c r="G19" s="82"/>
      <c r="H19" s="82"/>
      <c r="I19" s="93"/>
      <c r="J19" s="81">
        <v>90</v>
      </c>
      <c r="K19" s="82"/>
      <c r="L19" s="82"/>
      <c r="M19" s="93"/>
      <c r="N19" s="81">
        <v>90</v>
      </c>
      <c r="O19" s="82"/>
      <c r="P19" s="82"/>
      <c r="Q19" s="93"/>
      <c r="R19" s="81">
        <v>90</v>
      </c>
      <c r="S19" s="82"/>
      <c r="T19" s="82"/>
      <c r="U19" s="93"/>
      <c r="V19" s="81">
        <f t="shared" si="0"/>
        <v>89.25</v>
      </c>
      <c r="W19" s="82"/>
      <c r="X19" s="82"/>
      <c r="Y19" s="93"/>
      <c r="Z19" s="97" t="str">
        <f t="shared" si="1"/>
        <v>PASSED</v>
      </c>
      <c r="AA19" s="95"/>
      <c r="AB19" s="99"/>
    </row>
    <row r="20" ht="15.75" spans="1:28">
      <c r="A20" s="37">
        <v>9</v>
      </c>
      <c r="B20" s="300" t="str">
        <f>'INPUT DATA'!B20:D20</f>
        <v>LAGUNA, J.B. B.</v>
      </c>
      <c r="C20" s="38"/>
      <c r="D20" s="38"/>
      <c r="E20" s="41"/>
      <c r="F20" s="81">
        <v>84</v>
      </c>
      <c r="G20" s="82"/>
      <c r="H20" s="82"/>
      <c r="I20" s="93"/>
      <c r="J20" s="81">
        <v>86</v>
      </c>
      <c r="K20" s="82"/>
      <c r="L20" s="82"/>
      <c r="M20" s="93"/>
      <c r="N20" s="81">
        <v>86</v>
      </c>
      <c r="O20" s="82"/>
      <c r="P20" s="82"/>
      <c r="Q20" s="93"/>
      <c r="R20" s="81">
        <v>87</v>
      </c>
      <c r="S20" s="82"/>
      <c r="T20" s="82"/>
      <c r="U20" s="93"/>
      <c r="V20" s="81">
        <f t="shared" si="0"/>
        <v>85.75</v>
      </c>
      <c r="W20" s="82"/>
      <c r="X20" s="82"/>
      <c r="Y20" s="93"/>
      <c r="Z20" s="97" t="str">
        <f t="shared" si="1"/>
        <v>PASSED</v>
      </c>
      <c r="AA20" s="95"/>
      <c r="AB20" s="99"/>
    </row>
    <row r="21" ht="15.75" spans="1:28">
      <c r="A21" s="37">
        <v>10</v>
      </c>
      <c r="B21" s="300" t="str">
        <f>'INPUT DATA'!B21:D21</f>
        <v>LARODA, STEVEN S.</v>
      </c>
      <c r="C21" s="38"/>
      <c r="D21" s="38"/>
      <c r="E21" s="41"/>
      <c r="F21" s="81">
        <v>77</v>
      </c>
      <c r="G21" s="82"/>
      <c r="H21" s="82"/>
      <c r="I21" s="93"/>
      <c r="J21" s="81">
        <v>79</v>
      </c>
      <c r="K21" s="82"/>
      <c r="L21" s="82"/>
      <c r="M21" s="93"/>
      <c r="N21" s="81">
        <v>79</v>
      </c>
      <c r="O21" s="82"/>
      <c r="P21" s="82"/>
      <c r="Q21" s="93"/>
      <c r="R21" s="81">
        <v>80</v>
      </c>
      <c r="S21" s="82"/>
      <c r="T21" s="82"/>
      <c r="U21" s="93"/>
      <c r="V21" s="81">
        <f t="shared" si="0"/>
        <v>78.75</v>
      </c>
      <c r="W21" s="82"/>
      <c r="X21" s="82"/>
      <c r="Y21" s="93"/>
      <c r="Z21" s="97" t="str">
        <f t="shared" si="1"/>
        <v>PASSED</v>
      </c>
      <c r="AA21" s="95"/>
      <c r="AB21" s="99"/>
    </row>
    <row r="22" ht="15.75" spans="1:28">
      <c r="A22" s="37">
        <v>11</v>
      </c>
      <c r="B22" s="300" t="str">
        <f>'INPUT DATA'!B22:D22</f>
        <v>MERINO, SEDRIK R.</v>
      </c>
      <c r="C22" s="38"/>
      <c r="D22" s="38">
        <v>0</v>
      </c>
      <c r="E22" s="41"/>
      <c r="F22" s="81"/>
      <c r="G22" s="82"/>
      <c r="H22" s="82"/>
      <c r="I22" s="93"/>
      <c r="J22" s="81"/>
      <c r="K22" s="82"/>
      <c r="L22" s="82"/>
      <c r="M22" s="93"/>
      <c r="N22" s="81"/>
      <c r="O22" s="82"/>
      <c r="P22" s="82"/>
      <c r="Q22" s="93"/>
      <c r="R22" s="81"/>
      <c r="S22" s="82"/>
      <c r="T22" s="82"/>
      <c r="U22" s="93"/>
      <c r="V22" s="81">
        <f t="shared" si="0"/>
        <v>0</v>
      </c>
      <c r="W22" s="82"/>
      <c r="X22" s="82"/>
      <c r="Y22" s="93"/>
      <c r="Z22" s="97" t="str">
        <f t="shared" si="1"/>
        <v>FAILED</v>
      </c>
      <c r="AA22" s="95"/>
      <c r="AB22" s="99"/>
    </row>
    <row r="23" ht="15.75" spans="1:28">
      <c r="A23" s="37">
        <v>12</v>
      </c>
      <c r="B23" s="300" t="str">
        <f>'INPUT DATA'!B23:D23</f>
        <v>MONTERAS, VINCENT S.</v>
      </c>
      <c r="C23" s="38"/>
      <c r="D23" s="38"/>
      <c r="E23" s="41"/>
      <c r="F23" s="81">
        <v>77</v>
      </c>
      <c r="G23" s="82"/>
      <c r="H23" s="82"/>
      <c r="I23" s="93"/>
      <c r="J23" s="81">
        <v>79</v>
      </c>
      <c r="K23" s="82"/>
      <c r="L23" s="82"/>
      <c r="M23" s="93"/>
      <c r="N23" s="81">
        <v>79</v>
      </c>
      <c r="O23" s="82"/>
      <c r="P23" s="82"/>
      <c r="Q23" s="93"/>
      <c r="R23" s="81">
        <v>80</v>
      </c>
      <c r="S23" s="82"/>
      <c r="T23" s="82"/>
      <c r="U23" s="93"/>
      <c r="V23" s="81">
        <f t="shared" si="0"/>
        <v>78.75</v>
      </c>
      <c r="W23" s="82"/>
      <c r="X23" s="82"/>
      <c r="Y23" s="93"/>
      <c r="Z23" s="97" t="str">
        <f t="shared" si="1"/>
        <v>PASSED</v>
      </c>
      <c r="AA23" s="95"/>
      <c r="AB23" s="99"/>
    </row>
    <row r="24" ht="15.75" spans="1:28">
      <c r="A24" s="37">
        <v>13</v>
      </c>
      <c r="B24" s="300" t="str">
        <f>'INPUT DATA'!B24:D24</f>
        <v>NACAWILI, ANDRIE L.</v>
      </c>
      <c r="C24" s="38"/>
      <c r="D24" s="38"/>
      <c r="E24" s="41"/>
      <c r="F24" s="81">
        <v>86</v>
      </c>
      <c r="G24" s="82"/>
      <c r="H24" s="82"/>
      <c r="I24" s="93"/>
      <c r="J24" s="81">
        <v>89</v>
      </c>
      <c r="K24" s="82"/>
      <c r="L24" s="82"/>
      <c r="M24" s="93"/>
      <c r="N24" s="81">
        <v>89</v>
      </c>
      <c r="O24" s="82"/>
      <c r="P24" s="82"/>
      <c r="Q24" s="93"/>
      <c r="R24" s="81">
        <v>90</v>
      </c>
      <c r="S24" s="82"/>
      <c r="T24" s="82"/>
      <c r="U24" s="93"/>
      <c r="V24" s="81">
        <f t="shared" si="0"/>
        <v>88.5</v>
      </c>
      <c r="W24" s="82"/>
      <c r="X24" s="82"/>
      <c r="Y24" s="93"/>
      <c r="Z24" s="97" t="str">
        <f t="shared" si="1"/>
        <v>PASSED</v>
      </c>
      <c r="AA24" s="95"/>
      <c r="AB24" s="99"/>
    </row>
    <row r="25" ht="15.75" spans="1:28">
      <c r="A25" s="37">
        <v>14</v>
      </c>
      <c r="B25" s="300" t="str">
        <f>'INPUT DATA'!B25:D25</f>
        <v>OLIVERIO, CYREL JAY G.</v>
      </c>
      <c r="C25" s="38"/>
      <c r="D25" s="38"/>
      <c r="E25" s="41"/>
      <c r="F25" s="81">
        <v>70</v>
      </c>
      <c r="G25" s="82"/>
      <c r="H25" s="82"/>
      <c r="I25" s="93"/>
      <c r="J25" s="81">
        <v>70</v>
      </c>
      <c r="K25" s="82"/>
      <c r="L25" s="82"/>
      <c r="M25" s="93"/>
      <c r="N25" s="81">
        <v>87</v>
      </c>
      <c r="O25" s="82"/>
      <c r="P25" s="82"/>
      <c r="Q25" s="93"/>
      <c r="R25" s="81">
        <v>70</v>
      </c>
      <c r="S25" s="82"/>
      <c r="T25" s="82"/>
      <c r="U25" s="93"/>
      <c r="V25" s="81">
        <f t="shared" si="0"/>
        <v>74.25</v>
      </c>
      <c r="W25" s="82"/>
      <c r="X25" s="82"/>
      <c r="Y25" s="93"/>
      <c r="Z25" s="97" t="str">
        <f t="shared" si="1"/>
        <v>FAILED</v>
      </c>
      <c r="AA25" s="95"/>
      <c r="AB25" s="99"/>
    </row>
    <row r="26" ht="15.75" spans="1:28">
      <c r="A26" s="37">
        <v>15</v>
      </c>
      <c r="B26" s="300" t="str">
        <f>'INPUT DATA'!B26:D26</f>
        <v>ORBITA,BRENN JOHN A.</v>
      </c>
      <c r="C26" s="38"/>
      <c r="D26" s="38"/>
      <c r="E26" s="41"/>
      <c r="F26" s="81">
        <v>84</v>
      </c>
      <c r="G26" s="82"/>
      <c r="H26" s="82"/>
      <c r="I26" s="93"/>
      <c r="J26" s="81">
        <v>86</v>
      </c>
      <c r="K26" s="82"/>
      <c r="L26" s="82"/>
      <c r="M26" s="93"/>
      <c r="N26" s="81">
        <v>87</v>
      </c>
      <c r="O26" s="82"/>
      <c r="P26" s="82"/>
      <c r="Q26" s="93"/>
      <c r="R26" s="81">
        <v>89</v>
      </c>
      <c r="S26" s="82"/>
      <c r="T26" s="82"/>
      <c r="U26" s="93"/>
      <c r="V26" s="81">
        <f t="shared" si="0"/>
        <v>86.5</v>
      </c>
      <c r="W26" s="82"/>
      <c r="X26" s="82"/>
      <c r="Y26" s="93"/>
      <c r="Z26" s="97" t="str">
        <f t="shared" si="1"/>
        <v>PASSED</v>
      </c>
      <c r="AA26" s="95"/>
      <c r="AB26" s="99"/>
    </row>
    <row r="27" ht="15.75" spans="1:28">
      <c r="A27" s="37">
        <v>16</v>
      </c>
      <c r="B27" s="300" t="str">
        <f>'INPUT DATA'!B27:D27</f>
        <v>PAINLO,SHERWIN V.</v>
      </c>
      <c r="C27" s="38"/>
      <c r="D27" s="38"/>
      <c r="E27" s="41"/>
      <c r="F27" s="81">
        <v>89</v>
      </c>
      <c r="G27" s="82"/>
      <c r="H27" s="82"/>
      <c r="I27" s="93"/>
      <c r="J27" s="81">
        <v>91</v>
      </c>
      <c r="K27" s="82"/>
      <c r="L27" s="82"/>
      <c r="M27" s="93"/>
      <c r="N27" s="81">
        <v>91</v>
      </c>
      <c r="O27" s="82"/>
      <c r="P27" s="82"/>
      <c r="Q27" s="93"/>
      <c r="R27" s="81">
        <v>92</v>
      </c>
      <c r="S27" s="82"/>
      <c r="T27" s="82"/>
      <c r="U27" s="93"/>
      <c r="V27" s="81">
        <f t="shared" si="0"/>
        <v>90.75</v>
      </c>
      <c r="W27" s="82"/>
      <c r="X27" s="82"/>
      <c r="Y27" s="93"/>
      <c r="Z27" s="97" t="str">
        <f t="shared" si="1"/>
        <v>PASSED</v>
      </c>
      <c r="AA27" s="95"/>
      <c r="AB27" s="99"/>
    </row>
    <row r="28" ht="15.75" spans="1:28">
      <c r="A28" s="37">
        <v>17</v>
      </c>
      <c r="B28" s="300" t="str">
        <f>'INPUT DATA'!B28:D28</f>
        <v>RAMIREZ, MATTEO JOHN DAVE D.</v>
      </c>
      <c r="C28" s="38"/>
      <c r="D28" s="38"/>
      <c r="E28" s="41"/>
      <c r="F28" s="81"/>
      <c r="G28" s="82"/>
      <c r="H28" s="82"/>
      <c r="I28" s="93"/>
      <c r="J28" s="81"/>
      <c r="K28" s="82"/>
      <c r="L28" s="82"/>
      <c r="M28" s="93"/>
      <c r="N28" s="81"/>
      <c r="O28" s="82"/>
      <c r="P28" s="82"/>
      <c r="Q28" s="93"/>
      <c r="R28" s="81"/>
      <c r="S28" s="82"/>
      <c r="T28" s="82"/>
      <c r="U28" s="93"/>
      <c r="V28" s="81">
        <f t="shared" si="0"/>
        <v>0</v>
      </c>
      <c r="W28" s="82"/>
      <c r="X28" s="82"/>
      <c r="Y28" s="93"/>
      <c r="Z28" s="97" t="str">
        <f t="shared" si="1"/>
        <v>FAILED</v>
      </c>
      <c r="AA28" s="95"/>
      <c r="AB28" s="99"/>
    </row>
    <row r="29" ht="15.75" spans="1:28">
      <c r="A29" s="37">
        <v>18</v>
      </c>
      <c r="B29" s="300" t="str">
        <f>'INPUT DATA'!B29:D29</f>
        <v>SIGUIRA, JASTINE B.</v>
      </c>
      <c r="C29" s="38"/>
      <c r="D29" s="38"/>
      <c r="E29" s="41"/>
      <c r="F29" s="81"/>
      <c r="G29" s="82"/>
      <c r="H29" s="82"/>
      <c r="I29" s="93"/>
      <c r="J29" s="81"/>
      <c r="K29" s="82"/>
      <c r="L29" s="82"/>
      <c r="M29" s="93"/>
      <c r="N29" s="81"/>
      <c r="O29" s="82"/>
      <c r="P29" s="82"/>
      <c r="Q29" s="93"/>
      <c r="R29" s="81"/>
      <c r="S29" s="82"/>
      <c r="T29" s="82"/>
      <c r="U29" s="93"/>
      <c r="V29" s="81">
        <f t="shared" si="0"/>
        <v>0</v>
      </c>
      <c r="W29" s="82"/>
      <c r="X29" s="82"/>
      <c r="Y29" s="93"/>
      <c r="Z29" s="97" t="str">
        <f t="shared" si="1"/>
        <v>FAILED</v>
      </c>
      <c r="AA29" s="95"/>
      <c r="AB29" s="99"/>
    </row>
    <row r="30" ht="15" spans="1:28">
      <c r="A30" s="37">
        <v>19</v>
      </c>
      <c r="B30" s="300" t="str">
        <f>'INPUT DATA'!B30:D30</f>
        <v>TAA, JHONVINZ Y.</v>
      </c>
      <c r="C30" s="38"/>
      <c r="D30" s="38"/>
      <c r="E30" s="41"/>
      <c r="F30" s="81">
        <v>85</v>
      </c>
      <c r="G30" s="82"/>
      <c r="H30" s="82"/>
      <c r="I30" s="93"/>
      <c r="J30" s="81">
        <v>87</v>
      </c>
      <c r="K30" s="82"/>
      <c r="L30" s="82"/>
      <c r="M30" s="93"/>
      <c r="N30" s="81">
        <v>87</v>
      </c>
      <c r="O30" s="82"/>
      <c r="P30" s="82"/>
      <c r="Q30" s="93"/>
      <c r="R30" s="81">
        <v>87</v>
      </c>
      <c r="S30" s="82"/>
      <c r="T30" s="82"/>
      <c r="U30" s="93"/>
      <c r="V30" s="81">
        <f t="shared" si="0"/>
        <v>86.5</v>
      </c>
      <c r="W30" s="82"/>
      <c r="X30" s="82"/>
      <c r="Y30" s="93"/>
      <c r="Z30" s="97" t="str">
        <f t="shared" si="1"/>
        <v>PASSED</v>
      </c>
      <c r="AA30" s="95"/>
      <c r="AB30" s="99"/>
    </row>
    <row r="31" ht="15" spans="1:28">
      <c r="A31" s="37">
        <v>20</v>
      </c>
      <c r="B31" s="300" t="str">
        <f>'INPUT DATA'!B31:D31</f>
        <v>ZOILO, JOHN LORENCE M.</v>
      </c>
      <c r="C31" s="38"/>
      <c r="D31" s="38"/>
      <c r="E31" s="41"/>
      <c r="F31" s="81">
        <v>85</v>
      </c>
      <c r="G31" s="82"/>
      <c r="H31" s="82"/>
      <c r="I31" s="93"/>
      <c r="J31" s="81">
        <v>87</v>
      </c>
      <c r="K31" s="82"/>
      <c r="L31" s="82"/>
      <c r="M31" s="93"/>
      <c r="N31" s="81">
        <v>87</v>
      </c>
      <c r="O31" s="82"/>
      <c r="P31" s="82"/>
      <c r="Q31" s="93"/>
      <c r="R31" s="81">
        <v>88</v>
      </c>
      <c r="S31" s="82"/>
      <c r="T31" s="82"/>
      <c r="U31" s="93"/>
      <c r="V31" s="81">
        <f t="shared" si="0"/>
        <v>86.75</v>
      </c>
      <c r="W31" s="82"/>
      <c r="X31" s="82"/>
      <c r="Y31" s="93"/>
      <c r="Z31" s="97" t="str">
        <f t="shared" si="1"/>
        <v>PASSED</v>
      </c>
      <c r="AA31" s="98"/>
      <c r="AB31" s="99"/>
    </row>
    <row r="32" ht="15.75" spans="1:28">
      <c r="A32" s="37">
        <v>21</v>
      </c>
      <c r="B32" s="286" t="s">
        <v>73</v>
      </c>
      <c r="C32" s="289"/>
      <c r="D32" s="38"/>
      <c r="E32" s="41"/>
      <c r="F32" s="353">
        <v>75</v>
      </c>
      <c r="G32" s="354"/>
      <c r="H32" s="354"/>
      <c r="I32" s="360"/>
      <c r="J32" s="353">
        <v>75</v>
      </c>
      <c r="K32" s="354"/>
      <c r="L32" s="354"/>
      <c r="M32" s="360"/>
      <c r="N32" s="353">
        <v>75</v>
      </c>
      <c r="O32" s="354"/>
      <c r="P32" s="354"/>
      <c r="Q32" s="360"/>
      <c r="R32" s="353">
        <v>88</v>
      </c>
      <c r="S32" s="354"/>
      <c r="T32" s="354"/>
      <c r="U32" s="360"/>
      <c r="V32" s="81">
        <f t="shared" si="0"/>
        <v>78.25</v>
      </c>
      <c r="W32" s="82"/>
      <c r="X32" s="82"/>
      <c r="Y32" s="93"/>
      <c r="Z32" s="97" t="str">
        <f t="shared" si="1"/>
        <v>PASSED</v>
      </c>
      <c r="AA32" s="98"/>
      <c r="AB32" s="99"/>
    </row>
    <row r="33" ht="15" hidden="1" spans="1:28">
      <c r="A33" s="37">
        <v>22</v>
      </c>
      <c r="B33" s="300">
        <f>'INPUT DATA'!B33:D33</f>
        <v>0</v>
      </c>
      <c r="C33" s="38"/>
      <c r="D33" s="38"/>
      <c r="E33" s="41"/>
      <c r="F33" s="353"/>
      <c r="G33" s="354"/>
      <c r="H33" s="354"/>
      <c r="I33" s="360"/>
      <c r="J33" s="353"/>
      <c r="K33" s="354"/>
      <c r="L33" s="354"/>
      <c r="M33" s="360"/>
      <c r="N33" s="353"/>
      <c r="O33" s="354"/>
      <c r="P33" s="354"/>
      <c r="Q33" s="360"/>
      <c r="R33" s="353"/>
      <c r="S33" s="354"/>
      <c r="T33" s="354"/>
      <c r="U33" s="360"/>
      <c r="V33" s="81">
        <f t="shared" si="0"/>
        <v>0</v>
      </c>
      <c r="W33" s="82"/>
      <c r="X33" s="82"/>
      <c r="Y33" s="93"/>
      <c r="Z33" s="97" t="str">
        <f t="shared" si="1"/>
        <v>FAILED</v>
      </c>
      <c r="AA33" s="98"/>
      <c r="AB33" s="99"/>
    </row>
    <row r="34" ht="15" hidden="1" spans="1:28">
      <c r="A34" s="37">
        <v>23</v>
      </c>
      <c r="B34" s="300">
        <f>'INPUT DATA'!B34:D34</f>
        <v>0</v>
      </c>
      <c r="C34" s="38"/>
      <c r="D34" s="38"/>
      <c r="E34" s="41"/>
      <c r="F34" s="353"/>
      <c r="G34" s="354"/>
      <c r="H34" s="354"/>
      <c r="I34" s="360"/>
      <c r="J34" s="353"/>
      <c r="K34" s="354"/>
      <c r="L34" s="354"/>
      <c r="M34" s="360"/>
      <c r="N34" s="353"/>
      <c r="O34" s="354"/>
      <c r="P34" s="354"/>
      <c r="Q34" s="360"/>
      <c r="R34" s="353"/>
      <c r="S34" s="354"/>
      <c r="T34" s="354"/>
      <c r="U34" s="360"/>
      <c r="V34" s="81">
        <f t="shared" si="0"/>
        <v>0</v>
      </c>
      <c r="W34" s="82"/>
      <c r="X34" s="82"/>
      <c r="Y34" s="93"/>
      <c r="Z34" s="97" t="str">
        <f t="shared" si="1"/>
        <v>FAILED</v>
      </c>
      <c r="AA34" s="98"/>
      <c r="AB34" s="99"/>
    </row>
    <row r="35" ht="15" hidden="1" spans="1:28">
      <c r="A35" s="37">
        <v>24</v>
      </c>
      <c r="B35" s="300">
        <f>'INPUT DATA'!B35:D35</f>
        <v>0</v>
      </c>
      <c r="C35" s="38"/>
      <c r="D35" s="38"/>
      <c r="E35" s="41"/>
      <c r="F35" s="353"/>
      <c r="G35" s="354"/>
      <c r="H35" s="354"/>
      <c r="I35" s="360"/>
      <c r="J35" s="353"/>
      <c r="K35" s="354"/>
      <c r="L35" s="354"/>
      <c r="M35" s="360"/>
      <c r="N35" s="353"/>
      <c r="O35" s="354"/>
      <c r="P35" s="354"/>
      <c r="Q35" s="360"/>
      <c r="R35" s="353"/>
      <c r="S35" s="354"/>
      <c r="T35" s="354"/>
      <c r="U35" s="360"/>
      <c r="V35" s="81">
        <f t="shared" si="0"/>
        <v>0</v>
      </c>
      <c r="W35" s="82"/>
      <c r="X35" s="82"/>
      <c r="Y35" s="93"/>
      <c r="Z35" s="97" t="str">
        <f t="shared" si="1"/>
        <v>FAILED</v>
      </c>
      <c r="AA35" s="98"/>
      <c r="AB35" s="99"/>
    </row>
    <row r="36" ht="15" hidden="1" spans="1:28">
      <c r="A36" s="37">
        <v>25</v>
      </c>
      <c r="B36" s="300">
        <f>'INPUT DATA'!B36:D36</f>
        <v>0</v>
      </c>
      <c r="C36" s="38"/>
      <c r="D36" s="38"/>
      <c r="E36" s="41"/>
      <c r="F36" s="353"/>
      <c r="G36" s="354"/>
      <c r="H36" s="354"/>
      <c r="I36" s="360"/>
      <c r="J36" s="353"/>
      <c r="K36" s="354"/>
      <c r="L36" s="354"/>
      <c r="M36" s="360"/>
      <c r="N36" s="353"/>
      <c r="O36" s="354"/>
      <c r="P36" s="354"/>
      <c r="Q36" s="360"/>
      <c r="R36" s="353"/>
      <c r="S36" s="354"/>
      <c r="T36" s="354"/>
      <c r="U36" s="360"/>
      <c r="V36" s="81">
        <f t="shared" si="0"/>
        <v>0</v>
      </c>
      <c r="W36" s="82"/>
      <c r="X36" s="82"/>
      <c r="Y36" s="93"/>
      <c r="Z36" s="97" t="str">
        <f t="shared" si="1"/>
        <v>FAILED</v>
      </c>
      <c r="AA36" s="98"/>
      <c r="AB36" s="99"/>
    </row>
    <row r="37" ht="15" hidden="1" spans="1:28">
      <c r="A37" s="42">
        <v>26</v>
      </c>
      <c r="B37" s="300">
        <f>'INPUT DATA'!B37:D37</f>
        <v>0</v>
      </c>
      <c r="C37" s="38"/>
      <c r="D37" s="38"/>
      <c r="E37" s="41"/>
      <c r="F37" s="353"/>
      <c r="G37" s="354"/>
      <c r="H37" s="354"/>
      <c r="I37" s="360"/>
      <c r="J37" s="353"/>
      <c r="K37" s="354"/>
      <c r="L37" s="354"/>
      <c r="M37" s="360"/>
      <c r="N37" s="353"/>
      <c r="O37" s="354"/>
      <c r="P37" s="354"/>
      <c r="Q37" s="360"/>
      <c r="R37" s="353"/>
      <c r="S37" s="354"/>
      <c r="T37" s="354"/>
      <c r="U37" s="360"/>
      <c r="V37" s="81">
        <f t="shared" ref="V37" si="3">SUM(F37,J37,N37,R37)/4</f>
        <v>0</v>
      </c>
      <c r="W37" s="82"/>
      <c r="X37" s="82"/>
      <c r="Y37" s="93"/>
      <c r="Z37" s="97" t="str">
        <f t="shared" ref="Z37:Z50" si="4">IF(V37&gt;=75,"PASSED","FAILED")</f>
        <v>FAILED</v>
      </c>
      <c r="AA37" s="98"/>
      <c r="AB37" s="99"/>
    </row>
    <row r="38" ht="15" hidden="1" spans="1:28">
      <c r="A38" s="42">
        <v>27</v>
      </c>
      <c r="B38" s="300">
        <f>'INPUT DATA'!B38:D38</f>
        <v>0</v>
      </c>
      <c r="C38" s="38"/>
      <c r="D38" s="38"/>
      <c r="E38" s="41"/>
      <c r="F38" s="353"/>
      <c r="G38" s="354"/>
      <c r="H38" s="354"/>
      <c r="I38" s="360"/>
      <c r="J38" s="353"/>
      <c r="K38" s="354"/>
      <c r="L38" s="354"/>
      <c r="M38" s="360"/>
      <c r="N38" s="353"/>
      <c r="O38" s="354"/>
      <c r="P38" s="354"/>
      <c r="Q38" s="360"/>
      <c r="R38" s="353"/>
      <c r="S38" s="354"/>
      <c r="T38" s="354"/>
      <c r="U38" s="360"/>
      <c r="V38" s="81">
        <f t="shared" ref="V38" si="5">SUM(F38,J38,N38,R38)/4</f>
        <v>0</v>
      </c>
      <c r="W38" s="82"/>
      <c r="X38" s="82"/>
      <c r="Y38" s="93"/>
      <c r="Z38" s="97" t="str">
        <f t="shared" si="4"/>
        <v>FAILED</v>
      </c>
      <c r="AA38" s="98"/>
      <c r="AB38" s="99"/>
    </row>
    <row r="39" ht="15" hidden="1" spans="1:28">
      <c r="A39" s="42">
        <v>28</v>
      </c>
      <c r="B39" s="300">
        <f>'INPUT DATA'!B39:D39</f>
        <v>0</v>
      </c>
      <c r="C39" s="38"/>
      <c r="D39" s="38"/>
      <c r="E39" s="41"/>
      <c r="F39" s="353"/>
      <c r="G39" s="354"/>
      <c r="H39" s="354"/>
      <c r="I39" s="360"/>
      <c r="J39" s="353"/>
      <c r="K39" s="354"/>
      <c r="L39" s="354"/>
      <c r="M39" s="360"/>
      <c r="N39" s="353"/>
      <c r="O39" s="354"/>
      <c r="P39" s="354"/>
      <c r="Q39" s="360"/>
      <c r="R39" s="353"/>
      <c r="S39" s="354"/>
      <c r="T39" s="354"/>
      <c r="U39" s="360"/>
      <c r="V39" s="81">
        <f t="shared" ref="V39" si="6">SUM(F39,J39,N39,R39)/4</f>
        <v>0</v>
      </c>
      <c r="W39" s="82"/>
      <c r="X39" s="82"/>
      <c r="Y39" s="93"/>
      <c r="Z39" s="97" t="str">
        <f t="shared" si="4"/>
        <v>FAILED</v>
      </c>
      <c r="AA39" s="98"/>
      <c r="AB39" s="99"/>
    </row>
    <row r="40" ht="15" hidden="1" spans="1:28">
      <c r="A40" s="42">
        <v>29</v>
      </c>
      <c r="B40" s="300">
        <f>'INPUT DATA'!B40:D40</f>
        <v>0</v>
      </c>
      <c r="C40" s="38"/>
      <c r="D40" s="38"/>
      <c r="E40" s="41"/>
      <c r="F40" s="353"/>
      <c r="G40" s="354"/>
      <c r="H40" s="354"/>
      <c r="I40" s="360"/>
      <c r="J40" s="353"/>
      <c r="K40" s="354"/>
      <c r="L40" s="354"/>
      <c r="M40" s="360"/>
      <c r="N40" s="353"/>
      <c r="O40" s="354"/>
      <c r="P40" s="354"/>
      <c r="Q40" s="360"/>
      <c r="R40" s="353"/>
      <c r="S40" s="354"/>
      <c r="T40" s="354"/>
      <c r="U40" s="360"/>
      <c r="V40" s="81">
        <f t="shared" ref="V40" si="7">SUM(F40,J40,N40,R40)/4</f>
        <v>0</v>
      </c>
      <c r="W40" s="82"/>
      <c r="X40" s="82"/>
      <c r="Y40" s="93"/>
      <c r="Z40" s="97" t="str">
        <f t="shared" si="4"/>
        <v>FAILED</v>
      </c>
      <c r="AA40" s="98"/>
      <c r="AB40" s="99"/>
    </row>
    <row r="41" ht="15" hidden="1" spans="1:28">
      <c r="A41" s="42">
        <v>30</v>
      </c>
      <c r="B41" s="300">
        <f>'INPUT DATA'!B41:D41</f>
        <v>0</v>
      </c>
      <c r="C41" s="38"/>
      <c r="D41" s="38"/>
      <c r="E41" s="41"/>
      <c r="F41" s="353"/>
      <c r="G41" s="354"/>
      <c r="H41" s="354"/>
      <c r="I41" s="360"/>
      <c r="J41" s="353"/>
      <c r="K41" s="354"/>
      <c r="L41" s="354"/>
      <c r="M41" s="360"/>
      <c r="N41" s="353"/>
      <c r="O41" s="354"/>
      <c r="P41" s="354"/>
      <c r="Q41" s="360"/>
      <c r="R41" s="353"/>
      <c r="S41" s="354"/>
      <c r="T41" s="354"/>
      <c r="U41" s="360"/>
      <c r="V41" s="81">
        <f t="shared" ref="V41" si="8">SUM(F41,J41,N41,R41)/4</f>
        <v>0</v>
      </c>
      <c r="W41" s="82"/>
      <c r="X41" s="82"/>
      <c r="Y41" s="93"/>
      <c r="Z41" s="97" t="str">
        <f t="shared" si="4"/>
        <v>FAILED</v>
      </c>
      <c r="AA41" s="98"/>
      <c r="AB41" s="99"/>
    </row>
    <row r="42" ht="15" hidden="1" spans="1:28">
      <c r="A42" s="42">
        <v>31</v>
      </c>
      <c r="B42" s="300">
        <f>'INPUT DATA'!B42:D42</f>
        <v>0</v>
      </c>
      <c r="C42" s="38"/>
      <c r="D42" s="38"/>
      <c r="E42" s="41"/>
      <c r="F42" s="353"/>
      <c r="G42" s="354"/>
      <c r="H42" s="354"/>
      <c r="I42" s="360"/>
      <c r="J42" s="353"/>
      <c r="K42" s="354"/>
      <c r="L42" s="354"/>
      <c r="M42" s="360"/>
      <c r="N42" s="353"/>
      <c r="O42" s="354"/>
      <c r="P42" s="354"/>
      <c r="Q42" s="360"/>
      <c r="R42" s="353"/>
      <c r="S42" s="354"/>
      <c r="T42" s="354"/>
      <c r="U42" s="360"/>
      <c r="V42" s="81">
        <f t="shared" ref="V42" si="9">SUM(F42,J42,N42,R42)/4</f>
        <v>0</v>
      </c>
      <c r="W42" s="82"/>
      <c r="X42" s="82"/>
      <c r="Y42" s="93"/>
      <c r="Z42" s="97" t="str">
        <f t="shared" si="4"/>
        <v>FAILED</v>
      </c>
      <c r="AA42" s="98"/>
      <c r="AB42" s="99"/>
    </row>
    <row r="43" ht="15" hidden="1" spans="1:28">
      <c r="A43" s="42">
        <v>32</v>
      </c>
      <c r="B43" s="300">
        <f>'INPUT DATA'!B43:D43</f>
        <v>0</v>
      </c>
      <c r="C43" s="38"/>
      <c r="D43" s="38"/>
      <c r="E43" s="41"/>
      <c r="F43" s="353"/>
      <c r="G43" s="354"/>
      <c r="H43" s="354"/>
      <c r="I43" s="360"/>
      <c r="J43" s="353"/>
      <c r="K43" s="354"/>
      <c r="L43" s="354"/>
      <c r="M43" s="360"/>
      <c r="N43" s="353"/>
      <c r="O43" s="354"/>
      <c r="P43" s="354"/>
      <c r="Q43" s="360"/>
      <c r="R43" s="353"/>
      <c r="S43" s="354"/>
      <c r="T43" s="354"/>
      <c r="U43" s="360"/>
      <c r="V43" s="81">
        <f t="shared" ref="V43" si="10">SUM(F43,J43,N43,R43)/4</f>
        <v>0</v>
      </c>
      <c r="W43" s="82"/>
      <c r="X43" s="82"/>
      <c r="Y43" s="93"/>
      <c r="Z43" s="97" t="str">
        <f t="shared" si="4"/>
        <v>FAILED</v>
      </c>
      <c r="AA43" s="98"/>
      <c r="AB43" s="99"/>
    </row>
    <row r="44" ht="15" hidden="1" spans="1:28">
      <c r="A44" s="42">
        <v>33</v>
      </c>
      <c r="B44" s="300">
        <f>'INPUT DATA'!B44:D44</f>
        <v>0</v>
      </c>
      <c r="C44" s="38"/>
      <c r="D44" s="38"/>
      <c r="E44" s="41"/>
      <c r="F44" s="353"/>
      <c r="G44" s="354"/>
      <c r="H44" s="354"/>
      <c r="I44" s="360"/>
      <c r="J44" s="353"/>
      <c r="K44" s="354"/>
      <c r="L44" s="354"/>
      <c r="M44" s="360"/>
      <c r="N44" s="353"/>
      <c r="O44" s="354"/>
      <c r="P44" s="354"/>
      <c r="Q44" s="360"/>
      <c r="R44" s="353"/>
      <c r="S44" s="354"/>
      <c r="T44" s="354"/>
      <c r="U44" s="360"/>
      <c r="V44" s="81">
        <f t="shared" ref="V44" si="11">SUM(F44,J44,N44,R44)/4</f>
        <v>0</v>
      </c>
      <c r="W44" s="82"/>
      <c r="X44" s="82"/>
      <c r="Y44" s="93"/>
      <c r="Z44" s="97" t="str">
        <f t="shared" si="4"/>
        <v>FAILED</v>
      </c>
      <c r="AA44" s="98"/>
      <c r="AB44" s="99"/>
    </row>
    <row r="45" ht="15" hidden="1" spans="1:28">
      <c r="A45" s="42">
        <v>34</v>
      </c>
      <c r="B45" s="300">
        <f>'INPUT DATA'!B45:D45</f>
        <v>0</v>
      </c>
      <c r="C45" s="38"/>
      <c r="D45" s="38"/>
      <c r="E45" s="41"/>
      <c r="F45" s="353"/>
      <c r="G45" s="354"/>
      <c r="H45" s="354"/>
      <c r="I45" s="360"/>
      <c r="J45" s="353"/>
      <c r="K45" s="354"/>
      <c r="L45" s="354"/>
      <c r="M45" s="360"/>
      <c r="N45" s="353"/>
      <c r="O45" s="354"/>
      <c r="P45" s="354"/>
      <c r="Q45" s="360"/>
      <c r="R45" s="353"/>
      <c r="S45" s="354"/>
      <c r="T45" s="354"/>
      <c r="U45" s="360"/>
      <c r="V45" s="81"/>
      <c r="W45" s="82"/>
      <c r="X45" s="82"/>
      <c r="Y45" s="93"/>
      <c r="Z45" s="97" t="str">
        <f t="shared" si="4"/>
        <v>FAILED</v>
      </c>
      <c r="AA45" s="98"/>
      <c r="AB45" s="99"/>
    </row>
    <row r="46" ht="15" hidden="1" spans="1:28">
      <c r="A46" s="42">
        <v>35</v>
      </c>
      <c r="B46" s="300">
        <f>'INPUT DATA'!B46:D46</f>
        <v>0</v>
      </c>
      <c r="C46" s="38"/>
      <c r="D46" s="38"/>
      <c r="E46" s="41"/>
      <c r="F46" s="81"/>
      <c r="G46" s="82"/>
      <c r="H46" s="82"/>
      <c r="I46" s="93"/>
      <c r="J46" s="81"/>
      <c r="K46" s="82"/>
      <c r="L46" s="82"/>
      <c r="M46" s="93"/>
      <c r="N46" s="81"/>
      <c r="O46" s="82"/>
      <c r="P46" s="82"/>
      <c r="Q46" s="93"/>
      <c r="R46" s="81"/>
      <c r="S46" s="82"/>
      <c r="T46" s="82"/>
      <c r="U46" s="93"/>
      <c r="V46" s="81"/>
      <c r="W46" s="82"/>
      <c r="X46" s="82"/>
      <c r="Y46" s="93"/>
      <c r="Z46" s="97" t="str">
        <f t="shared" si="4"/>
        <v>FAILED</v>
      </c>
      <c r="AA46" s="98"/>
      <c r="AB46" s="99"/>
    </row>
    <row r="47" ht="15" hidden="1" spans="1:28">
      <c r="A47" s="42">
        <v>36</v>
      </c>
      <c r="B47" s="300">
        <f>'INPUT DATA'!B47:D47</f>
        <v>0</v>
      </c>
      <c r="C47" s="38"/>
      <c r="D47" s="38"/>
      <c r="E47" s="41"/>
      <c r="F47" s="81"/>
      <c r="G47" s="82"/>
      <c r="H47" s="82"/>
      <c r="I47" s="93"/>
      <c r="J47" s="81"/>
      <c r="K47" s="82"/>
      <c r="L47" s="82"/>
      <c r="M47" s="93"/>
      <c r="N47" s="81"/>
      <c r="O47" s="82"/>
      <c r="P47" s="82"/>
      <c r="Q47" s="93"/>
      <c r="R47" s="81"/>
      <c r="S47" s="82"/>
      <c r="T47" s="82"/>
      <c r="U47" s="93"/>
      <c r="V47" s="81"/>
      <c r="W47" s="82"/>
      <c r="X47" s="82"/>
      <c r="Y47" s="93"/>
      <c r="Z47" s="97" t="str">
        <f t="shared" si="4"/>
        <v>FAILED</v>
      </c>
      <c r="AA47" s="98"/>
      <c r="AB47" s="99"/>
    </row>
    <row r="48" ht="15" hidden="1" spans="1:28">
      <c r="A48" s="42">
        <v>37</v>
      </c>
      <c r="B48" s="300">
        <f>'INPUT DATA'!B48:D48</f>
        <v>0</v>
      </c>
      <c r="C48" s="38"/>
      <c r="D48" s="38"/>
      <c r="E48" s="41"/>
      <c r="F48" s="81"/>
      <c r="G48" s="82"/>
      <c r="H48" s="82"/>
      <c r="I48" s="93"/>
      <c r="J48" s="81"/>
      <c r="K48" s="82"/>
      <c r="L48" s="82"/>
      <c r="M48" s="93"/>
      <c r="N48" s="81"/>
      <c r="O48" s="82"/>
      <c r="P48" s="82"/>
      <c r="Q48" s="93"/>
      <c r="R48" s="81"/>
      <c r="S48" s="82"/>
      <c r="T48" s="82"/>
      <c r="U48" s="93"/>
      <c r="V48" s="81"/>
      <c r="W48" s="82"/>
      <c r="X48" s="82"/>
      <c r="Y48" s="93"/>
      <c r="Z48" s="97" t="str">
        <f t="shared" si="4"/>
        <v>FAILED</v>
      </c>
      <c r="AA48" s="98"/>
      <c r="AB48" s="99"/>
    </row>
    <row r="49" ht="15" hidden="1" spans="1:28">
      <c r="A49" s="42">
        <v>38</v>
      </c>
      <c r="B49" s="300">
        <f>'INPUT DATA'!B49:D49</f>
        <v>0</v>
      </c>
      <c r="C49" s="38"/>
      <c r="D49" s="38"/>
      <c r="E49" s="41"/>
      <c r="F49" s="81"/>
      <c r="G49" s="82"/>
      <c r="H49" s="82"/>
      <c r="I49" s="93"/>
      <c r="J49" s="81"/>
      <c r="K49" s="82"/>
      <c r="L49" s="82"/>
      <c r="M49" s="93"/>
      <c r="N49" s="81"/>
      <c r="O49" s="82"/>
      <c r="P49" s="82"/>
      <c r="Q49" s="93"/>
      <c r="R49" s="81"/>
      <c r="S49" s="82"/>
      <c r="T49" s="82"/>
      <c r="U49" s="93"/>
      <c r="V49" s="81"/>
      <c r="W49" s="82"/>
      <c r="X49" s="82"/>
      <c r="Y49" s="93"/>
      <c r="Z49" s="97" t="str">
        <f t="shared" si="4"/>
        <v>FAILED</v>
      </c>
      <c r="AA49" s="98"/>
      <c r="AB49" s="99"/>
    </row>
    <row r="50" ht="15.75" hidden="1" spans="1:28">
      <c r="A50" s="42">
        <v>39</v>
      </c>
      <c r="B50" s="300">
        <f>'INPUT DATA'!B50:D50</f>
        <v>0</v>
      </c>
      <c r="C50" s="38"/>
      <c r="D50" s="38"/>
      <c r="E50" s="41"/>
      <c r="F50" s="81"/>
      <c r="G50" s="82"/>
      <c r="H50" s="82"/>
      <c r="I50" s="93"/>
      <c r="J50" s="81"/>
      <c r="K50" s="82"/>
      <c r="L50" s="82"/>
      <c r="M50" s="93"/>
      <c r="N50" s="81"/>
      <c r="O50" s="82"/>
      <c r="P50" s="82"/>
      <c r="Q50" s="93"/>
      <c r="R50" s="81"/>
      <c r="S50" s="82"/>
      <c r="T50" s="82"/>
      <c r="U50" s="93"/>
      <c r="V50" s="81"/>
      <c r="W50" s="82"/>
      <c r="X50" s="82"/>
      <c r="Y50" s="93"/>
      <c r="Z50" s="97" t="str">
        <f t="shared" si="4"/>
        <v>FAILED</v>
      </c>
      <c r="AA50" s="98"/>
      <c r="AB50" s="99"/>
    </row>
    <row r="51" ht="15.75" spans="1:28">
      <c r="A51" s="27"/>
      <c r="B51" s="28" t="s">
        <v>39</v>
      </c>
      <c r="C51" s="29"/>
      <c r="D51" s="29"/>
      <c r="E51" s="50"/>
      <c r="F51" s="308"/>
      <c r="G51" s="309"/>
      <c r="H51" s="309"/>
      <c r="I51" s="315"/>
      <c r="J51" s="308"/>
      <c r="K51" s="309"/>
      <c r="L51" s="309"/>
      <c r="M51" s="315"/>
      <c r="N51" s="308"/>
      <c r="O51" s="309"/>
      <c r="P51" s="309"/>
      <c r="Q51" s="315"/>
      <c r="R51" s="363"/>
      <c r="S51" s="364"/>
      <c r="T51" s="364"/>
      <c r="U51" s="365"/>
      <c r="V51" s="366"/>
      <c r="W51" s="367"/>
      <c r="X51" s="367"/>
      <c r="Y51" s="369"/>
      <c r="Z51" s="370" t="s">
        <v>74</v>
      </c>
      <c r="AA51" s="371"/>
      <c r="AB51" s="372"/>
    </row>
    <row r="52" ht="15" spans="1:28">
      <c r="A52" s="32">
        <v>1</v>
      </c>
      <c r="B52" s="300" t="str">
        <f>'INPUT DATA'!B53:D53</f>
        <v>ANGCOY, PRINCESS NAILLE T.</v>
      </c>
      <c r="C52" s="34"/>
      <c r="D52" s="34"/>
      <c r="E52" s="53"/>
      <c r="F52" s="81">
        <v>87</v>
      </c>
      <c r="G52" s="82"/>
      <c r="H52" s="82"/>
      <c r="I52" s="93"/>
      <c r="J52" s="81">
        <v>89</v>
      </c>
      <c r="K52" s="82"/>
      <c r="L52" s="82"/>
      <c r="M52" s="93"/>
      <c r="N52" s="81">
        <v>90</v>
      </c>
      <c r="O52" s="82"/>
      <c r="P52" s="82"/>
      <c r="Q52" s="93"/>
      <c r="R52" s="81">
        <v>91</v>
      </c>
      <c r="S52" s="82"/>
      <c r="T52" s="82"/>
      <c r="U52" s="93"/>
      <c r="V52" s="81">
        <f>SUM(F52,J52,N52,R52)/4</f>
        <v>89.25</v>
      </c>
      <c r="W52" s="82"/>
      <c r="X52" s="82"/>
      <c r="Y52" s="93"/>
      <c r="Z52" s="97" t="str">
        <f>IF(V52&gt;=75,"PASSED","FAILED")</f>
        <v>PASSED</v>
      </c>
      <c r="AA52" s="98"/>
      <c r="AB52" s="99"/>
    </row>
    <row r="53" ht="15" spans="1:28">
      <c r="A53" s="37">
        <v>2</v>
      </c>
      <c r="B53" s="300" t="str">
        <f>'INPUT DATA'!B54:D54</f>
        <v>BIMOS, SHEILLA KATE O.</v>
      </c>
      <c r="C53" s="38"/>
      <c r="D53" s="38"/>
      <c r="E53" s="41"/>
      <c r="F53" s="81">
        <v>85</v>
      </c>
      <c r="G53" s="82"/>
      <c r="H53" s="82"/>
      <c r="I53" s="93"/>
      <c r="J53" s="81">
        <v>88</v>
      </c>
      <c r="K53" s="82"/>
      <c r="L53" s="82"/>
      <c r="M53" s="93"/>
      <c r="N53" s="81">
        <v>87</v>
      </c>
      <c r="O53" s="82"/>
      <c r="P53" s="82"/>
      <c r="Q53" s="93"/>
      <c r="R53" s="81">
        <v>88</v>
      </c>
      <c r="S53" s="82"/>
      <c r="T53" s="82"/>
      <c r="U53" s="93"/>
      <c r="V53" s="81">
        <f t="shared" ref="V53:V76" si="12">SUM(F53,J53,N53,R53)/4</f>
        <v>87</v>
      </c>
      <c r="W53" s="82"/>
      <c r="X53" s="82"/>
      <c r="Y53" s="93"/>
      <c r="Z53" s="97" t="str">
        <f t="shared" ref="Z53:Z68" si="13">IF(V53&gt;=75,"PASSED","FAILED")</f>
        <v>PASSED</v>
      </c>
      <c r="AA53" s="98"/>
      <c r="AB53" s="99"/>
    </row>
    <row r="54" ht="15" spans="1:28">
      <c r="A54" s="37">
        <v>3</v>
      </c>
      <c r="B54" s="300" t="str">
        <f>'INPUT DATA'!B55:D55</f>
        <v>BONGABONG, DWEYN ZHAIRA A.</v>
      </c>
      <c r="C54" s="38"/>
      <c r="D54" s="38"/>
      <c r="E54" s="41"/>
      <c r="F54" s="81">
        <v>86</v>
      </c>
      <c r="G54" s="82"/>
      <c r="H54" s="82"/>
      <c r="I54" s="93"/>
      <c r="J54" s="81">
        <v>89</v>
      </c>
      <c r="K54" s="82"/>
      <c r="L54" s="82"/>
      <c r="M54" s="93"/>
      <c r="N54" s="81">
        <v>89</v>
      </c>
      <c r="O54" s="82"/>
      <c r="P54" s="82"/>
      <c r="Q54" s="93"/>
      <c r="R54" s="81">
        <v>89</v>
      </c>
      <c r="S54" s="82"/>
      <c r="T54" s="82"/>
      <c r="U54" s="93"/>
      <c r="V54" s="81">
        <f t="shared" si="12"/>
        <v>88.25</v>
      </c>
      <c r="W54" s="82"/>
      <c r="X54" s="82"/>
      <c r="Y54" s="93"/>
      <c r="Z54" s="97" t="str">
        <f t="shared" si="13"/>
        <v>PASSED</v>
      </c>
      <c r="AA54" s="98"/>
      <c r="AB54" s="99"/>
    </row>
    <row r="55" ht="15" spans="1:28">
      <c r="A55" s="37">
        <v>4</v>
      </c>
      <c r="B55" s="300" t="str">
        <f>'INPUT DATA'!B56:D56</f>
        <v>CABEL, LOURENE A.</v>
      </c>
      <c r="C55" s="38"/>
      <c r="D55" s="38"/>
      <c r="E55" s="41"/>
      <c r="F55" s="81">
        <v>90</v>
      </c>
      <c r="G55" s="82"/>
      <c r="H55" s="82"/>
      <c r="I55" s="93"/>
      <c r="J55" s="81">
        <v>92</v>
      </c>
      <c r="K55" s="82"/>
      <c r="L55" s="82"/>
      <c r="M55" s="93"/>
      <c r="N55" s="81">
        <v>94</v>
      </c>
      <c r="O55" s="82"/>
      <c r="P55" s="82"/>
      <c r="Q55" s="93"/>
      <c r="R55" s="81">
        <v>94</v>
      </c>
      <c r="S55" s="82"/>
      <c r="T55" s="82"/>
      <c r="U55" s="93"/>
      <c r="V55" s="81">
        <f t="shared" si="12"/>
        <v>92.5</v>
      </c>
      <c r="W55" s="82"/>
      <c r="X55" s="82"/>
      <c r="Y55" s="93"/>
      <c r="Z55" s="97" t="str">
        <f t="shared" si="13"/>
        <v>PASSED</v>
      </c>
      <c r="AA55" s="98"/>
      <c r="AB55" s="99"/>
    </row>
    <row r="56" ht="15" spans="1:28">
      <c r="A56" s="37">
        <v>5</v>
      </c>
      <c r="B56" s="300" t="str">
        <f>'INPUT DATA'!B57:D57</f>
        <v>CAMIGAO, DHENISE CLARE V.</v>
      </c>
      <c r="C56" s="38"/>
      <c r="D56" s="38"/>
      <c r="E56" s="41"/>
      <c r="F56" s="81">
        <v>86</v>
      </c>
      <c r="G56" s="82"/>
      <c r="H56" s="82"/>
      <c r="I56" s="93"/>
      <c r="J56" s="81">
        <v>88</v>
      </c>
      <c r="K56" s="82"/>
      <c r="L56" s="82"/>
      <c r="M56" s="93"/>
      <c r="N56" s="81">
        <v>88</v>
      </c>
      <c r="O56" s="82"/>
      <c r="P56" s="82"/>
      <c r="Q56" s="93"/>
      <c r="R56" s="81">
        <v>89</v>
      </c>
      <c r="S56" s="82"/>
      <c r="T56" s="82"/>
      <c r="U56" s="93"/>
      <c r="V56" s="81">
        <f t="shared" si="12"/>
        <v>87.75</v>
      </c>
      <c r="W56" s="82"/>
      <c r="X56" s="82"/>
      <c r="Y56" s="93"/>
      <c r="Z56" s="97" t="str">
        <f t="shared" si="13"/>
        <v>PASSED</v>
      </c>
      <c r="AA56" s="98"/>
      <c r="AB56" s="99"/>
    </row>
    <row r="57" ht="15" spans="1:28">
      <c r="A57" s="37">
        <v>6</v>
      </c>
      <c r="B57" s="300" t="str">
        <f>'INPUT DATA'!B58:D58</f>
        <v>CARISMA, NATHALIA MAE M.</v>
      </c>
      <c r="C57" s="38"/>
      <c r="D57" s="38"/>
      <c r="E57" s="41"/>
      <c r="F57" s="81">
        <v>87</v>
      </c>
      <c r="G57" s="82"/>
      <c r="H57" s="82"/>
      <c r="I57" s="93"/>
      <c r="J57" s="81">
        <v>89</v>
      </c>
      <c r="K57" s="82"/>
      <c r="L57" s="82"/>
      <c r="M57" s="93"/>
      <c r="N57" s="81">
        <v>89</v>
      </c>
      <c r="O57" s="82"/>
      <c r="P57" s="82"/>
      <c r="Q57" s="93"/>
      <c r="R57" s="81">
        <v>90</v>
      </c>
      <c r="S57" s="82"/>
      <c r="T57" s="82"/>
      <c r="U57" s="93"/>
      <c r="V57" s="81">
        <f t="shared" si="12"/>
        <v>88.75</v>
      </c>
      <c r="W57" s="82"/>
      <c r="X57" s="82"/>
      <c r="Y57" s="93"/>
      <c r="Z57" s="97" t="str">
        <f t="shared" si="13"/>
        <v>PASSED</v>
      </c>
      <c r="AA57" s="98"/>
      <c r="AB57" s="99"/>
    </row>
    <row r="58" ht="15" spans="1:28">
      <c r="A58" s="37">
        <v>7</v>
      </c>
      <c r="B58" s="300" t="str">
        <f>'INPUT DATA'!B59:D59</f>
        <v>CLARO, REANZ P.</v>
      </c>
      <c r="C58" s="38"/>
      <c r="D58" s="38"/>
      <c r="E58" s="41"/>
      <c r="F58" s="81">
        <v>85</v>
      </c>
      <c r="G58" s="82"/>
      <c r="H58" s="82"/>
      <c r="I58" s="93"/>
      <c r="J58" s="81">
        <v>87</v>
      </c>
      <c r="K58" s="82"/>
      <c r="L58" s="82"/>
      <c r="M58" s="93"/>
      <c r="N58" s="81">
        <v>85</v>
      </c>
      <c r="O58" s="82"/>
      <c r="P58" s="82"/>
      <c r="Q58" s="93"/>
      <c r="R58" s="81">
        <v>88</v>
      </c>
      <c r="S58" s="82"/>
      <c r="T58" s="82"/>
      <c r="U58" s="93"/>
      <c r="V58" s="81">
        <f t="shared" si="12"/>
        <v>86.25</v>
      </c>
      <c r="W58" s="82"/>
      <c r="X58" s="82"/>
      <c r="Y58" s="93"/>
      <c r="Z58" s="97" t="str">
        <f t="shared" si="13"/>
        <v>PASSED</v>
      </c>
      <c r="AA58" s="98"/>
      <c r="AB58" s="99"/>
    </row>
    <row r="59" ht="15" spans="1:28">
      <c r="A59" s="37">
        <v>8</v>
      </c>
      <c r="B59" s="300" t="str">
        <f>'INPUT DATA'!B60:D60</f>
        <v>FRANCISCO, YSABELLA BEATRICE B.</v>
      </c>
      <c r="C59" s="38"/>
      <c r="D59" s="38"/>
      <c r="E59" s="41"/>
      <c r="F59" s="81">
        <v>86</v>
      </c>
      <c r="G59" s="82"/>
      <c r="H59" s="82"/>
      <c r="I59" s="93"/>
      <c r="J59" s="81">
        <v>88</v>
      </c>
      <c r="K59" s="82"/>
      <c r="L59" s="82"/>
      <c r="M59" s="93"/>
      <c r="N59" s="81">
        <v>89</v>
      </c>
      <c r="O59" s="82"/>
      <c r="P59" s="82"/>
      <c r="Q59" s="93"/>
      <c r="R59" s="81">
        <v>90</v>
      </c>
      <c r="S59" s="82"/>
      <c r="T59" s="82"/>
      <c r="U59" s="93"/>
      <c r="V59" s="81">
        <f t="shared" si="12"/>
        <v>88.25</v>
      </c>
      <c r="W59" s="82"/>
      <c r="X59" s="82"/>
      <c r="Y59" s="93"/>
      <c r="Z59" s="97" t="str">
        <f t="shared" si="13"/>
        <v>PASSED</v>
      </c>
      <c r="AA59" s="98"/>
      <c r="AB59" s="99"/>
    </row>
    <row r="60" ht="15" spans="1:28">
      <c r="A60" s="37">
        <v>9</v>
      </c>
      <c r="B60" s="300" t="str">
        <f>'INPUT DATA'!B61:D61</f>
        <v>GALDO, ALYSSA RHIAN P.</v>
      </c>
      <c r="C60" s="38"/>
      <c r="D60" s="38"/>
      <c r="E60" s="41"/>
      <c r="F60" s="81">
        <v>82</v>
      </c>
      <c r="G60" s="82"/>
      <c r="H60" s="82"/>
      <c r="I60" s="93"/>
      <c r="J60" s="81"/>
      <c r="K60" s="82"/>
      <c r="L60" s="82"/>
      <c r="M60" s="93"/>
      <c r="N60" s="81"/>
      <c r="O60" s="82"/>
      <c r="P60" s="82"/>
      <c r="Q60" s="93"/>
      <c r="R60" s="81"/>
      <c r="S60" s="82"/>
      <c r="T60" s="82"/>
      <c r="U60" s="93"/>
      <c r="V60" s="81">
        <f t="shared" si="12"/>
        <v>20.5</v>
      </c>
      <c r="W60" s="82"/>
      <c r="X60" s="82"/>
      <c r="Y60" s="93"/>
      <c r="Z60" s="97" t="str">
        <f t="shared" si="13"/>
        <v>FAILED</v>
      </c>
      <c r="AA60" s="98"/>
      <c r="AB60" s="99"/>
    </row>
    <row r="61" ht="15" spans="1:28">
      <c r="A61" s="37">
        <v>10</v>
      </c>
      <c r="B61" s="300" t="str">
        <f>'INPUT DATA'!B62:D62</f>
        <v>HURAÑO, RIOMI M.</v>
      </c>
      <c r="C61" s="38"/>
      <c r="D61" s="38"/>
      <c r="E61" s="41"/>
      <c r="F61" s="81">
        <v>87</v>
      </c>
      <c r="G61" s="82"/>
      <c r="H61" s="82"/>
      <c r="I61" s="93"/>
      <c r="J61" s="81">
        <v>88</v>
      </c>
      <c r="K61" s="82"/>
      <c r="L61" s="82"/>
      <c r="M61" s="93"/>
      <c r="N61" s="81">
        <v>89</v>
      </c>
      <c r="O61" s="82"/>
      <c r="P61" s="82"/>
      <c r="Q61" s="93"/>
      <c r="R61" s="81">
        <v>90</v>
      </c>
      <c r="S61" s="82"/>
      <c r="T61" s="82"/>
      <c r="U61" s="93"/>
      <c r="V61" s="81">
        <f t="shared" si="12"/>
        <v>88.5</v>
      </c>
      <c r="W61" s="82"/>
      <c r="X61" s="82"/>
      <c r="Y61" s="93"/>
      <c r="Z61" s="97" t="str">
        <f t="shared" si="13"/>
        <v>PASSED</v>
      </c>
      <c r="AA61" s="98"/>
      <c r="AB61" s="99"/>
    </row>
    <row r="62" ht="15" spans="1:28">
      <c r="A62" s="37">
        <v>11</v>
      </c>
      <c r="B62" s="300" t="str">
        <f>'INPUT DATA'!B63:D63</f>
        <v>LAGUNA, WELLAIZA O.</v>
      </c>
      <c r="C62" s="38"/>
      <c r="D62" s="38"/>
      <c r="E62" s="41"/>
      <c r="F62" s="81">
        <v>81</v>
      </c>
      <c r="G62" s="82"/>
      <c r="H62" s="82"/>
      <c r="I62" s="93"/>
      <c r="J62" s="81"/>
      <c r="K62" s="82"/>
      <c r="L62" s="82"/>
      <c r="M62" s="93"/>
      <c r="N62" s="81"/>
      <c r="O62" s="82"/>
      <c r="P62" s="82"/>
      <c r="Q62" s="93"/>
      <c r="R62" s="81"/>
      <c r="S62" s="82"/>
      <c r="T62" s="82"/>
      <c r="U62" s="93"/>
      <c r="V62" s="81">
        <f t="shared" si="12"/>
        <v>20.25</v>
      </c>
      <c r="W62" s="82"/>
      <c r="X62" s="82"/>
      <c r="Y62" s="93"/>
      <c r="Z62" s="97" t="str">
        <f t="shared" si="13"/>
        <v>FAILED</v>
      </c>
      <c r="AA62" s="98"/>
      <c r="AB62" s="99"/>
    </row>
    <row r="63" ht="15" spans="1:28">
      <c r="A63" s="37">
        <v>12</v>
      </c>
      <c r="B63" s="300" t="str">
        <f>'INPUT DATA'!B64:D64</f>
        <v>LAZAGA, PRINCESS JEAN O.</v>
      </c>
      <c r="C63" s="38"/>
      <c r="D63" s="38"/>
      <c r="E63" s="41"/>
      <c r="F63" s="81">
        <v>82</v>
      </c>
      <c r="G63" s="82"/>
      <c r="H63" s="82"/>
      <c r="I63" s="93"/>
      <c r="J63" s="81">
        <v>85</v>
      </c>
      <c r="K63" s="82"/>
      <c r="L63" s="82"/>
      <c r="M63" s="93"/>
      <c r="N63" s="81">
        <v>85</v>
      </c>
      <c r="O63" s="82"/>
      <c r="P63" s="82"/>
      <c r="Q63" s="93"/>
      <c r="R63" s="81">
        <v>86</v>
      </c>
      <c r="S63" s="82"/>
      <c r="T63" s="82"/>
      <c r="U63" s="93"/>
      <c r="V63" s="81">
        <f t="shared" si="12"/>
        <v>84.5</v>
      </c>
      <c r="W63" s="82"/>
      <c r="X63" s="82"/>
      <c r="Y63" s="93"/>
      <c r="Z63" s="97" t="str">
        <f t="shared" si="13"/>
        <v>PASSED</v>
      </c>
      <c r="AA63" s="98"/>
      <c r="AB63" s="99"/>
    </row>
    <row r="64" ht="15" spans="1:28">
      <c r="A64" s="37">
        <v>13</v>
      </c>
      <c r="B64" s="300" t="str">
        <f>'INPUT DATA'!B65:D65</f>
        <v>LIBRES, MIKYLLA B.</v>
      </c>
      <c r="C64" s="38"/>
      <c r="D64" s="38"/>
      <c r="E64" s="41"/>
      <c r="F64" s="81">
        <v>84</v>
      </c>
      <c r="G64" s="82"/>
      <c r="H64" s="82"/>
      <c r="I64" s="93"/>
      <c r="J64" s="81">
        <v>86</v>
      </c>
      <c r="K64" s="82"/>
      <c r="L64" s="82"/>
      <c r="M64" s="93"/>
      <c r="N64" s="81">
        <v>86</v>
      </c>
      <c r="O64" s="82"/>
      <c r="P64" s="82"/>
      <c r="Q64" s="93"/>
      <c r="R64" s="81">
        <v>87</v>
      </c>
      <c r="S64" s="82"/>
      <c r="T64" s="82"/>
      <c r="U64" s="93"/>
      <c r="V64" s="81">
        <f t="shared" si="12"/>
        <v>85.75</v>
      </c>
      <c r="W64" s="82"/>
      <c r="X64" s="82"/>
      <c r="Y64" s="93"/>
      <c r="Z64" s="97" t="str">
        <f t="shared" si="13"/>
        <v>PASSED</v>
      </c>
      <c r="AA64" s="98"/>
      <c r="AB64" s="99"/>
    </row>
    <row r="65" ht="15" spans="1:28">
      <c r="A65" s="37">
        <v>14</v>
      </c>
      <c r="B65" s="300" t="str">
        <f>'INPUT DATA'!B66:D66</f>
        <v>LIM, LENNIE GRACE S.</v>
      </c>
      <c r="C65" s="38"/>
      <c r="D65" s="38"/>
      <c r="E65" s="41"/>
      <c r="F65" s="81">
        <v>86</v>
      </c>
      <c r="G65" s="82"/>
      <c r="H65" s="82"/>
      <c r="I65" s="93"/>
      <c r="J65" s="81">
        <v>89</v>
      </c>
      <c r="K65" s="82"/>
      <c r="L65" s="82"/>
      <c r="M65" s="93"/>
      <c r="N65" s="81">
        <v>89</v>
      </c>
      <c r="O65" s="82"/>
      <c r="P65" s="82"/>
      <c r="Q65" s="93"/>
      <c r="R65" s="81">
        <v>90</v>
      </c>
      <c r="S65" s="82"/>
      <c r="T65" s="82"/>
      <c r="U65" s="93"/>
      <c r="V65" s="81">
        <f t="shared" si="12"/>
        <v>88.5</v>
      </c>
      <c r="W65" s="82"/>
      <c r="X65" s="82"/>
      <c r="Y65" s="93"/>
      <c r="Z65" s="97" t="str">
        <f t="shared" si="13"/>
        <v>PASSED</v>
      </c>
      <c r="AA65" s="98"/>
      <c r="AB65" s="99"/>
    </row>
    <row r="66" ht="15" spans="1:28">
      <c r="A66" s="37">
        <v>15</v>
      </c>
      <c r="B66" s="300" t="str">
        <f>'INPUT DATA'!B67:D67</f>
        <v>MASAYON, RHEA JANE L.</v>
      </c>
      <c r="C66" s="38"/>
      <c r="D66" s="38"/>
      <c r="E66" s="41"/>
      <c r="F66" s="81">
        <v>80</v>
      </c>
      <c r="G66" s="82"/>
      <c r="H66" s="82"/>
      <c r="I66" s="93"/>
      <c r="J66" s="81">
        <v>83</v>
      </c>
      <c r="K66" s="82"/>
      <c r="L66" s="82"/>
      <c r="M66" s="93"/>
      <c r="N66" s="81">
        <v>84</v>
      </c>
      <c r="O66" s="82"/>
      <c r="P66" s="82"/>
      <c r="Q66" s="93"/>
      <c r="R66" s="81">
        <v>84</v>
      </c>
      <c r="S66" s="82"/>
      <c r="T66" s="82"/>
      <c r="U66" s="93"/>
      <c r="V66" s="81">
        <f t="shared" si="12"/>
        <v>82.75</v>
      </c>
      <c r="W66" s="82"/>
      <c r="X66" s="82"/>
      <c r="Y66" s="93"/>
      <c r="Z66" s="97" t="str">
        <f t="shared" si="13"/>
        <v>PASSED</v>
      </c>
      <c r="AA66" s="98"/>
      <c r="AB66" s="99"/>
    </row>
    <row r="67" ht="15" spans="1:28">
      <c r="A67" s="37">
        <v>16</v>
      </c>
      <c r="B67" s="300" t="str">
        <f>'INPUT DATA'!B68:D68</f>
        <v>MORANCIL, JENEVI A.</v>
      </c>
      <c r="C67" s="38"/>
      <c r="D67" s="38"/>
      <c r="E67" s="41"/>
      <c r="F67" s="81">
        <v>87</v>
      </c>
      <c r="G67" s="82"/>
      <c r="H67" s="82"/>
      <c r="I67" s="93"/>
      <c r="J67" s="81">
        <v>89</v>
      </c>
      <c r="K67" s="82"/>
      <c r="L67" s="82"/>
      <c r="M67" s="93"/>
      <c r="N67" s="81">
        <v>89</v>
      </c>
      <c r="O67" s="82"/>
      <c r="P67" s="82"/>
      <c r="Q67" s="93"/>
      <c r="R67" s="81">
        <v>90</v>
      </c>
      <c r="S67" s="82"/>
      <c r="T67" s="82"/>
      <c r="U67" s="93"/>
      <c r="V67" s="81">
        <f t="shared" si="12"/>
        <v>88.75</v>
      </c>
      <c r="W67" s="82"/>
      <c r="X67" s="82"/>
      <c r="Y67" s="93"/>
      <c r="Z67" s="97" t="str">
        <f t="shared" si="13"/>
        <v>PASSED</v>
      </c>
      <c r="AA67" s="98"/>
      <c r="AB67" s="99"/>
    </row>
    <row r="68" ht="15" spans="1:28">
      <c r="A68" s="37">
        <v>17</v>
      </c>
      <c r="B68" s="300" t="str">
        <f>'INPUT DATA'!B69:D69</f>
        <v>PATRICIO, MICHA ELLA P.</v>
      </c>
      <c r="C68" s="38"/>
      <c r="D68" s="38"/>
      <c r="E68" s="41"/>
      <c r="F68" s="81">
        <v>77</v>
      </c>
      <c r="G68" s="82"/>
      <c r="H68" s="82"/>
      <c r="I68" s="93"/>
      <c r="J68" s="81">
        <v>79</v>
      </c>
      <c r="K68" s="82"/>
      <c r="L68" s="82"/>
      <c r="M68" s="93"/>
      <c r="N68" s="81">
        <v>77</v>
      </c>
      <c r="O68" s="82"/>
      <c r="P68" s="82"/>
      <c r="Q68" s="93"/>
      <c r="R68" s="81">
        <v>77</v>
      </c>
      <c r="S68" s="82"/>
      <c r="T68" s="82"/>
      <c r="U68" s="93"/>
      <c r="V68" s="81">
        <f t="shared" si="12"/>
        <v>77.5</v>
      </c>
      <c r="W68" s="82"/>
      <c r="X68" s="82"/>
      <c r="Y68" s="93"/>
      <c r="Z68" s="97" t="str">
        <f t="shared" si="13"/>
        <v>PASSED</v>
      </c>
      <c r="AA68" s="98"/>
      <c r="AB68" s="99"/>
    </row>
    <row r="69" ht="15" spans="1:28">
      <c r="A69" s="37">
        <v>18</v>
      </c>
      <c r="B69" s="300" t="str">
        <f>'INPUT DATA'!B70:D70</f>
        <v>PELINGON , ASHLEY C.</v>
      </c>
      <c r="C69" s="38"/>
      <c r="D69" s="38"/>
      <c r="E69" s="41"/>
      <c r="F69" s="81">
        <v>82</v>
      </c>
      <c r="G69" s="82"/>
      <c r="H69" s="82"/>
      <c r="I69" s="93"/>
      <c r="J69" s="81">
        <v>85</v>
      </c>
      <c r="K69" s="82"/>
      <c r="L69" s="82"/>
      <c r="M69" s="93"/>
      <c r="N69" s="81">
        <v>85</v>
      </c>
      <c r="O69" s="82"/>
      <c r="P69" s="82"/>
      <c r="Q69" s="93"/>
      <c r="R69" s="81">
        <v>86</v>
      </c>
      <c r="S69" s="82"/>
      <c r="T69" s="82"/>
      <c r="U69" s="93"/>
      <c r="V69" s="81">
        <f t="shared" si="12"/>
        <v>84.5</v>
      </c>
      <c r="W69" s="82"/>
      <c r="X69" s="82"/>
      <c r="Y69" s="93"/>
      <c r="Z69" s="97" t="str">
        <f t="shared" ref="Z69:Z81" si="14">IF(V69&gt;=75,"PASSED","FAILED")</f>
        <v>PASSED</v>
      </c>
      <c r="AA69" s="98"/>
      <c r="AB69" s="99"/>
    </row>
    <row r="70" ht="15" spans="1:28">
      <c r="A70" s="37">
        <v>19</v>
      </c>
      <c r="B70" s="300" t="str">
        <f>'INPUT DATA'!B71:D71</f>
        <v>PEREZ, MERCY JEAN T.</v>
      </c>
      <c r="C70" s="38"/>
      <c r="D70" s="38"/>
      <c r="E70" s="41"/>
      <c r="F70" s="81">
        <v>79</v>
      </c>
      <c r="G70" s="82"/>
      <c r="H70" s="82"/>
      <c r="I70" s="93"/>
      <c r="J70" s="81">
        <v>81</v>
      </c>
      <c r="K70" s="82"/>
      <c r="L70" s="82"/>
      <c r="M70" s="93"/>
      <c r="N70" s="81">
        <v>81</v>
      </c>
      <c r="O70" s="82"/>
      <c r="P70" s="82"/>
      <c r="Q70" s="93"/>
      <c r="R70" s="81">
        <v>82</v>
      </c>
      <c r="S70" s="82"/>
      <c r="T70" s="82"/>
      <c r="U70" s="93"/>
      <c r="V70" s="81">
        <f t="shared" si="12"/>
        <v>80.75</v>
      </c>
      <c r="W70" s="82"/>
      <c r="X70" s="82"/>
      <c r="Y70" s="93"/>
      <c r="Z70" s="97" t="str">
        <f t="shared" si="14"/>
        <v>PASSED</v>
      </c>
      <c r="AA70" s="98"/>
      <c r="AB70" s="99"/>
    </row>
    <row r="71" ht="15" spans="1:28">
      <c r="A71" s="37">
        <v>20</v>
      </c>
      <c r="B71" s="300" t="str">
        <f>'INPUT DATA'!B72:D72</f>
        <v>PINGOT, RHEA L.</v>
      </c>
      <c r="C71" s="38"/>
      <c r="D71" s="38"/>
      <c r="E71" s="41"/>
      <c r="F71" s="81">
        <v>80</v>
      </c>
      <c r="G71" s="82"/>
      <c r="H71" s="82"/>
      <c r="I71" s="93"/>
      <c r="J71" s="81">
        <v>83</v>
      </c>
      <c r="K71" s="82"/>
      <c r="L71" s="82"/>
      <c r="M71" s="93"/>
      <c r="N71" s="81">
        <v>83</v>
      </c>
      <c r="O71" s="82"/>
      <c r="P71" s="82"/>
      <c r="Q71" s="93"/>
      <c r="R71" s="81">
        <v>84</v>
      </c>
      <c r="S71" s="82"/>
      <c r="T71" s="82"/>
      <c r="U71" s="93"/>
      <c r="V71" s="81">
        <f t="shared" si="12"/>
        <v>82.5</v>
      </c>
      <c r="W71" s="82"/>
      <c r="X71" s="82"/>
      <c r="Y71" s="93"/>
      <c r="Z71" s="97" t="str">
        <f t="shared" si="14"/>
        <v>PASSED</v>
      </c>
      <c r="AA71" s="98"/>
      <c r="AB71" s="99"/>
    </row>
    <row r="72" ht="15" spans="1:28">
      <c r="A72" s="37">
        <v>21</v>
      </c>
      <c r="B72" s="300" t="str">
        <f>'INPUT DATA'!B73:D73</f>
        <v>QUILAT, FERRA MAE</v>
      </c>
      <c r="C72" s="38"/>
      <c r="D72" s="38"/>
      <c r="E72" s="41"/>
      <c r="F72" s="81">
        <v>77</v>
      </c>
      <c r="G72" s="82"/>
      <c r="H72" s="82"/>
      <c r="I72" s="93"/>
      <c r="J72" s="81">
        <v>77</v>
      </c>
      <c r="K72" s="82"/>
      <c r="L72" s="82"/>
      <c r="M72" s="93"/>
      <c r="N72" s="81">
        <v>74</v>
      </c>
      <c r="O72" s="82"/>
      <c r="P72" s="82"/>
      <c r="Q72" s="93"/>
      <c r="R72" s="81">
        <v>74</v>
      </c>
      <c r="S72" s="82"/>
      <c r="T72" s="82"/>
      <c r="U72" s="93"/>
      <c r="V72" s="81">
        <f t="shared" si="12"/>
        <v>75.5</v>
      </c>
      <c r="W72" s="82"/>
      <c r="X72" s="82"/>
      <c r="Y72" s="93"/>
      <c r="Z72" s="97" t="str">
        <f t="shared" si="14"/>
        <v>PASSED</v>
      </c>
      <c r="AA72" s="98"/>
      <c r="AB72" s="99"/>
    </row>
    <row r="73" ht="15" spans="1:28">
      <c r="A73" s="37">
        <v>22</v>
      </c>
      <c r="B73" s="300" t="str">
        <f>'INPUT DATA'!B74:D74</f>
        <v>ROSALES, RYZA MAE C.</v>
      </c>
      <c r="C73" s="38"/>
      <c r="D73" s="38"/>
      <c r="E73" s="41"/>
      <c r="F73" s="81">
        <v>85</v>
      </c>
      <c r="G73" s="82"/>
      <c r="H73" s="82"/>
      <c r="I73" s="93"/>
      <c r="J73" s="81">
        <v>88</v>
      </c>
      <c r="K73" s="82"/>
      <c r="L73" s="82"/>
      <c r="M73" s="93"/>
      <c r="N73" s="81">
        <v>89</v>
      </c>
      <c r="O73" s="82"/>
      <c r="P73" s="82"/>
      <c r="Q73" s="93"/>
      <c r="R73" s="81">
        <v>89</v>
      </c>
      <c r="S73" s="82"/>
      <c r="T73" s="82"/>
      <c r="U73" s="93"/>
      <c r="V73" s="81">
        <f t="shared" si="12"/>
        <v>87.75</v>
      </c>
      <c r="W73" s="82"/>
      <c r="X73" s="82"/>
      <c r="Y73" s="93"/>
      <c r="Z73" s="97" t="str">
        <f t="shared" si="14"/>
        <v>PASSED</v>
      </c>
      <c r="AA73" s="98"/>
      <c r="AB73" s="99"/>
    </row>
    <row r="74" ht="15" spans="1:28">
      <c r="A74" s="37">
        <v>23</v>
      </c>
      <c r="B74" s="300">
        <f>FILIPINO!B70</f>
        <v>0</v>
      </c>
      <c r="C74" s="38"/>
      <c r="D74" s="38"/>
      <c r="E74" s="41"/>
      <c r="F74" s="81"/>
      <c r="G74" s="82"/>
      <c r="H74" s="82"/>
      <c r="I74" s="93"/>
      <c r="J74" s="81"/>
      <c r="K74" s="82"/>
      <c r="L74" s="82"/>
      <c r="M74" s="93"/>
      <c r="N74" s="81"/>
      <c r="O74" s="82"/>
      <c r="P74" s="82"/>
      <c r="Q74" s="93"/>
      <c r="R74" s="81"/>
      <c r="S74" s="82"/>
      <c r="T74" s="82"/>
      <c r="U74" s="93"/>
      <c r="V74" s="81">
        <f t="shared" si="12"/>
        <v>0</v>
      </c>
      <c r="W74" s="82"/>
      <c r="X74" s="82"/>
      <c r="Y74" s="93"/>
      <c r="Z74" s="97" t="str">
        <f t="shared" si="14"/>
        <v>FAILED</v>
      </c>
      <c r="AA74" s="98"/>
      <c r="AB74" s="99"/>
    </row>
    <row r="75" ht="15" spans="1:28">
      <c r="A75" s="37">
        <v>24</v>
      </c>
      <c r="B75" s="300">
        <f>FILIPINO!B71</f>
        <v>0</v>
      </c>
      <c r="C75" s="38"/>
      <c r="D75" s="38"/>
      <c r="E75" s="41"/>
      <c r="F75" s="81"/>
      <c r="G75" s="82"/>
      <c r="H75" s="82"/>
      <c r="I75" s="93"/>
      <c r="J75" s="81"/>
      <c r="K75" s="82"/>
      <c r="L75" s="82"/>
      <c r="M75" s="93"/>
      <c r="N75" s="81"/>
      <c r="O75" s="82"/>
      <c r="P75" s="82"/>
      <c r="Q75" s="93"/>
      <c r="R75" s="81"/>
      <c r="S75" s="82"/>
      <c r="T75" s="82"/>
      <c r="U75" s="93"/>
      <c r="V75" s="81">
        <f t="shared" si="12"/>
        <v>0</v>
      </c>
      <c r="W75" s="82"/>
      <c r="X75" s="82"/>
      <c r="Y75" s="93"/>
      <c r="Z75" s="97" t="str">
        <f t="shared" si="14"/>
        <v>FAILED</v>
      </c>
      <c r="AA75" s="98"/>
      <c r="AB75" s="99"/>
    </row>
    <row r="76" ht="15" spans="1:28">
      <c r="A76" s="37">
        <v>25</v>
      </c>
      <c r="B76" s="300">
        <f>FILIPINO!B72</f>
        <v>0</v>
      </c>
      <c r="C76" s="38"/>
      <c r="D76" s="38"/>
      <c r="E76" s="41"/>
      <c r="F76" s="81"/>
      <c r="G76" s="82"/>
      <c r="H76" s="82"/>
      <c r="I76" s="93"/>
      <c r="J76" s="81"/>
      <c r="K76" s="82"/>
      <c r="L76" s="82"/>
      <c r="M76" s="93"/>
      <c r="N76" s="81"/>
      <c r="O76" s="82"/>
      <c r="P76" s="82"/>
      <c r="Q76" s="93"/>
      <c r="R76" s="81"/>
      <c r="S76" s="82"/>
      <c r="T76" s="82"/>
      <c r="U76" s="93"/>
      <c r="V76" s="81">
        <f t="shared" si="12"/>
        <v>0</v>
      </c>
      <c r="W76" s="82"/>
      <c r="X76" s="82"/>
      <c r="Y76" s="93"/>
      <c r="Z76" s="97" t="str">
        <f t="shared" si="14"/>
        <v>FAILED</v>
      </c>
      <c r="AA76" s="98"/>
      <c r="AB76" s="99"/>
    </row>
    <row r="77" ht="15" hidden="1" spans="1:28">
      <c r="A77" s="42">
        <v>26</v>
      </c>
      <c r="B77" s="336">
        <f>FILIPINO!B73</f>
        <v>0</v>
      </c>
      <c r="C77" s="107"/>
      <c r="D77" s="107"/>
      <c r="E77" s="108"/>
      <c r="F77" s="81"/>
      <c r="G77" s="82"/>
      <c r="H77" s="82"/>
      <c r="I77" s="93"/>
      <c r="J77" s="81"/>
      <c r="K77" s="82"/>
      <c r="L77" s="82"/>
      <c r="M77" s="93"/>
      <c r="N77" s="81"/>
      <c r="O77" s="82"/>
      <c r="P77" s="82"/>
      <c r="Q77" s="93"/>
      <c r="R77" s="81"/>
      <c r="S77" s="82"/>
      <c r="T77" s="82"/>
      <c r="U77" s="93"/>
      <c r="V77" s="81">
        <f t="shared" ref="V77:V86" si="15">SUM(F77,J77,N77,R77)/4</f>
        <v>0</v>
      </c>
      <c r="W77" s="82"/>
      <c r="X77" s="82"/>
      <c r="Y77" s="93"/>
      <c r="Z77" s="97" t="str">
        <f t="shared" si="14"/>
        <v>FAILED</v>
      </c>
      <c r="AA77" s="98"/>
      <c r="AB77" s="99"/>
    </row>
    <row r="78" ht="15" hidden="1" spans="1:28">
      <c r="A78" s="42">
        <v>27</v>
      </c>
      <c r="B78" s="300">
        <f>FILIPINO!B74</f>
        <v>0</v>
      </c>
      <c r="C78" s="109"/>
      <c r="D78" s="109"/>
      <c r="E78" s="110"/>
      <c r="F78" s="81"/>
      <c r="G78" s="82"/>
      <c r="H78" s="82"/>
      <c r="I78" s="93"/>
      <c r="J78" s="81"/>
      <c r="K78" s="82"/>
      <c r="L78" s="82"/>
      <c r="M78" s="93"/>
      <c r="N78" s="81"/>
      <c r="O78" s="82"/>
      <c r="P78" s="82"/>
      <c r="Q78" s="93"/>
      <c r="R78" s="81"/>
      <c r="S78" s="82"/>
      <c r="T78" s="82"/>
      <c r="U78" s="93"/>
      <c r="V78" s="81">
        <f t="shared" si="15"/>
        <v>0</v>
      </c>
      <c r="W78" s="82"/>
      <c r="X78" s="82"/>
      <c r="Y78" s="93"/>
      <c r="Z78" s="97" t="str">
        <f t="shared" si="14"/>
        <v>FAILED</v>
      </c>
      <c r="AA78" s="98"/>
      <c r="AB78" s="99"/>
    </row>
    <row r="79" ht="15" hidden="1" spans="1:28">
      <c r="A79" s="42">
        <v>28</v>
      </c>
      <c r="B79" s="300">
        <f>FILIPINO!B75</f>
        <v>0</v>
      </c>
      <c r="C79" s="109"/>
      <c r="D79" s="109"/>
      <c r="E79" s="110"/>
      <c r="F79" s="81"/>
      <c r="G79" s="82"/>
      <c r="H79" s="82"/>
      <c r="I79" s="93"/>
      <c r="J79" s="81"/>
      <c r="K79" s="82"/>
      <c r="L79" s="82"/>
      <c r="M79" s="93"/>
      <c r="N79" s="81"/>
      <c r="O79" s="82"/>
      <c r="P79" s="82"/>
      <c r="Q79" s="93"/>
      <c r="R79" s="81"/>
      <c r="S79" s="82"/>
      <c r="T79" s="82"/>
      <c r="U79" s="93"/>
      <c r="V79" s="81">
        <f t="shared" si="15"/>
        <v>0</v>
      </c>
      <c r="W79" s="82"/>
      <c r="X79" s="82"/>
      <c r="Y79" s="93"/>
      <c r="Z79" s="97" t="str">
        <f t="shared" si="14"/>
        <v>FAILED</v>
      </c>
      <c r="AA79" s="98"/>
      <c r="AB79" s="99"/>
    </row>
    <row r="80" ht="15" hidden="1" spans="1:28">
      <c r="A80" s="42">
        <v>29</v>
      </c>
      <c r="B80" s="300">
        <f>FILIPINO!B76</f>
        <v>0</v>
      </c>
      <c r="C80" s="109"/>
      <c r="D80" s="109"/>
      <c r="E80" s="110"/>
      <c r="F80" s="81"/>
      <c r="G80" s="82"/>
      <c r="H80" s="82"/>
      <c r="I80" s="93"/>
      <c r="J80" s="81"/>
      <c r="K80" s="82"/>
      <c r="L80" s="82"/>
      <c r="M80" s="93"/>
      <c r="N80" s="81"/>
      <c r="O80" s="82"/>
      <c r="P80" s="82"/>
      <c r="Q80" s="93"/>
      <c r="R80" s="81"/>
      <c r="S80" s="82"/>
      <c r="T80" s="82"/>
      <c r="U80" s="93"/>
      <c r="V80" s="81">
        <f t="shared" si="15"/>
        <v>0</v>
      </c>
      <c r="W80" s="82"/>
      <c r="X80" s="82"/>
      <c r="Y80" s="93"/>
      <c r="Z80" s="97" t="str">
        <f t="shared" si="14"/>
        <v>FAILED</v>
      </c>
      <c r="AA80" s="98"/>
      <c r="AB80" s="99"/>
    </row>
    <row r="81" ht="15" hidden="1" spans="1:28">
      <c r="A81" s="42">
        <v>30</v>
      </c>
      <c r="B81" s="300">
        <f>FILIPINO!B77</f>
        <v>0</v>
      </c>
      <c r="C81" s="109"/>
      <c r="D81" s="109"/>
      <c r="E81" s="110"/>
      <c r="F81" s="81"/>
      <c r="G81" s="82"/>
      <c r="H81" s="82"/>
      <c r="I81" s="93"/>
      <c r="J81" s="81"/>
      <c r="K81" s="82"/>
      <c r="L81" s="82"/>
      <c r="M81" s="93"/>
      <c r="N81" s="81"/>
      <c r="O81" s="82"/>
      <c r="P81" s="82"/>
      <c r="Q81" s="93"/>
      <c r="R81" s="81"/>
      <c r="S81" s="82"/>
      <c r="T81" s="82"/>
      <c r="U81" s="93"/>
      <c r="V81" s="81">
        <f t="shared" si="15"/>
        <v>0</v>
      </c>
      <c r="W81" s="82"/>
      <c r="X81" s="82"/>
      <c r="Y81" s="93"/>
      <c r="Z81" s="97" t="str">
        <f t="shared" si="14"/>
        <v>FAILED</v>
      </c>
      <c r="AA81" s="98"/>
      <c r="AB81" s="99"/>
    </row>
    <row r="82" ht="15" hidden="1" spans="1:28">
      <c r="A82" s="42">
        <v>31</v>
      </c>
      <c r="B82" s="300">
        <f>FILIPINO!B78</f>
        <v>0</v>
      </c>
      <c r="C82" s="109"/>
      <c r="D82" s="109"/>
      <c r="E82" s="110"/>
      <c r="F82" s="81"/>
      <c r="G82" s="82"/>
      <c r="H82" s="82"/>
      <c r="I82" s="93"/>
      <c r="J82" s="81"/>
      <c r="K82" s="82"/>
      <c r="L82" s="82"/>
      <c r="M82" s="93"/>
      <c r="N82" s="81"/>
      <c r="O82" s="82"/>
      <c r="P82" s="82"/>
      <c r="Q82" s="93"/>
      <c r="R82" s="81"/>
      <c r="S82" s="82"/>
      <c r="T82" s="82"/>
      <c r="U82" s="93"/>
      <c r="V82" s="81">
        <f t="shared" si="15"/>
        <v>0</v>
      </c>
      <c r="W82" s="82"/>
      <c r="X82" s="82"/>
      <c r="Y82" s="93"/>
      <c r="Z82" s="97"/>
      <c r="AA82" s="98"/>
      <c r="AB82" s="99"/>
    </row>
    <row r="83" ht="15" hidden="1" spans="1:28">
      <c r="A83" s="42">
        <v>32</v>
      </c>
      <c r="B83" s="300">
        <f>FILIPINO!B79</f>
        <v>0</v>
      </c>
      <c r="C83" s="109"/>
      <c r="D83" s="109"/>
      <c r="E83" s="110"/>
      <c r="F83" s="81"/>
      <c r="G83" s="82"/>
      <c r="H83" s="82"/>
      <c r="I83" s="93"/>
      <c r="J83" s="81"/>
      <c r="K83" s="82"/>
      <c r="L83" s="82"/>
      <c r="M83" s="93"/>
      <c r="N83" s="81"/>
      <c r="O83" s="82"/>
      <c r="P83" s="82"/>
      <c r="Q83" s="93"/>
      <c r="R83" s="81"/>
      <c r="S83" s="82"/>
      <c r="T83" s="82"/>
      <c r="U83" s="93"/>
      <c r="V83" s="81">
        <f t="shared" si="15"/>
        <v>0</v>
      </c>
      <c r="W83" s="82"/>
      <c r="X83" s="82"/>
      <c r="Y83" s="93"/>
      <c r="Z83" s="97"/>
      <c r="AA83" s="98"/>
      <c r="AB83" s="99"/>
    </row>
    <row r="84" ht="15" hidden="1" spans="1:28">
      <c r="A84" s="42">
        <v>33</v>
      </c>
      <c r="B84" s="300">
        <f>FILIPINO!B80</f>
        <v>0</v>
      </c>
      <c r="C84" s="109"/>
      <c r="D84" s="109"/>
      <c r="E84" s="110"/>
      <c r="F84" s="81"/>
      <c r="G84" s="82"/>
      <c r="H84" s="82"/>
      <c r="I84" s="93"/>
      <c r="J84" s="81"/>
      <c r="K84" s="82"/>
      <c r="L84" s="82"/>
      <c r="M84" s="93"/>
      <c r="N84" s="81"/>
      <c r="O84" s="82"/>
      <c r="P84" s="82"/>
      <c r="Q84" s="93"/>
      <c r="R84" s="81"/>
      <c r="S84" s="82"/>
      <c r="T84" s="82"/>
      <c r="U84" s="93"/>
      <c r="V84" s="81">
        <f t="shared" si="15"/>
        <v>0</v>
      </c>
      <c r="W84" s="82"/>
      <c r="X84" s="82"/>
      <c r="Y84" s="93"/>
      <c r="Z84" s="97"/>
      <c r="AA84" s="98"/>
      <c r="AB84" s="99"/>
    </row>
    <row r="85" ht="15" hidden="1" spans="1:28">
      <c r="A85" s="42">
        <v>34</v>
      </c>
      <c r="B85" s="300">
        <f>FILIPINO!B81</f>
        <v>0</v>
      </c>
      <c r="C85" s="109"/>
      <c r="D85" s="109"/>
      <c r="E85" s="110"/>
      <c r="F85" s="81"/>
      <c r="G85" s="82"/>
      <c r="H85" s="82"/>
      <c r="I85" s="93"/>
      <c r="J85" s="81"/>
      <c r="K85" s="82"/>
      <c r="L85" s="82"/>
      <c r="M85" s="93"/>
      <c r="N85" s="81"/>
      <c r="O85" s="82"/>
      <c r="P85" s="82"/>
      <c r="Q85" s="93"/>
      <c r="R85" s="81"/>
      <c r="S85" s="82"/>
      <c r="T85" s="82"/>
      <c r="U85" s="93"/>
      <c r="V85" s="81">
        <f t="shared" si="15"/>
        <v>0</v>
      </c>
      <c r="W85" s="82"/>
      <c r="X85" s="82"/>
      <c r="Y85" s="93"/>
      <c r="Z85" s="97"/>
      <c r="AA85" s="98"/>
      <c r="AB85" s="99"/>
    </row>
    <row r="86" ht="15" hidden="1" spans="1:28">
      <c r="A86" s="42">
        <v>35</v>
      </c>
      <c r="B86" s="300">
        <f>FILIPINO!B82</f>
        <v>0</v>
      </c>
      <c r="C86" s="109"/>
      <c r="D86" s="109"/>
      <c r="E86" s="110"/>
      <c r="F86" s="81"/>
      <c r="G86" s="82"/>
      <c r="H86" s="82"/>
      <c r="I86" s="93"/>
      <c r="J86" s="81"/>
      <c r="K86" s="82"/>
      <c r="L86" s="82"/>
      <c r="M86" s="93"/>
      <c r="N86" s="81"/>
      <c r="O86" s="82"/>
      <c r="P86" s="82"/>
      <c r="Q86" s="93"/>
      <c r="R86" s="81"/>
      <c r="S86" s="82"/>
      <c r="T86" s="82"/>
      <c r="U86" s="93"/>
      <c r="V86" s="81">
        <f t="shared" si="15"/>
        <v>0</v>
      </c>
      <c r="W86" s="82"/>
      <c r="X86" s="82"/>
      <c r="Y86" s="93"/>
      <c r="Z86" s="97"/>
      <c r="AA86" s="98"/>
      <c r="AB86" s="99"/>
    </row>
    <row r="87" hidden="1"/>
  </sheetData>
  <mergeCells count="491">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B7:E10"/>
    <mergeCell ref="A1:AB2"/>
    <mergeCell ref="Z9:AB10"/>
  </mergeCells>
  <dataValidations count="3">
    <dataValidation allowBlank="1" showErrorMessage="1" sqref="A11:AB11 V16:Y16 Z16:AB16 A51:AB51 F12:F50 J12:J50 N12:N50 R12:R50 V17:AB50 G46:I50 S46:U50 F52:AB86 G12:I31 S12:U31 K46:M50 O46:Q50 K12:M31 O12:Q31 V12:AB15"/>
    <dataValidation allowBlank="1" showInputMessage="1" showErrorMessage="1" prompt="Do not type name of learners here. Go to INPUT DATA sheet." sqref="B12:B31 B33:B50 B52:B86"/>
    <dataValidation allowBlank="1" showErrorMessage="1" prompt="EITHER WRITE YOUR OWN HPS OR EMPTY" sqref="F9:AB10"/>
  </dataValidations>
  <pageMargins left="0.2" right="0.2" top="0.25" bottom="0.25" header="0.3" footer="0.3"/>
  <pageSetup paperSize="9" scale="7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88"/>
  <sheetViews>
    <sheetView zoomScale="111" zoomScaleNormal="111" topLeftCell="A29" workbookViewId="0">
      <selection activeCell="R58" sqref="R58:U58"/>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62</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349" t="s">
        <v>2</v>
      </c>
      <c r="H5" s="350"/>
      <c r="I5" s="350"/>
      <c r="J5" s="357"/>
      <c r="K5" s="56"/>
      <c r="L5" s="57" t="s">
        <v>3</v>
      </c>
      <c r="M5" s="57"/>
      <c r="N5" s="58"/>
      <c r="O5" s="349" t="s">
        <v>63</v>
      </c>
      <c r="P5" s="350"/>
      <c r="Q5" s="350"/>
      <c r="R5" s="357"/>
      <c r="S5" s="317"/>
      <c r="T5" s="317"/>
      <c r="U5" s="317"/>
      <c r="V5" s="317"/>
      <c r="W5" s="318"/>
      <c r="X5" s="318"/>
      <c r="Y5" s="318"/>
      <c r="Z5" s="318"/>
      <c r="AA5" s="318"/>
      <c r="AB5" s="318"/>
    </row>
    <row r="6" ht="18.15" spans="1:28">
      <c r="A6" s="3"/>
      <c r="B6" s="5" t="s">
        <v>5</v>
      </c>
      <c r="C6" s="5"/>
      <c r="D6" s="5"/>
      <c r="E6" s="5"/>
      <c r="F6" s="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79</v>
      </c>
      <c r="L8" s="60"/>
      <c r="M8" s="60"/>
      <c r="N8" s="60"/>
      <c r="O8" s="60"/>
      <c r="P8" s="60"/>
      <c r="Q8" s="60"/>
      <c r="R8" s="79"/>
      <c r="S8" s="18" t="s">
        <v>15</v>
      </c>
      <c r="T8" s="19"/>
      <c r="U8" s="19"/>
      <c r="V8" s="19"/>
      <c r="W8" s="59" t="s">
        <v>80</v>
      </c>
      <c r="X8" s="59"/>
      <c r="Y8" s="59"/>
      <c r="Z8" s="59"/>
      <c r="AA8" s="59"/>
      <c r="AB8" s="78"/>
    </row>
    <row r="9" ht="15.6" spans="1:28">
      <c r="A9" s="15"/>
      <c r="B9" s="16"/>
      <c r="C9" s="16"/>
      <c r="D9" s="16"/>
      <c r="E9" s="17"/>
      <c r="F9" s="20" t="s">
        <v>80</v>
      </c>
      <c r="G9" s="21"/>
      <c r="H9" s="21"/>
      <c r="I9" s="61"/>
      <c r="J9" s="20" t="s">
        <v>80</v>
      </c>
      <c r="K9" s="21"/>
      <c r="L9" s="21"/>
      <c r="M9" s="61"/>
      <c r="N9" s="20" t="s">
        <v>80</v>
      </c>
      <c r="O9" s="21"/>
      <c r="P9" s="21"/>
      <c r="Q9" s="61"/>
      <c r="R9" s="20" t="s">
        <v>80</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75" spans="1:28">
      <c r="A12" s="32">
        <v>1</v>
      </c>
      <c r="B12" s="375" t="str">
        <f>'INPUT DATA'!B12:D12</f>
        <v>ANUBLING, REGIE C.</v>
      </c>
      <c r="C12" s="376"/>
      <c r="D12" s="376"/>
      <c r="E12" s="376"/>
      <c r="F12" s="81">
        <v>79</v>
      </c>
      <c r="G12" s="82"/>
      <c r="H12" s="82"/>
      <c r="I12" s="93"/>
      <c r="J12" s="81">
        <v>80</v>
      </c>
      <c r="K12" s="82"/>
      <c r="L12" s="82"/>
      <c r="M12" s="93"/>
      <c r="N12" s="81">
        <v>82</v>
      </c>
      <c r="O12" s="82"/>
      <c r="P12" s="82"/>
      <c r="Q12" s="93"/>
      <c r="R12" s="81">
        <v>82</v>
      </c>
      <c r="S12" s="82"/>
      <c r="T12" s="82"/>
      <c r="U12" s="93"/>
      <c r="V12" s="81">
        <f>SUM(F12,J12,N12,R12)/4</f>
        <v>80.75</v>
      </c>
      <c r="W12" s="82"/>
      <c r="X12" s="82"/>
      <c r="Y12" s="93"/>
      <c r="Z12" s="94" t="str">
        <f>IF(V12&gt;=75,"PASSED","FAILED")</f>
        <v>PASSED</v>
      </c>
      <c r="AA12" s="95"/>
      <c r="AB12" s="96"/>
    </row>
    <row r="13" ht="15.75" spans="1:28">
      <c r="A13" s="37">
        <v>2</v>
      </c>
      <c r="B13" s="375" t="str">
        <f>'INPUT DATA'!B13:D13</f>
        <v>BANGCOY, JOHN PAUL P.</v>
      </c>
      <c r="C13" s="377"/>
      <c r="D13" s="377"/>
      <c r="E13" s="377"/>
      <c r="F13" s="81"/>
      <c r="G13" s="82"/>
      <c r="H13" s="82"/>
      <c r="I13" s="93"/>
      <c r="J13" s="81"/>
      <c r="K13" s="82"/>
      <c r="L13" s="82"/>
      <c r="M13" s="93"/>
      <c r="N13" s="81"/>
      <c r="O13" s="82"/>
      <c r="P13" s="82"/>
      <c r="Q13" s="93"/>
      <c r="R13" s="81"/>
      <c r="S13" s="82"/>
      <c r="T13" s="82"/>
      <c r="U13" s="93"/>
      <c r="V13" s="81">
        <f t="shared" ref="V13:V36" si="0">SUM(F13,J13,N13,R13)/4</f>
        <v>0</v>
      </c>
      <c r="W13" s="82"/>
      <c r="X13" s="82"/>
      <c r="Y13" s="93"/>
      <c r="Z13" s="97" t="str">
        <f t="shared" ref="Z13:Z68" si="1">IF(V13&gt;=75,"PASSED","FAILED")</f>
        <v>FAILED</v>
      </c>
      <c r="AA13" s="95"/>
      <c r="AB13" s="99"/>
    </row>
    <row r="14" ht="15.75" spans="1:28">
      <c r="A14" s="37">
        <v>3</v>
      </c>
      <c r="B14" s="375" t="str">
        <f>'INPUT DATA'!B14:D14</f>
        <v>BARRIENTOS, JOHN PAUL M.</v>
      </c>
      <c r="C14" s="377"/>
      <c r="D14" s="377"/>
      <c r="E14" s="378"/>
      <c r="F14" s="81">
        <v>90</v>
      </c>
      <c r="G14" s="82"/>
      <c r="H14" s="82"/>
      <c r="I14" s="93"/>
      <c r="J14" s="81">
        <v>89</v>
      </c>
      <c r="K14" s="82"/>
      <c r="L14" s="82"/>
      <c r="M14" s="93"/>
      <c r="N14" s="81">
        <v>91</v>
      </c>
      <c r="O14" s="82"/>
      <c r="P14" s="82"/>
      <c r="Q14" s="93"/>
      <c r="R14" s="81">
        <v>92</v>
      </c>
      <c r="S14" s="82"/>
      <c r="T14" s="82"/>
      <c r="U14" s="93"/>
      <c r="V14" s="81">
        <f t="shared" si="0"/>
        <v>90.5</v>
      </c>
      <c r="W14" s="82"/>
      <c r="X14" s="82"/>
      <c r="Y14" s="93"/>
      <c r="Z14" s="97" t="str">
        <f t="shared" si="1"/>
        <v>PASSED</v>
      </c>
      <c r="AA14" s="95"/>
      <c r="AB14" s="99"/>
    </row>
    <row r="15" ht="15.75" spans="1:28">
      <c r="A15" s="37">
        <v>4</v>
      </c>
      <c r="B15" s="375" t="str">
        <f>'INPUT DATA'!B15:D15</f>
        <v>BRIGOLE, ROMEL</v>
      </c>
      <c r="C15" s="377"/>
      <c r="D15" s="377"/>
      <c r="E15" s="378"/>
      <c r="F15" s="81">
        <v>70</v>
      </c>
      <c r="G15" s="82"/>
      <c r="H15" s="82"/>
      <c r="I15" s="93"/>
      <c r="J15" s="81">
        <v>70</v>
      </c>
      <c r="K15" s="82"/>
      <c r="L15" s="82"/>
      <c r="M15" s="93"/>
      <c r="N15" s="81">
        <v>70</v>
      </c>
      <c r="O15" s="82"/>
      <c r="P15" s="82"/>
      <c r="Q15" s="93"/>
      <c r="R15" s="81">
        <v>70</v>
      </c>
      <c r="S15" s="82"/>
      <c r="T15" s="82"/>
      <c r="U15" s="93"/>
      <c r="V15" s="81">
        <f t="shared" si="0"/>
        <v>70</v>
      </c>
      <c r="W15" s="82"/>
      <c r="X15" s="82"/>
      <c r="Y15" s="93"/>
      <c r="Z15" s="97" t="str">
        <f t="shared" si="1"/>
        <v>FAILED</v>
      </c>
      <c r="AA15" s="95"/>
      <c r="AB15" s="99"/>
    </row>
    <row r="16" ht="15.75" spans="1:28">
      <c r="A16" s="37">
        <v>5</v>
      </c>
      <c r="B16" s="375" t="str">
        <f>'INPUT DATA'!B16:D16</f>
        <v>BULAHAN,ROVIC L.</v>
      </c>
      <c r="C16" s="377"/>
      <c r="D16" s="377"/>
      <c r="E16" s="378"/>
      <c r="F16" s="81">
        <v>91</v>
      </c>
      <c r="G16" s="82"/>
      <c r="H16" s="82"/>
      <c r="I16" s="93"/>
      <c r="J16" s="81">
        <v>92</v>
      </c>
      <c r="K16" s="82"/>
      <c r="L16" s="82"/>
      <c r="M16" s="93"/>
      <c r="N16" s="81">
        <v>92</v>
      </c>
      <c r="O16" s="82"/>
      <c r="P16" s="82"/>
      <c r="Q16" s="93"/>
      <c r="R16" s="81">
        <v>93</v>
      </c>
      <c r="S16" s="82"/>
      <c r="T16" s="82"/>
      <c r="U16" s="93"/>
      <c r="V16" s="81">
        <f t="shared" si="0"/>
        <v>92</v>
      </c>
      <c r="W16" s="82"/>
      <c r="X16" s="82"/>
      <c r="Y16" s="93"/>
      <c r="Z16" s="97" t="str">
        <f t="shared" ref="Z16" si="2">IF(V16&gt;=75,"PASSED","FAILED")</f>
        <v>PASSED</v>
      </c>
      <c r="AA16" s="95"/>
      <c r="AB16" s="99"/>
    </row>
    <row r="17" ht="15.75" spans="1:28">
      <c r="A17" s="37">
        <v>6</v>
      </c>
      <c r="B17" s="375" t="str">
        <f>'INPUT DATA'!B17:D17</f>
        <v>CIJAS, ROLIE JR. A.</v>
      </c>
      <c r="C17" s="377"/>
      <c r="D17" s="377"/>
      <c r="E17" s="378"/>
      <c r="F17" s="81">
        <v>90</v>
      </c>
      <c r="G17" s="82"/>
      <c r="H17" s="82"/>
      <c r="I17" s="93"/>
      <c r="J17" s="81">
        <v>92</v>
      </c>
      <c r="K17" s="82"/>
      <c r="L17" s="82"/>
      <c r="M17" s="93"/>
      <c r="N17" s="81">
        <v>92</v>
      </c>
      <c r="O17" s="82"/>
      <c r="P17" s="82"/>
      <c r="Q17" s="93"/>
      <c r="R17" s="81">
        <v>93</v>
      </c>
      <c r="S17" s="82"/>
      <c r="T17" s="82"/>
      <c r="U17" s="93"/>
      <c r="V17" s="81">
        <f t="shared" si="0"/>
        <v>91.75</v>
      </c>
      <c r="W17" s="82"/>
      <c r="X17" s="82"/>
      <c r="Y17" s="93"/>
      <c r="Z17" s="97" t="str">
        <f t="shared" si="1"/>
        <v>PASSED</v>
      </c>
      <c r="AA17" s="95"/>
      <c r="AB17" s="99"/>
    </row>
    <row r="18" ht="15.75" spans="1:28">
      <c r="A18" s="37">
        <v>7</v>
      </c>
      <c r="B18" s="375" t="str">
        <f>'INPUT DATA'!B18:D18</f>
        <v>GARCIA, DAVE P.</v>
      </c>
      <c r="C18" s="377"/>
      <c r="D18" s="377"/>
      <c r="E18" s="378"/>
      <c r="F18" s="81">
        <v>82</v>
      </c>
      <c r="G18" s="82"/>
      <c r="H18" s="82"/>
      <c r="I18" s="93"/>
      <c r="J18" s="81">
        <v>83</v>
      </c>
      <c r="K18" s="82"/>
      <c r="L18" s="82"/>
      <c r="M18" s="93"/>
      <c r="N18" s="81">
        <v>82</v>
      </c>
      <c r="O18" s="82"/>
      <c r="P18" s="82"/>
      <c r="Q18" s="93"/>
      <c r="R18" s="81">
        <v>83</v>
      </c>
      <c r="S18" s="82"/>
      <c r="T18" s="82"/>
      <c r="U18" s="93"/>
      <c r="V18" s="81">
        <f t="shared" si="0"/>
        <v>82.5</v>
      </c>
      <c r="W18" s="82"/>
      <c r="X18" s="82"/>
      <c r="Y18" s="93"/>
      <c r="Z18" s="97" t="str">
        <f t="shared" si="1"/>
        <v>PASSED</v>
      </c>
      <c r="AA18" s="95"/>
      <c r="AB18" s="99"/>
    </row>
    <row r="19" ht="15.75" spans="1:28">
      <c r="A19" s="37">
        <v>8</v>
      </c>
      <c r="B19" s="375" t="str">
        <f>'INPUT DATA'!B19:D19</f>
        <v>GONZALES, JAMES A.</v>
      </c>
      <c r="C19" s="377"/>
      <c r="D19" s="377">
        <v>0</v>
      </c>
      <c r="E19" s="378"/>
      <c r="F19" s="81">
        <v>83</v>
      </c>
      <c r="G19" s="82"/>
      <c r="H19" s="82"/>
      <c r="I19" s="93"/>
      <c r="J19" s="81">
        <v>85</v>
      </c>
      <c r="K19" s="82"/>
      <c r="L19" s="82"/>
      <c r="M19" s="93"/>
      <c r="N19" s="81">
        <v>86</v>
      </c>
      <c r="O19" s="82"/>
      <c r="P19" s="82"/>
      <c r="Q19" s="93"/>
      <c r="R19" s="81">
        <v>87</v>
      </c>
      <c r="S19" s="82"/>
      <c r="T19" s="82"/>
      <c r="U19" s="93"/>
      <c r="V19" s="81">
        <f t="shared" si="0"/>
        <v>85.25</v>
      </c>
      <c r="W19" s="82"/>
      <c r="X19" s="82"/>
      <c r="Y19" s="93"/>
      <c r="Z19" s="97" t="str">
        <f t="shared" si="1"/>
        <v>PASSED</v>
      </c>
      <c r="AA19" s="95"/>
      <c r="AB19" s="99"/>
    </row>
    <row r="20" ht="15.75" spans="1:28">
      <c r="A20" s="37">
        <v>9</v>
      </c>
      <c r="B20" s="375" t="str">
        <f>'INPUT DATA'!B20:D20</f>
        <v>LAGUNA, J.B. B.</v>
      </c>
      <c r="C20" s="377"/>
      <c r="D20" s="377"/>
      <c r="E20" s="378"/>
      <c r="F20" s="81">
        <v>90</v>
      </c>
      <c r="G20" s="82"/>
      <c r="H20" s="82"/>
      <c r="I20" s="93"/>
      <c r="J20" s="81">
        <v>89</v>
      </c>
      <c r="K20" s="82"/>
      <c r="L20" s="82"/>
      <c r="M20" s="93"/>
      <c r="N20" s="81">
        <v>90</v>
      </c>
      <c r="O20" s="82"/>
      <c r="P20" s="82"/>
      <c r="Q20" s="93"/>
      <c r="R20" s="81">
        <v>91</v>
      </c>
      <c r="S20" s="82"/>
      <c r="T20" s="82"/>
      <c r="U20" s="93"/>
      <c r="V20" s="81">
        <f t="shared" si="0"/>
        <v>90</v>
      </c>
      <c r="W20" s="82"/>
      <c r="X20" s="82"/>
      <c r="Y20" s="93"/>
      <c r="Z20" s="97" t="str">
        <f t="shared" si="1"/>
        <v>PASSED</v>
      </c>
      <c r="AA20" s="95"/>
      <c r="AB20" s="99"/>
    </row>
    <row r="21" ht="15.75" spans="1:28">
      <c r="A21" s="37">
        <v>10</v>
      </c>
      <c r="B21" s="375" t="str">
        <f>'INPUT DATA'!B21:D21</f>
        <v>LARODA, STEVEN S.</v>
      </c>
      <c r="C21" s="377"/>
      <c r="D21" s="377"/>
      <c r="E21" s="378"/>
      <c r="F21" s="81">
        <v>84</v>
      </c>
      <c r="G21" s="82"/>
      <c r="H21" s="82"/>
      <c r="I21" s="93"/>
      <c r="J21" s="81">
        <v>84</v>
      </c>
      <c r="K21" s="82"/>
      <c r="L21" s="82"/>
      <c r="M21" s="93"/>
      <c r="N21" s="81">
        <v>83</v>
      </c>
      <c r="O21" s="82"/>
      <c r="P21" s="82"/>
      <c r="Q21" s="93"/>
      <c r="R21" s="81">
        <v>84</v>
      </c>
      <c r="S21" s="82"/>
      <c r="T21" s="82"/>
      <c r="U21" s="93"/>
      <c r="V21" s="81">
        <f t="shared" si="0"/>
        <v>83.75</v>
      </c>
      <c r="W21" s="82"/>
      <c r="X21" s="82"/>
      <c r="Y21" s="93"/>
      <c r="Z21" s="97" t="str">
        <f t="shared" si="1"/>
        <v>PASSED</v>
      </c>
      <c r="AA21" s="95"/>
      <c r="AB21" s="99"/>
    </row>
    <row r="22" ht="15.75" spans="1:28">
      <c r="A22" s="37">
        <v>11</v>
      </c>
      <c r="B22" s="375" t="str">
        <f>'INPUT DATA'!B22:D22</f>
        <v>MERINO, SEDRIK R.</v>
      </c>
      <c r="C22" s="377"/>
      <c r="D22" s="377">
        <v>0</v>
      </c>
      <c r="E22" s="378"/>
      <c r="F22" s="81">
        <v>76</v>
      </c>
      <c r="G22" s="82"/>
      <c r="H22" s="82"/>
      <c r="I22" s="93"/>
      <c r="J22" s="81">
        <v>76</v>
      </c>
      <c r="K22" s="82"/>
      <c r="L22" s="82"/>
      <c r="M22" s="93"/>
      <c r="N22" s="81">
        <v>75</v>
      </c>
      <c r="O22" s="82"/>
      <c r="P22" s="82"/>
      <c r="Q22" s="93"/>
      <c r="R22" s="81">
        <v>72</v>
      </c>
      <c r="S22" s="82"/>
      <c r="T22" s="82"/>
      <c r="U22" s="93"/>
      <c r="V22" s="81">
        <f t="shared" si="0"/>
        <v>74.75</v>
      </c>
      <c r="W22" s="82"/>
      <c r="X22" s="82"/>
      <c r="Y22" s="93"/>
      <c r="Z22" s="97" t="str">
        <f t="shared" si="1"/>
        <v>FAILED</v>
      </c>
      <c r="AA22" s="95"/>
      <c r="AB22" s="99"/>
    </row>
    <row r="23" ht="15.75" spans="1:28">
      <c r="A23" s="37">
        <v>12</v>
      </c>
      <c r="B23" s="375" t="str">
        <f>'INPUT DATA'!B23:D23</f>
        <v>MONTERAS, VINCENT S.</v>
      </c>
      <c r="C23" s="377"/>
      <c r="D23" s="377"/>
      <c r="E23" s="378"/>
      <c r="F23" s="81">
        <v>85</v>
      </c>
      <c r="G23" s="82"/>
      <c r="H23" s="82"/>
      <c r="I23" s="93"/>
      <c r="J23" s="81">
        <v>82</v>
      </c>
      <c r="K23" s="82"/>
      <c r="L23" s="82"/>
      <c r="M23" s="93"/>
      <c r="N23" s="81">
        <v>77</v>
      </c>
      <c r="O23" s="82"/>
      <c r="P23" s="82"/>
      <c r="Q23" s="93"/>
      <c r="R23" s="81">
        <v>77</v>
      </c>
      <c r="S23" s="82"/>
      <c r="T23" s="82"/>
      <c r="U23" s="93"/>
      <c r="V23" s="81">
        <f t="shared" si="0"/>
        <v>80.25</v>
      </c>
      <c r="W23" s="82"/>
      <c r="X23" s="82"/>
      <c r="Y23" s="93"/>
      <c r="Z23" s="97" t="str">
        <f t="shared" si="1"/>
        <v>PASSED</v>
      </c>
      <c r="AA23" s="95"/>
      <c r="AB23" s="99"/>
    </row>
    <row r="24" ht="15.75" spans="1:28">
      <c r="A24" s="37">
        <v>13</v>
      </c>
      <c r="B24" s="375" t="str">
        <f>'INPUT DATA'!B24:D24</f>
        <v>NACAWILI, ANDRIE L.</v>
      </c>
      <c r="C24" s="377"/>
      <c r="D24" s="377"/>
      <c r="E24" s="378"/>
      <c r="F24" s="81">
        <v>90</v>
      </c>
      <c r="G24" s="82"/>
      <c r="H24" s="82"/>
      <c r="I24" s="93"/>
      <c r="J24" s="81">
        <v>91</v>
      </c>
      <c r="K24" s="82"/>
      <c r="L24" s="82"/>
      <c r="M24" s="93"/>
      <c r="N24" s="81">
        <v>90</v>
      </c>
      <c r="O24" s="82"/>
      <c r="P24" s="82"/>
      <c r="Q24" s="93"/>
      <c r="R24" s="81">
        <v>89</v>
      </c>
      <c r="S24" s="82"/>
      <c r="T24" s="82"/>
      <c r="U24" s="93"/>
      <c r="V24" s="81">
        <f t="shared" si="0"/>
        <v>90</v>
      </c>
      <c r="W24" s="82"/>
      <c r="X24" s="82"/>
      <c r="Y24" s="93"/>
      <c r="Z24" s="97" t="str">
        <f t="shared" si="1"/>
        <v>PASSED</v>
      </c>
      <c r="AA24" s="95"/>
      <c r="AB24" s="99"/>
    </row>
    <row r="25" ht="15.75" spans="1:28">
      <c r="A25" s="37">
        <v>14</v>
      </c>
      <c r="B25" s="375" t="str">
        <f>'INPUT DATA'!B25:D25</f>
        <v>OLIVERIO, CYREL JAY G.</v>
      </c>
      <c r="C25" s="377"/>
      <c r="D25" s="377"/>
      <c r="E25" s="378"/>
      <c r="F25" s="81">
        <v>73</v>
      </c>
      <c r="G25" s="82"/>
      <c r="H25" s="82"/>
      <c r="I25" s="93"/>
      <c r="J25" s="81">
        <v>73</v>
      </c>
      <c r="K25" s="82"/>
      <c r="L25" s="82"/>
      <c r="M25" s="93"/>
      <c r="N25" s="81">
        <v>74</v>
      </c>
      <c r="O25" s="82"/>
      <c r="P25" s="82"/>
      <c r="Q25" s="93"/>
      <c r="R25" s="81">
        <v>60</v>
      </c>
      <c r="S25" s="82"/>
      <c r="T25" s="82"/>
      <c r="U25" s="93"/>
      <c r="V25" s="81">
        <f t="shared" si="0"/>
        <v>70</v>
      </c>
      <c r="W25" s="82"/>
      <c r="X25" s="82"/>
      <c r="Y25" s="93"/>
      <c r="Z25" s="97" t="str">
        <f t="shared" si="1"/>
        <v>FAILED</v>
      </c>
      <c r="AA25" s="95"/>
      <c r="AB25" s="99"/>
    </row>
    <row r="26" ht="15.75" spans="1:28">
      <c r="A26" s="37">
        <v>15</v>
      </c>
      <c r="B26" s="375" t="str">
        <f>'INPUT DATA'!B26:D26</f>
        <v>ORBITA,BRENN JOHN A.</v>
      </c>
      <c r="C26" s="377"/>
      <c r="D26" s="377"/>
      <c r="E26" s="378"/>
      <c r="F26" s="81">
        <v>89</v>
      </c>
      <c r="G26" s="82"/>
      <c r="H26" s="82"/>
      <c r="I26" s="93"/>
      <c r="J26" s="81">
        <v>88</v>
      </c>
      <c r="K26" s="82"/>
      <c r="L26" s="82"/>
      <c r="M26" s="93"/>
      <c r="N26" s="81">
        <v>90</v>
      </c>
      <c r="O26" s="82"/>
      <c r="P26" s="82"/>
      <c r="Q26" s="93"/>
      <c r="R26" s="81">
        <v>91</v>
      </c>
      <c r="S26" s="82"/>
      <c r="T26" s="82"/>
      <c r="U26" s="93"/>
      <c r="V26" s="81">
        <f t="shared" si="0"/>
        <v>89.5</v>
      </c>
      <c r="W26" s="82"/>
      <c r="X26" s="82"/>
      <c r="Y26" s="93"/>
      <c r="Z26" s="97" t="str">
        <f t="shared" si="1"/>
        <v>PASSED</v>
      </c>
      <c r="AA26" s="95"/>
      <c r="AB26" s="99"/>
    </row>
    <row r="27" ht="15.75" spans="1:28">
      <c r="A27" s="37">
        <v>16</v>
      </c>
      <c r="B27" s="375" t="str">
        <f>'INPUT DATA'!B27:D27</f>
        <v>PAINLO,SHERWIN V.</v>
      </c>
      <c r="C27" s="377"/>
      <c r="D27" s="377"/>
      <c r="E27" s="378"/>
      <c r="F27" s="81">
        <v>90</v>
      </c>
      <c r="G27" s="82"/>
      <c r="H27" s="82"/>
      <c r="I27" s="93"/>
      <c r="J27" s="81">
        <v>92</v>
      </c>
      <c r="K27" s="82"/>
      <c r="L27" s="82"/>
      <c r="M27" s="93"/>
      <c r="N27" s="81">
        <v>91</v>
      </c>
      <c r="O27" s="82"/>
      <c r="P27" s="82"/>
      <c r="Q27" s="93"/>
      <c r="R27" s="81">
        <v>92</v>
      </c>
      <c r="S27" s="82"/>
      <c r="T27" s="82"/>
      <c r="U27" s="93"/>
      <c r="V27" s="81">
        <f t="shared" si="0"/>
        <v>91.25</v>
      </c>
      <c r="W27" s="82"/>
      <c r="X27" s="82"/>
      <c r="Y27" s="93"/>
      <c r="Z27" s="97" t="str">
        <f t="shared" si="1"/>
        <v>PASSED</v>
      </c>
      <c r="AA27" s="95"/>
      <c r="AB27" s="99"/>
    </row>
    <row r="28" ht="15.75" spans="1:28">
      <c r="A28" s="37">
        <v>17</v>
      </c>
      <c r="B28" s="375" t="str">
        <f>'INPUT DATA'!B28:D28</f>
        <v>RAMIREZ, MATTEO JOHN DAVE D.</v>
      </c>
      <c r="C28" s="377"/>
      <c r="D28" s="377"/>
      <c r="E28" s="378"/>
      <c r="F28" s="81"/>
      <c r="G28" s="82"/>
      <c r="H28" s="82"/>
      <c r="I28" s="93"/>
      <c r="J28" s="81"/>
      <c r="K28" s="82"/>
      <c r="L28" s="82"/>
      <c r="M28" s="93"/>
      <c r="N28" s="81"/>
      <c r="O28" s="82"/>
      <c r="P28" s="82"/>
      <c r="Q28" s="93"/>
      <c r="R28" s="81"/>
      <c r="S28" s="82"/>
      <c r="T28" s="82"/>
      <c r="U28" s="93"/>
      <c r="V28" s="81">
        <f t="shared" si="0"/>
        <v>0</v>
      </c>
      <c r="W28" s="82"/>
      <c r="X28" s="82"/>
      <c r="Y28" s="93"/>
      <c r="Z28" s="97" t="str">
        <f t="shared" si="1"/>
        <v>FAILED</v>
      </c>
      <c r="AA28" s="95"/>
      <c r="AB28" s="99"/>
    </row>
    <row r="29" ht="15.75" spans="1:28">
      <c r="A29" s="37">
        <v>18</v>
      </c>
      <c r="B29" s="375" t="str">
        <f>'INPUT DATA'!B29:D29</f>
        <v>SIGUIRA, JASTINE B.</v>
      </c>
      <c r="C29" s="377"/>
      <c r="D29" s="377"/>
      <c r="E29" s="378"/>
      <c r="F29" s="81"/>
      <c r="G29" s="82"/>
      <c r="H29" s="82"/>
      <c r="I29" s="93"/>
      <c r="J29" s="81"/>
      <c r="K29" s="82"/>
      <c r="L29" s="82"/>
      <c r="M29" s="93"/>
      <c r="N29" s="81"/>
      <c r="O29" s="82"/>
      <c r="P29" s="82"/>
      <c r="Q29" s="93"/>
      <c r="R29" s="81"/>
      <c r="S29" s="82"/>
      <c r="T29" s="82"/>
      <c r="U29" s="93"/>
      <c r="V29" s="81">
        <f t="shared" si="0"/>
        <v>0</v>
      </c>
      <c r="W29" s="82"/>
      <c r="X29" s="82"/>
      <c r="Y29" s="93"/>
      <c r="Z29" s="97" t="str">
        <f t="shared" si="1"/>
        <v>FAILED</v>
      </c>
      <c r="AA29" s="95"/>
      <c r="AB29" s="99"/>
    </row>
    <row r="30" ht="15.75" spans="1:28">
      <c r="A30" s="37">
        <v>19</v>
      </c>
      <c r="B30" s="375" t="str">
        <f>'INPUT DATA'!B30:D30</f>
        <v>TAA, JHONVINZ Y.</v>
      </c>
      <c r="C30" s="377"/>
      <c r="D30" s="377"/>
      <c r="E30" s="378"/>
      <c r="F30" s="81">
        <v>75</v>
      </c>
      <c r="G30" s="82"/>
      <c r="H30" s="82"/>
      <c r="I30" s="93"/>
      <c r="J30" s="81">
        <v>75</v>
      </c>
      <c r="K30" s="82"/>
      <c r="L30" s="82"/>
      <c r="M30" s="93"/>
      <c r="N30" s="81">
        <v>76</v>
      </c>
      <c r="O30" s="82"/>
      <c r="P30" s="82"/>
      <c r="Q30" s="93"/>
      <c r="R30" s="81">
        <v>75</v>
      </c>
      <c r="S30" s="82"/>
      <c r="T30" s="82"/>
      <c r="U30" s="93"/>
      <c r="V30" s="81">
        <f t="shared" si="0"/>
        <v>75.25</v>
      </c>
      <c r="W30" s="82"/>
      <c r="X30" s="82"/>
      <c r="Y30" s="93"/>
      <c r="Z30" s="97" t="str">
        <f t="shared" si="1"/>
        <v>PASSED</v>
      </c>
      <c r="AA30" s="95"/>
      <c r="AB30" s="99"/>
    </row>
    <row r="31" ht="15.75" spans="1:28">
      <c r="A31" s="37">
        <v>20</v>
      </c>
      <c r="B31" s="375" t="str">
        <f>'INPUT DATA'!B31:D31</f>
        <v>ZOILO, JOHN LORENCE M.</v>
      </c>
      <c r="C31" s="377"/>
      <c r="D31" s="377"/>
      <c r="E31" s="378"/>
      <c r="F31" s="81">
        <v>85</v>
      </c>
      <c r="G31" s="82"/>
      <c r="H31" s="82"/>
      <c r="I31" s="93"/>
      <c r="J31" s="81">
        <v>84</v>
      </c>
      <c r="K31" s="82"/>
      <c r="L31" s="82"/>
      <c r="M31" s="93"/>
      <c r="N31" s="81">
        <v>85</v>
      </c>
      <c r="O31" s="82"/>
      <c r="P31" s="82"/>
      <c r="Q31" s="93"/>
      <c r="R31" s="81">
        <v>86</v>
      </c>
      <c r="S31" s="82"/>
      <c r="T31" s="82"/>
      <c r="U31" s="93"/>
      <c r="V31" s="81">
        <f t="shared" si="0"/>
        <v>85</v>
      </c>
      <c r="W31" s="82"/>
      <c r="X31" s="82"/>
      <c r="Y31" s="93"/>
      <c r="Z31" s="97" t="str">
        <f t="shared" si="1"/>
        <v>PASSED</v>
      </c>
      <c r="AA31" s="95"/>
      <c r="AB31" s="99"/>
    </row>
    <row r="32" ht="15.75" spans="1:28">
      <c r="A32" s="37">
        <v>21</v>
      </c>
      <c r="B32" s="286" t="s">
        <v>73</v>
      </c>
      <c r="C32" s="289"/>
      <c r="D32" s="377"/>
      <c r="E32" s="378"/>
      <c r="F32" s="353">
        <v>75</v>
      </c>
      <c r="G32" s="354"/>
      <c r="H32" s="354"/>
      <c r="I32" s="360"/>
      <c r="J32" s="353">
        <v>75</v>
      </c>
      <c r="K32" s="354"/>
      <c r="L32" s="354"/>
      <c r="M32" s="360"/>
      <c r="N32" s="81">
        <v>75</v>
      </c>
      <c r="O32" s="82"/>
      <c r="P32" s="82"/>
      <c r="Q32" s="93"/>
      <c r="R32" s="81">
        <v>80</v>
      </c>
      <c r="S32" s="82"/>
      <c r="T32" s="82"/>
      <c r="U32" s="93"/>
      <c r="V32" s="81">
        <f t="shared" si="0"/>
        <v>76.25</v>
      </c>
      <c r="W32" s="82"/>
      <c r="X32" s="82"/>
      <c r="Y32" s="93"/>
      <c r="Z32" s="97" t="str">
        <f t="shared" ref="Z32:Z36" si="3">IF(V32&gt;=75,"PASSED","FAILED")</f>
        <v>PASSED</v>
      </c>
      <c r="AA32" s="95"/>
      <c r="AB32" s="99"/>
    </row>
    <row r="33" ht="15.75" hidden="1" spans="1:28">
      <c r="A33" s="37">
        <v>22</v>
      </c>
      <c r="B33" s="375">
        <f>'INPUT DATA'!B33:D33</f>
        <v>0</v>
      </c>
      <c r="C33" s="377"/>
      <c r="D33" s="377"/>
      <c r="E33" s="378"/>
      <c r="F33" s="353"/>
      <c r="G33" s="354"/>
      <c r="H33" s="354"/>
      <c r="I33" s="360"/>
      <c r="J33" s="353"/>
      <c r="K33" s="354"/>
      <c r="L33" s="354"/>
      <c r="M33" s="360"/>
      <c r="N33" s="81"/>
      <c r="O33" s="82"/>
      <c r="P33" s="82"/>
      <c r="Q33" s="93"/>
      <c r="R33" s="81"/>
      <c r="S33" s="82"/>
      <c r="T33" s="82"/>
      <c r="U33" s="93"/>
      <c r="V33" s="81">
        <f t="shared" si="0"/>
        <v>0</v>
      </c>
      <c r="W33" s="82"/>
      <c r="X33" s="82"/>
      <c r="Y33" s="93"/>
      <c r="Z33" s="97" t="str">
        <f t="shared" si="3"/>
        <v>FAILED</v>
      </c>
      <c r="AA33" s="95"/>
      <c r="AB33" s="99"/>
    </row>
    <row r="34" ht="15.75" hidden="1" spans="1:28">
      <c r="A34" s="37">
        <v>23</v>
      </c>
      <c r="B34" s="375">
        <f>'INPUT DATA'!B34:D34</f>
        <v>0</v>
      </c>
      <c r="C34" s="377"/>
      <c r="D34" s="377"/>
      <c r="E34" s="378"/>
      <c r="F34" s="353"/>
      <c r="G34" s="354"/>
      <c r="H34" s="354"/>
      <c r="I34" s="360"/>
      <c r="J34" s="353"/>
      <c r="K34" s="354"/>
      <c r="L34" s="354"/>
      <c r="M34" s="360"/>
      <c r="N34" s="81"/>
      <c r="O34" s="82"/>
      <c r="P34" s="82"/>
      <c r="Q34" s="93"/>
      <c r="R34" s="81"/>
      <c r="S34" s="82"/>
      <c r="T34" s="82"/>
      <c r="U34" s="93"/>
      <c r="V34" s="81">
        <f t="shared" si="0"/>
        <v>0</v>
      </c>
      <c r="W34" s="82"/>
      <c r="X34" s="82"/>
      <c r="Y34" s="93"/>
      <c r="Z34" s="97" t="str">
        <f t="shared" si="3"/>
        <v>FAILED</v>
      </c>
      <c r="AA34" s="95"/>
      <c r="AB34" s="99"/>
    </row>
    <row r="35" ht="15.75" hidden="1" spans="1:28">
      <c r="A35" s="37">
        <v>24</v>
      </c>
      <c r="B35" s="375">
        <f>'INPUT DATA'!B35:D35</f>
        <v>0</v>
      </c>
      <c r="C35" s="377"/>
      <c r="D35" s="377"/>
      <c r="E35" s="378"/>
      <c r="F35" s="353"/>
      <c r="G35" s="354"/>
      <c r="H35" s="354"/>
      <c r="I35" s="360"/>
      <c r="J35" s="353"/>
      <c r="K35" s="354"/>
      <c r="L35" s="354"/>
      <c r="M35" s="360"/>
      <c r="N35" s="81"/>
      <c r="O35" s="82"/>
      <c r="P35" s="82"/>
      <c r="Q35" s="93"/>
      <c r="R35" s="81"/>
      <c r="S35" s="82"/>
      <c r="T35" s="82"/>
      <c r="U35" s="93"/>
      <c r="V35" s="81">
        <f t="shared" si="0"/>
        <v>0</v>
      </c>
      <c r="W35" s="82"/>
      <c r="X35" s="82"/>
      <c r="Y35" s="93"/>
      <c r="Z35" s="97" t="str">
        <f t="shared" si="3"/>
        <v>FAILED</v>
      </c>
      <c r="AA35" s="95"/>
      <c r="AB35" s="99"/>
    </row>
    <row r="36" ht="15.75" hidden="1" spans="1:28">
      <c r="A36" s="37">
        <v>25</v>
      </c>
      <c r="B36" s="375">
        <f>'INPUT DATA'!B36:D36</f>
        <v>0</v>
      </c>
      <c r="C36" s="377"/>
      <c r="D36" s="377"/>
      <c r="E36" s="378"/>
      <c r="F36" s="353"/>
      <c r="G36" s="354"/>
      <c r="H36" s="354"/>
      <c r="I36" s="360"/>
      <c r="J36" s="353"/>
      <c r="K36" s="354"/>
      <c r="L36" s="354"/>
      <c r="M36" s="360"/>
      <c r="N36" s="81"/>
      <c r="O36" s="82"/>
      <c r="P36" s="82"/>
      <c r="Q36" s="93"/>
      <c r="R36" s="81"/>
      <c r="S36" s="82"/>
      <c r="T36" s="82"/>
      <c r="U36" s="93"/>
      <c r="V36" s="81">
        <f t="shared" si="0"/>
        <v>0</v>
      </c>
      <c r="W36" s="82"/>
      <c r="X36" s="82"/>
      <c r="Y36" s="93"/>
      <c r="Z36" s="97" t="str">
        <f t="shared" si="3"/>
        <v>FAILED</v>
      </c>
      <c r="AA36" s="95"/>
      <c r="AB36" s="99"/>
    </row>
    <row r="37" ht="15.75" hidden="1" spans="1:28">
      <c r="A37" s="37">
        <v>26</v>
      </c>
      <c r="B37" s="375">
        <f>'INPUT DATA'!B37:D37</f>
        <v>0</v>
      </c>
      <c r="C37" s="377"/>
      <c r="D37" s="377"/>
      <c r="E37" s="378"/>
      <c r="F37" s="353"/>
      <c r="G37" s="354"/>
      <c r="H37" s="354"/>
      <c r="I37" s="360"/>
      <c r="J37" s="353"/>
      <c r="K37" s="354"/>
      <c r="L37" s="354"/>
      <c r="M37" s="360"/>
      <c r="N37" s="81"/>
      <c r="O37" s="82"/>
      <c r="P37" s="82"/>
      <c r="Q37" s="93"/>
      <c r="R37" s="81"/>
      <c r="S37" s="82"/>
      <c r="T37" s="82"/>
      <c r="U37" s="93"/>
      <c r="V37" s="81">
        <f t="shared" ref="V37" si="4">SUM(F37,J37,N37,R37)/4</f>
        <v>0</v>
      </c>
      <c r="W37" s="82"/>
      <c r="X37" s="82"/>
      <c r="Y37" s="93"/>
      <c r="Z37" s="97" t="str">
        <f t="shared" ref="Z37:Z50" si="5">IF(V37&gt;=75,"PASSED","FAILED")</f>
        <v>FAILED</v>
      </c>
      <c r="AA37" s="95"/>
      <c r="AB37" s="99"/>
    </row>
    <row r="38" ht="15.75" hidden="1" spans="1:28">
      <c r="A38" s="37">
        <v>27</v>
      </c>
      <c r="B38" s="375">
        <f>'INPUT DATA'!B38:D38</f>
        <v>0</v>
      </c>
      <c r="C38" s="377"/>
      <c r="D38" s="377"/>
      <c r="E38" s="378"/>
      <c r="F38" s="353"/>
      <c r="G38" s="354"/>
      <c r="H38" s="354"/>
      <c r="I38" s="360"/>
      <c r="J38" s="353"/>
      <c r="K38" s="354"/>
      <c r="L38" s="354"/>
      <c r="M38" s="360"/>
      <c r="N38" s="81"/>
      <c r="O38" s="82"/>
      <c r="P38" s="82"/>
      <c r="Q38" s="93"/>
      <c r="R38" s="81"/>
      <c r="S38" s="82"/>
      <c r="T38" s="82"/>
      <c r="U38" s="93"/>
      <c r="V38" s="81">
        <f t="shared" ref="V38" si="6">SUM(F38,J38,N38,R38)/4</f>
        <v>0</v>
      </c>
      <c r="W38" s="82"/>
      <c r="X38" s="82"/>
      <c r="Y38" s="93"/>
      <c r="Z38" s="97" t="str">
        <f t="shared" si="5"/>
        <v>FAILED</v>
      </c>
      <c r="AA38" s="95"/>
      <c r="AB38" s="99"/>
    </row>
    <row r="39" ht="15.75" hidden="1" spans="1:28">
      <c r="A39" s="37">
        <v>28</v>
      </c>
      <c r="B39" s="375">
        <f>'INPUT DATA'!B39:D39</f>
        <v>0</v>
      </c>
      <c r="C39" s="377"/>
      <c r="D39" s="377"/>
      <c r="E39" s="378"/>
      <c r="F39" s="353"/>
      <c r="G39" s="354"/>
      <c r="H39" s="354"/>
      <c r="I39" s="360"/>
      <c r="J39" s="353"/>
      <c r="K39" s="354"/>
      <c r="L39" s="354"/>
      <c r="M39" s="360"/>
      <c r="N39" s="81"/>
      <c r="O39" s="82"/>
      <c r="P39" s="82"/>
      <c r="Q39" s="93"/>
      <c r="R39" s="81"/>
      <c r="S39" s="82"/>
      <c r="T39" s="82"/>
      <c r="U39" s="93"/>
      <c r="V39" s="81">
        <f t="shared" ref="V39" si="7">SUM(F39,J39,N39,R39)/4</f>
        <v>0</v>
      </c>
      <c r="W39" s="82"/>
      <c r="X39" s="82"/>
      <c r="Y39" s="93"/>
      <c r="Z39" s="97" t="str">
        <f t="shared" si="5"/>
        <v>FAILED</v>
      </c>
      <c r="AA39" s="95"/>
      <c r="AB39" s="99"/>
    </row>
    <row r="40" ht="15.75" hidden="1" spans="1:28">
      <c r="A40" s="37">
        <v>29</v>
      </c>
      <c r="B40" s="375">
        <f>'INPUT DATA'!B40:D40</f>
        <v>0</v>
      </c>
      <c r="C40" s="377"/>
      <c r="D40" s="377"/>
      <c r="E40" s="378"/>
      <c r="F40" s="353"/>
      <c r="G40" s="354"/>
      <c r="H40" s="354"/>
      <c r="I40" s="360"/>
      <c r="J40" s="353"/>
      <c r="K40" s="354"/>
      <c r="L40" s="354"/>
      <c r="M40" s="360"/>
      <c r="N40" s="81"/>
      <c r="O40" s="82"/>
      <c r="P40" s="82"/>
      <c r="Q40" s="93"/>
      <c r="R40" s="81"/>
      <c r="S40" s="82"/>
      <c r="T40" s="82"/>
      <c r="U40" s="93"/>
      <c r="V40" s="81">
        <f t="shared" ref="V40" si="8">SUM(F40,J40,N40,R40)/4</f>
        <v>0</v>
      </c>
      <c r="W40" s="82"/>
      <c r="X40" s="82"/>
      <c r="Y40" s="93"/>
      <c r="Z40" s="97" t="str">
        <f t="shared" si="5"/>
        <v>FAILED</v>
      </c>
      <c r="AA40" s="95"/>
      <c r="AB40" s="99"/>
    </row>
    <row r="41" ht="15.75" hidden="1" spans="1:28">
      <c r="A41" s="37">
        <v>30</v>
      </c>
      <c r="B41" s="375">
        <f>'INPUT DATA'!B41:D41</f>
        <v>0</v>
      </c>
      <c r="C41" s="377"/>
      <c r="D41" s="377"/>
      <c r="E41" s="378"/>
      <c r="F41" s="353"/>
      <c r="G41" s="354"/>
      <c r="H41" s="354"/>
      <c r="I41" s="360"/>
      <c r="J41" s="353"/>
      <c r="K41" s="354"/>
      <c r="L41" s="354"/>
      <c r="M41" s="360"/>
      <c r="N41" s="81"/>
      <c r="O41" s="82"/>
      <c r="P41" s="82"/>
      <c r="Q41" s="93"/>
      <c r="R41" s="81"/>
      <c r="S41" s="82"/>
      <c r="T41" s="82"/>
      <c r="U41" s="93"/>
      <c r="V41" s="81">
        <f t="shared" ref="V41" si="9">SUM(F41,J41,N41,R41)/4</f>
        <v>0</v>
      </c>
      <c r="W41" s="82"/>
      <c r="X41" s="82"/>
      <c r="Y41" s="93"/>
      <c r="Z41" s="97" t="str">
        <f t="shared" si="5"/>
        <v>FAILED</v>
      </c>
      <c r="AA41" s="95"/>
      <c r="AB41" s="99"/>
    </row>
    <row r="42" ht="15.75" hidden="1" spans="1:28">
      <c r="A42" s="37">
        <v>31</v>
      </c>
      <c r="B42" s="375">
        <f>'INPUT DATA'!B42:D42</f>
        <v>0</v>
      </c>
      <c r="C42" s="377"/>
      <c r="D42" s="377"/>
      <c r="E42" s="378"/>
      <c r="F42" s="353"/>
      <c r="G42" s="354"/>
      <c r="H42" s="354"/>
      <c r="I42" s="360"/>
      <c r="J42" s="353"/>
      <c r="K42" s="354"/>
      <c r="L42" s="354"/>
      <c r="M42" s="360"/>
      <c r="N42" s="81"/>
      <c r="O42" s="82"/>
      <c r="P42" s="82"/>
      <c r="Q42" s="93"/>
      <c r="R42" s="81"/>
      <c r="S42" s="82"/>
      <c r="T42" s="82"/>
      <c r="U42" s="93"/>
      <c r="V42" s="81">
        <f t="shared" ref="V42" si="10">SUM(F42,J42,N42,R42)/4</f>
        <v>0</v>
      </c>
      <c r="W42" s="82"/>
      <c r="X42" s="82"/>
      <c r="Y42" s="93"/>
      <c r="Z42" s="97" t="str">
        <f t="shared" si="5"/>
        <v>FAILED</v>
      </c>
      <c r="AA42" s="95"/>
      <c r="AB42" s="99"/>
    </row>
    <row r="43" ht="15.75" hidden="1" spans="1:28">
      <c r="A43" s="37">
        <v>32</v>
      </c>
      <c r="B43" s="375">
        <f>'INPUT DATA'!B43:D43</f>
        <v>0</v>
      </c>
      <c r="C43" s="377"/>
      <c r="D43" s="377"/>
      <c r="E43" s="378"/>
      <c r="F43" s="353"/>
      <c r="G43" s="354"/>
      <c r="H43" s="354"/>
      <c r="I43" s="360"/>
      <c r="J43" s="353"/>
      <c r="K43" s="354"/>
      <c r="L43" s="354"/>
      <c r="M43" s="360"/>
      <c r="N43" s="81"/>
      <c r="O43" s="82"/>
      <c r="P43" s="82"/>
      <c r="Q43" s="93"/>
      <c r="R43" s="81"/>
      <c r="S43" s="82"/>
      <c r="T43" s="82"/>
      <c r="U43" s="93"/>
      <c r="V43" s="81">
        <f t="shared" ref="V43" si="11">SUM(F43,J43,N43,R43)/4</f>
        <v>0</v>
      </c>
      <c r="W43" s="82"/>
      <c r="X43" s="82"/>
      <c r="Y43" s="93"/>
      <c r="Z43" s="97" t="str">
        <f t="shared" si="5"/>
        <v>FAILED</v>
      </c>
      <c r="AA43" s="95"/>
      <c r="AB43" s="99"/>
    </row>
    <row r="44" ht="15.75" hidden="1" spans="1:28">
      <c r="A44" s="37">
        <v>33</v>
      </c>
      <c r="B44" s="375">
        <f>'INPUT DATA'!B44:D44</f>
        <v>0</v>
      </c>
      <c r="C44" s="377"/>
      <c r="D44" s="377"/>
      <c r="E44" s="378"/>
      <c r="F44" s="353"/>
      <c r="G44" s="354"/>
      <c r="H44" s="354"/>
      <c r="I44" s="360"/>
      <c r="J44" s="353"/>
      <c r="K44" s="354"/>
      <c r="L44" s="354"/>
      <c r="M44" s="360"/>
      <c r="N44" s="81"/>
      <c r="O44" s="82"/>
      <c r="P44" s="82"/>
      <c r="Q44" s="93"/>
      <c r="R44" s="81"/>
      <c r="S44" s="82"/>
      <c r="T44" s="82"/>
      <c r="U44" s="93"/>
      <c r="V44" s="81">
        <f t="shared" ref="V44" si="12">SUM(F44,J44,N44,R44)/4</f>
        <v>0</v>
      </c>
      <c r="W44" s="82"/>
      <c r="X44" s="82"/>
      <c r="Y44" s="93"/>
      <c r="Z44" s="97" t="str">
        <f t="shared" si="5"/>
        <v>FAILED</v>
      </c>
      <c r="AA44" s="95"/>
      <c r="AB44" s="99"/>
    </row>
    <row r="45" ht="15.75" hidden="1" spans="1:28">
      <c r="A45" s="37">
        <v>34</v>
      </c>
      <c r="B45" s="375">
        <f>'INPUT DATA'!B45:D45</f>
        <v>0</v>
      </c>
      <c r="C45" s="377"/>
      <c r="D45" s="377"/>
      <c r="E45" s="378"/>
      <c r="F45" s="353"/>
      <c r="G45" s="354"/>
      <c r="H45" s="354"/>
      <c r="I45" s="360"/>
      <c r="J45" s="353"/>
      <c r="K45" s="354"/>
      <c r="L45" s="354"/>
      <c r="M45" s="360"/>
      <c r="N45" s="81"/>
      <c r="O45" s="82"/>
      <c r="P45" s="82"/>
      <c r="Q45" s="93"/>
      <c r="R45" s="81"/>
      <c r="S45" s="82"/>
      <c r="T45" s="82"/>
      <c r="U45" s="93"/>
      <c r="V45" s="81"/>
      <c r="W45" s="82"/>
      <c r="X45" s="82"/>
      <c r="Y45" s="93"/>
      <c r="Z45" s="97" t="str">
        <f t="shared" si="5"/>
        <v>FAILED</v>
      </c>
      <c r="AA45" s="95"/>
      <c r="AB45" s="99"/>
    </row>
    <row r="46" ht="15.75" hidden="1" spans="1:28">
      <c r="A46" s="37">
        <v>35</v>
      </c>
      <c r="B46" s="375">
        <f>'INPUT DATA'!B46:D46</f>
        <v>0</v>
      </c>
      <c r="C46" s="377"/>
      <c r="D46" s="377"/>
      <c r="E46" s="378"/>
      <c r="F46" s="353"/>
      <c r="G46" s="354"/>
      <c r="H46" s="354"/>
      <c r="I46" s="360"/>
      <c r="J46" s="353"/>
      <c r="K46" s="354"/>
      <c r="L46" s="354"/>
      <c r="M46" s="360"/>
      <c r="N46" s="81"/>
      <c r="O46" s="82"/>
      <c r="P46" s="82"/>
      <c r="Q46" s="93"/>
      <c r="R46" s="81"/>
      <c r="S46" s="82"/>
      <c r="T46" s="82"/>
      <c r="U46" s="93"/>
      <c r="V46" s="81"/>
      <c r="W46" s="82"/>
      <c r="X46" s="82"/>
      <c r="Y46" s="93"/>
      <c r="Z46" s="97" t="str">
        <f t="shared" si="5"/>
        <v>FAILED</v>
      </c>
      <c r="AA46" s="95"/>
      <c r="AB46" s="99"/>
    </row>
    <row r="47" ht="15.75" hidden="1" spans="1:28">
      <c r="A47" s="37">
        <v>36</v>
      </c>
      <c r="B47" s="375">
        <f>'INPUT DATA'!B47:D47</f>
        <v>0</v>
      </c>
      <c r="C47" s="377"/>
      <c r="D47" s="377"/>
      <c r="E47" s="378"/>
      <c r="F47" s="353"/>
      <c r="G47" s="354"/>
      <c r="H47" s="354"/>
      <c r="I47" s="360"/>
      <c r="J47" s="353"/>
      <c r="K47" s="354"/>
      <c r="L47" s="354"/>
      <c r="M47" s="360"/>
      <c r="N47" s="81"/>
      <c r="O47" s="82"/>
      <c r="P47" s="82"/>
      <c r="Q47" s="93"/>
      <c r="R47" s="81"/>
      <c r="S47" s="82"/>
      <c r="T47" s="82"/>
      <c r="U47" s="93"/>
      <c r="V47" s="81"/>
      <c r="W47" s="82"/>
      <c r="X47" s="82"/>
      <c r="Y47" s="93"/>
      <c r="Z47" s="97" t="str">
        <f t="shared" si="5"/>
        <v>FAILED</v>
      </c>
      <c r="AA47" s="95"/>
      <c r="AB47" s="99"/>
    </row>
    <row r="48" ht="15.75" hidden="1" spans="1:28">
      <c r="A48" s="37">
        <v>37</v>
      </c>
      <c r="B48" s="375">
        <f>'INPUT DATA'!B48:D48</f>
        <v>0</v>
      </c>
      <c r="C48" s="377"/>
      <c r="D48" s="377"/>
      <c r="E48" s="378"/>
      <c r="F48" s="353"/>
      <c r="G48" s="354"/>
      <c r="H48" s="354"/>
      <c r="I48" s="360"/>
      <c r="J48" s="353"/>
      <c r="K48" s="354"/>
      <c r="L48" s="354"/>
      <c r="M48" s="360"/>
      <c r="N48" s="81"/>
      <c r="O48" s="82"/>
      <c r="P48" s="82"/>
      <c r="Q48" s="93"/>
      <c r="R48" s="81"/>
      <c r="S48" s="82"/>
      <c r="T48" s="82"/>
      <c r="U48" s="93"/>
      <c r="V48" s="81"/>
      <c r="W48" s="82"/>
      <c r="X48" s="82"/>
      <c r="Y48" s="93"/>
      <c r="Z48" s="97" t="str">
        <f t="shared" si="5"/>
        <v>FAILED</v>
      </c>
      <c r="AA48" s="95"/>
      <c r="AB48" s="99"/>
    </row>
    <row r="49" ht="15.75" hidden="1" spans="1:28">
      <c r="A49" s="37">
        <v>38</v>
      </c>
      <c r="B49" s="375">
        <f>'INPUT DATA'!B49:D49</f>
        <v>0</v>
      </c>
      <c r="C49" s="377"/>
      <c r="D49" s="377"/>
      <c r="E49" s="378"/>
      <c r="F49" s="353"/>
      <c r="G49" s="354"/>
      <c r="H49" s="354"/>
      <c r="I49" s="360"/>
      <c r="J49" s="353"/>
      <c r="K49" s="354"/>
      <c r="L49" s="354"/>
      <c r="M49" s="360"/>
      <c r="N49" s="81"/>
      <c r="O49" s="82"/>
      <c r="P49" s="82"/>
      <c r="Q49" s="93"/>
      <c r="R49" s="81"/>
      <c r="S49" s="82"/>
      <c r="T49" s="82"/>
      <c r="U49" s="93"/>
      <c r="V49" s="81"/>
      <c r="W49" s="82"/>
      <c r="X49" s="82"/>
      <c r="Y49" s="93"/>
      <c r="Z49" s="97" t="str">
        <f t="shared" si="5"/>
        <v>FAILED</v>
      </c>
      <c r="AA49" s="95"/>
      <c r="AB49" s="99"/>
    </row>
    <row r="50" ht="15.75" hidden="1" spans="1:28">
      <c r="A50" s="37">
        <v>39</v>
      </c>
      <c r="B50" s="375">
        <f>'INPUT DATA'!B50:D50</f>
        <v>0</v>
      </c>
      <c r="C50" s="377"/>
      <c r="D50" s="377"/>
      <c r="E50" s="378"/>
      <c r="F50" s="81"/>
      <c r="G50" s="82"/>
      <c r="H50" s="82"/>
      <c r="I50" s="93"/>
      <c r="J50" s="81"/>
      <c r="K50" s="82"/>
      <c r="L50" s="82"/>
      <c r="M50" s="93"/>
      <c r="N50" s="81"/>
      <c r="O50" s="82"/>
      <c r="P50" s="82"/>
      <c r="Q50" s="93"/>
      <c r="R50" s="81"/>
      <c r="S50" s="82"/>
      <c r="T50" s="82"/>
      <c r="U50" s="93"/>
      <c r="V50" s="81"/>
      <c r="W50" s="82"/>
      <c r="X50" s="82"/>
      <c r="Y50" s="93"/>
      <c r="Z50" s="97" t="str">
        <f t="shared" si="5"/>
        <v>FAILED</v>
      </c>
      <c r="AA50" s="95"/>
      <c r="AB50" s="99"/>
    </row>
    <row r="51" ht="15.75" spans="1:28">
      <c r="A51" s="27"/>
      <c r="B51" s="28" t="s">
        <v>39</v>
      </c>
      <c r="C51" s="29"/>
      <c r="D51" s="29"/>
      <c r="E51" s="50"/>
      <c r="F51" s="308"/>
      <c r="G51" s="309"/>
      <c r="H51" s="309"/>
      <c r="I51" s="315"/>
      <c r="J51" s="308"/>
      <c r="K51" s="309"/>
      <c r="L51" s="309"/>
      <c r="M51" s="315"/>
      <c r="N51" s="308"/>
      <c r="O51" s="309"/>
      <c r="P51" s="309"/>
      <c r="Q51" s="315"/>
      <c r="R51" s="363"/>
      <c r="S51" s="364"/>
      <c r="T51" s="364"/>
      <c r="U51" s="365"/>
      <c r="V51" s="366"/>
      <c r="W51" s="367"/>
      <c r="X51" s="367"/>
      <c r="Y51" s="369"/>
      <c r="Z51" s="370"/>
      <c r="AA51" s="371"/>
      <c r="AB51" s="372"/>
    </row>
    <row r="52" ht="15.75" spans="1:28">
      <c r="A52" s="32">
        <v>1</v>
      </c>
      <c r="B52" s="375" t="str">
        <f>'INPUT DATA'!B53:D53</f>
        <v>ANGCOY, PRINCESS NAILLE T.</v>
      </c>
      <c r="C52" s="376"/>
      <c r="D52" s="376"/>
      <c r="E52" s="383"/>
      <c r="F52" s="81">
        <v>82</v>
      </c>
      <c r="G52" s="82"/>
      <c r="H52" s="82"/>
      <c r="I52" s="93"/>
      <c r="J52" s="81">
        <v>84</v>
      </c>
      <c r="K52" s="82"/>
      <c r="L52" s="82"/>
      <c r="M52" s="93"/>
      <c r="N52" s="81">
        <v>83</v>
      </c>
      <c r="O52" s="82"/>
      <c r="P52" s="82"/>
      <c r="Q52" s="93"/>
      <c r="R52" s="81">
        <v>84</v>
      </c>
      <c r="S52" s="82"/>
      <c r="T52" s="82"/>
      <c r="U52" s="93"/>
      <c r="V52" s="81">
        <f>SUM(F52,J52,N52,R52)/4</f>
        <v>83.25</v>
      </c>
      <c r="W52" s="82"/>
      <c r="X52" s="82"/>
      <c r="Y52" s="93"/>
      <c r="Z52" s="104" t="str">
        <f t="shared" si="1"/>
        <v>PASSED</v>
      </c>
      <c r="AA52" s="105"/>
      <c r="AB52" s="106"/>
    </row>
    <row r="53" ht="15.75" spans="1:28">
      <c r="A53" s="37">
        <v>2</v>
      </c>
      <c r="B53" s="375" t="str">
        <f>'INPUT DATA'!B54:D54</f>
        <v>BIMOS, SHEILLA KATE O.</v>
      </c>
      <c r="C53" s="377"/>
      <c r="D53" s="377"/>
      <c r="E53" s="378"/>
      <c r="F53" s="81">
        <v>89</v>
      </c>
      <c r="G53" s="82"/>
      <c r="H53" s="82"/>
      <c r="I53" s="93"/>
      <c r="J53" s="81">
        <v>90</v>
      </c>
      <c r="K53" s="82"/>
      <c r="L53" s="82"/>
      <c r="M53" s="93"/>
      <c r="N53" s="81">
        <v>90</v>
      </c>
      <c r="O53" s="82"/>
      <c r="P53" s="82"/>
      <c r="Q53" s="93"/>
      <c r="R53" s="81">
        <v>91</v>
      </c>
      <c r="S53" s="82"/>
      <c r="T53" s="82"/>
      <c r="U53" s="93"/>
      <c r="V53" s="81">
        <f t="shared" ref="V53:V76" si="13">SUM(F53,J53,N53,R53)/4</f>
        <v>90</v>
      </c>
      <c r="W53" s="82"/>
      <c r="X53" s="82"/>
      <c r="Y53" s="93"/>
      <c r="Z53" s="97" t="str">
        <f t="shared" si="1"/>
        <v>PASSED</v>
      </c>
      <c r="AA53" s="95"/>
      <c r="AB53" s="99"/>
    </row>
    <row r="54" ht="15.75" spans="1:28">
      <c r="A54" s="37">
        <v>3</v>
      </c>
      <c r="B54" s="375" t="str">
        <f>'INPUT DATA'!B55:D55</f>
        <v>BONGABONG, DWEYN ZHAIRA A.</v>
      </c>
      <c r="C54" s="377"/>
      <c r="D54" s="377"/>
      <c r="E54" s="378"/>
      <c r="F54" s="81">
        <v>91</v>
      </c>
      <c r="G54" s="82"/>
      <c r="H54" s="82"/>
      <c r="I54" s="93"/>
      <c r="J54" s="81">
        <v>92</v>
      </c>
      <c r="K54" s="82"/>
      <c r="L54" s="82"/>
      <c r="M54" s="93"/>
      <c r="N54" s="81">
        <v>90</v>
      </c>
      <c r="O54" s="82"/>
      <c r="P54" s="82"/>
      <c r="Q54" s="93"/>
      <c r="R54" s="81">
        <v>91</v>
      </c>
      <c r="S54" s="82"/>
      <c r="T54" s="82"/>
      <c r="U54" s="93"/>
      <c r="V54" s="81">
        <f t="shared" si="13"/>
        <v>91</v>
      </c>
      <c r="W54" s="82"/>
      <c r="X54" s="82"/>
      <c r="Y54" s="93"/>
      <c r="Z54" s="97" t="str">
        <f t="shared" si="1"/>
        <v>PASSED</v>
      </c>
      <c r="AA54" s="95"/>
      <c r="AB54" s="99"/>
    </row>
    <row r="55" ht="15.75" spans="1:28">
      <c r="A55" s="37">
        <v>4</v>
      </c>
      <c r="B55" s="375" t="str">
        <f>'INPUT DATA'!B56:D56</f>
        <v>CABEL, LOURENE A.</v>
      </c>
      <c r="C55" s="377"/>
      <c r="D55" s="377"/>
      <c r="E55" s="378"/>
      <c r="F55" s="81">
        <v>90</v>
      </c>
      <c r="G55" s="82"/>
      <c r="H55" s="82"/>
      <c r="I55" s="93"/>
      <c r="J55" s="81">
        <v>92</v>
      </c>
      <c r="K55" s="82"/>
      <c r="L55" s="82"/>
      <c r="M55" s="93"/>
      <c r="N55" s="81">
        <v>90</v>
      </c>
      <c r="O55" s="82"/>
      <c r="P55" s="82"/>
      <c r="Q55" s="93"/>
      <c r="R55" s="81">
        <v>91</v>
      </c>
      <c r="S55" s="82"/>
      <c r="T55" s="82"/>
      <c r="U55" s="93"/>
      <c r="V55" s="81">
        <f t="shared" si="13"/>
        <v>90.75</v>
      </c>
      <c r="W55" s="82"/>
      <c r="X55" s="82"/>
      <c r="Y55" s="93"/>
      <c r="Z55" s="97" t="str">
        <f t="shared" si="1"/>
        <v>PASSED</v>
      </c>
      <c r="AA55" s="95"/>
      <c r="AB55" s="99"/>
    </row>
    <row r="56" ht="15.75" spans="1:28">
      <c r="A56" s="37">
        <v>5</v>
      </c>
      <c r="B56" s="375" t="str">
        <f>'INPUT DATA'!B57:D57</f>
        <v>CAMIGAO, DHENISE CLARE V.</v>
      </c>
      <c r="C56" s="377"/>
      <c r="D56" s="377"/>
      <c r="E56" s="378"/>
      <c r="F56" s="81">
        <v>84</v>
      </c>
      <c r="G56" s="82"/>
      <c r="H56" s="82"/>
      <c r="I56" s="93"/>
      <c r="J56" s="81">
        <v>86</v>
      </c>
      <c r="K56" s="82"/>
      <c r="L56" s="82"/>
      <c r="M56" s="93"/>
      <c r="N56" s="81">
        <v>86</v>
      </c>
      <c r="O56" s="82"/>
      <c r="P56" s="82"/>
      <c r="Q56" s="93"/>
      <c r="R56" s="81">
        <v>87</v>
      </c>
      <c r="S56" s="82"/>
      <c r="T56" s="82"/>
      <c r="U56" s="93"/>
      <c r="V56" s="81">
        <f t="shared" si="13"/>
        <v>85.75</v>
      </c>
      <c r="W56" s="82"/>
      <c r="X56" s="82"/>
      <c r="Y56" s="93"/>
      <c r="Z56" s="97" t="str">
        <f t="shared" si="1"/>
        <v>PASSED</v>
      </c>
      <c r="AA56" s="95"/>
      <c r="AB56" s="99"/>
    </row>
    <row r="57" ht="15.75" spans="1:28">
      <c r="A57" s="37">
        <v>6</v>
      </c>
      <c r="B57" s="375" t="str">
        <f>'INPUT DATA'!B58:D58</f>
        <v>CARISMA, NATHALIA MAE M.</v>
      </c>
      <c r="C57" s="377"/>
      <c r="D57" s="377"/>
      <c r="E57" s="378"/>
      <c r="F57" s="81">
        <v>84</v>
      </c>
      <c r="G57" s="82"/>
      <c r="H57" s="82"/>
      <c r="I57" s="93"/>
      <c r="J57" s="81">
        <v>87</v>
      </c>
      <c r="K57" s="82"/>
      <c r="L57" s="82"/>
      <c r="M57" s="93"/>
      <c r="N57" s="81">
        <v>88</v>
      </c>
      <c r="O57" s="82"/>
      <c r="P57" s="82"/>
      <c r="Q57" s="93"/>
      <c r="R57" s="81">
        <v>89</v>
      </c>
      <c r="S57" s="82"/>
      <c r="T57" s="82"/>
      <c r="U57" s="93"/>
      <c r="V57" s="81">
        <f t="shared" si="13"/>
        <v>87</v>
      </c>
      <c r="W57" s="82"/>
      <c r="X57" s="82"/>
      <c r="Y57" s="93"/>
      <c r="Z57" s="97" t="str">
        <f t="shared" si="1"/>
        <v>PASSED</v>
      </c>
      <c r="AA57" s="95"/>
      <c r="AB57" s="99"/>
    </row>
    <row r="58" ht="15.75" spans="1:28">
      <c r="A58" s="37">
        <v>7</v>
      </c>
      <c r="B58" s="375" t="str">
        <f>'INPUT DATA'!B59:D59</f>
        <v>CLARO, REANZ P.</v>
      </c>
      <c r="C58" s="377"/>
      <c r="D58" s="377"/>
      <c r="E58" s="378"/>
      <c r="F58" s="81">
        <v>88</v>
      </c>
      <c r="G58" s="82"/>
      <c r="H58" s="82"/>
      <c r="I58" s="93"/>
      <c r="J58" s="81">
        <v>86</v>
      </c>
      <c r="K58" s="82"/>
      <c r="L58" s="82"/>
      <c r="M58" s="93"/>
      <c r="N58" s="81">
        <v>86</v>
      </c>
      <c r="O58" s="82"/>
      <c r="P58" s="82"/>
      <c r="Q58" s="93"/>
      <c r="R58" s="81">
        <v>87</v>
      </c>
      <c r="S58" s="82"/>
      <c r="T58" s="82"/>
      <c r="U58" s="93"/>
      <c r="V58" s="81">
        <f t="shared" si="13"/>
        <v>86.75</v>
      </c>
      <c r="W58" s="82"/>
      <c r="X58" s="82"/>
      <c r="Y58" s="93"/>
      <c r="Z58" s="97" t="str">
        <f t="shared" si="1"/>
        <v>PASSED</v>
      </c>
      <c r="AA58" s="95"/>
      <c r="AB58" s="99"/>
    </row>
    <row r="59" ht="15.75" spans="1:28">
      <c r="A59" s="37">
        <v>8</v>
      </c>
      <c r="B59" s="375" t="str">
        <f>'INPUT DATA'!B60:D60</f>
        <v>FRANCISCO, YSABELLA BEATRICE B.</v>
      </c>
      <c r="C59" s="377"/>
      <c r="D59" s="377"/>
      <c r="E59" s="378"/>
      <c r="F59" s="81">
        <v>93</v>
      </c>
      <c r="G59" s="82"/>
      <c r="H59" s="82"/>
      <c r="I59" s="93"/>
      <c r="J59" s="81">
        <v>93</v>
      </c>
      <c r="K59" s="82"/>
      <c r="L59" s="82"/>
      <c r="M59" s="93"/>
      <c r="N59" s="81">
        <v>92</v>
      </c>
      <c r="O59" s="82"/>
      <c r="P59" s="82"/>
      <c r="Q59" s="93"/>
      <c r="R59" s="81">
        <v>93</v>
      </c>
      <c r="S59" s="82"/>
      <c r="T59" s="82"/>
      <c r="U59" s="93"/>
      <c r="V59" s="81">
        <f t="shared" si="13"/>
        <v>92.75</v>
      </c>
      <c r="W59" s="82"/>
      <c r="X59" s="82"/>
      <c r="Y59" s="93"/>
      <c r="Z59" s="97" t="str">
        <f t="shared" si="1"/>
        <v>PASSED</v>
      </c>
      <c r="AA59" s="95"/>
      <c r="AB59" s="99"/>
    </row>
    <row r="60" ht="15.75" spans="1:28">
      <c r="A60" s="37">
        <v>9</v>
      </c>
      <c r="B60" s="375" t="str">
        <f>'INPUT DATA'!B61:D61</f>
        <v>GALDO, ALYSSA RHIAN P.</v>
      </c>
      <c r="C60" s="377"/>
      <c r="D60" s="377"/>
      <c r="E60" s="378"/>
      <c r="F60" s="81"/>
      <c r="G60" s="82"/>
      <c r="H60" s="82"/>
      <c r="I60" s="93"/>
      <c r="J60" s="81"/>
      <c r="K60" s="82"/>
      <c r="L60" s="82"/>
      <c r="M60" s="93"/>
      <c r="N60" s="81"/>
      <c r="O60" s="82"/>
      <c r="P60" s="82"/>
      <c r="Q60" s="93"/>
      <c r="R60" s="81"/>
      <c r="S60" s="82"/>
      <c r="T60" s="82"/>
      <c r="U60" s="93"/>
      <c r="V60" s="81">
        <f t="shared" si="13"/>
        <v>0</v>
      </c>
      <c r="W60" s="82"/>
      <c r="X60" s="82"/>
      <c r="Y60" s="93"/>
      <c r="Z60" s="97" t="str">
        <f t="shared" si="1"/>
        <v>FAILED</v>
      </c>
      <c r="AA60" s="95"/>
      <c r="AB60" s="99"/>
    </row>
    <row r="61" ht="15.75" spans="1:28">
      <c r="A61" s="37">
        <v>10</v>
      </c>
      <c r="B61" s="375" t="str">
        <f>'INPUT DATA'!B62:D62</f>
        <v>HURAÑO, RIOMI M.</v>
      </c>
      <c r="C61" s="377"/>
      <c r="D61" s="377"/>
      <c r="E61" s="378"/>
      <c r="F61" s="81">
        <v>87</v>
      </c>
      <c r="G61" s="82"/>
      <c r="H61" s="82"/>
      <c r="I61" s="93"/>
      <c r="J61" s="81">
        <v>89</v>
      </c>
      <c r="K61" s="82"/>
      <c r="L61" s="82"/>
      <c r="M61" s="93"/>
      <c r="N61" s="81">
        <v>92</v>
      </c>
      <c r="O61" s="82"/>
      <c r="P61" s="82"/>
      <c r="Q61" s="93"/>
      <c r="R61" s="81">
        <v>92</v>
      </c>
      <c r="S61" s="82"/>
      <c r="T61" s="82"/>
      <c r="U61" s="93"/>
      <c r="V61" s="81">
        <f t="shared" si="13"/>
        <v>90</v>
      </c>
      <c r="W61" s="82"/>
      <c r="X61" s="82"/>
      <c r="Y61" s="93"/>
      <c r="Z61" s="97" t="str">
        <f t="shared" si="1"/>
        <v>PASSED</v>
      </c>
      <c r="AA61" s="95"/>
      <c r="AB61" s="99"/>
    </row>
    <row r="62" ht="15.75" spans="1:28">
      <c r="A62" s="37">
        <v>11</v>
      </c>
      <c r="B62" s="375" t="str">
        <f>'INPUT DATA'!B63:D63</f>
        <v>LAGUNA, WELLAIZA O.</v>
      </c>
      <c r="C62" s="377"/>
      <c r="D62" s="377"/>
      <c r="E62" s="378"/>
      <c r="F62" s="81"/>
      <c r="G62" s="82"/>
      <c r="H62" s="82"/>
      <c r="I62" s="93"/>
      <c r="J62" s="81"/>
      <c r="K62" s="82"/>
      <c r="L62" s="82"/>
      <c r="M62" s="93"/>
      <c r="N62" s="81"/>
      <c r="O62" s="82"/>
      <c r="P62" s="82"/>
      <c r="Q62" s="93"/>
      <c r="R62" s="81"/>
      <c r="S62" s="82"/>
      <c r="T62" s="82"/>
      <c r="U62" s="93"/>
      <c r="V62" s="81">
        <f t="shared" si="13"/>
        <v>0</v>
      </c>
      <c r="W62" s="82"/>
      <c r="X62" s="82"/>
      <c r="Y62" s="93"/>
      <c r="Z62" s="97" t="str">
        <f t="shared" si="1"/>
        <v>FAILED</v>
      </c>
      <c r="AA62" s="95"/>
      <c r="AB62" s="99"/>
    </row>
    <row r="63" ht="15.75" spans="1:28">
      <c r="A63" s="37">
        <v>12</v>
      </c>
      <c r="B63" s="375" t="str">
        <f>'INPUT DATA'!B64:D64</f>
        <v>LAZAGA, PRINCESS JEAN O.</v>
      </c>
      <c r="C63" s="377"/>
      <c r="D63" s="377"/>
      <c r="E63" s="378"/>
      <c r="F63" s="81">
        <v>86</v>
      </c>
      <c r="G63" s="82"/>
      <c r="H63" s="82"/>
      <c r="I63" s="93"/>
      <c r="J63" s="81">
        <v>88</v>
      </c>
      <c r="K63" s="82"/>
      <c r="L63" s="82"/>
      <c r="M63" s="93"/>
      <c r="N63" s="81">
        <v>88</v>
      </c>
      <c r="O63" s="82"/>
      <c r="P63" s="82"/>
      <c r="Q63" s="93"/>
      <c r="R63" s="81">
        <v>89</v>
      </c>
      <c r="S63" s="82"/>
      <c r="T63" s="82"/>
      <c r="U63" s="93"/>
      <c r="V63" s="81">
        <f t="shared" si="13"/>
        <v>87.75</v>
      </c>
      <c r="W63" s="82"/>
      <c r="X63" s="82"/>
      <c r="Y63" s="93"/>
      <c r="Z63" s="97" t="str">
        <f t="shared" si="1"/>
        <v>PASSED</v>
      </c>
      <c r="AA63" s="95"/>
      <c r="AB63" s="99"/>
    </row>
    <row r="64" ht="15.75" spans="1:28">
      <c r="A64" s="37">
        <v>13</v>
      </c>
      <c r="B64" s="375" t="str">
        <f>'INPUT DATA'!B65:D65</f>
        <v>LIBRES, MIKYLLA B.</v>
      </c>
      <c r="C64" s="377"/>
      <c r="D64" s="377"/>
      <c r="E64" s="378"/>
      <c r="F64" s="81">
        <v>82</v>
      </c>
      <c r="G64" s="82"/>
      <c r="H64" s="82"/>
      <c r="I64" s="93"/>
      <c r="J64" s="81">
        <v>84</v>
      </c>
      <c r="K64" s="82"/>
      <c r="L64" s="82"/>
      <c r="M64" s="93"/>
      <c r="N64" s="81">
        <v>84</v>
      </c>
      <c r="O64" s="82"/>
      <c r="P64" s="82"/>
      <c r="Q64" s="93"/>
      <c r="R64" s="81">
        <v>85</v>
      </c>
      <c r="S64" s="82"/>
      <c r="T64" s="82"/>
      <c r="U64" s="93"/>
      <c r="V64" s="81">
        <f t="shared" si="13"/>
        <v>83.75</v>
      </c>
      <c r="W64" s="82"/>
      <c r="X64" s="82"/>
      <c r="Y64" s="93"/>
      <c r="Z64" s="97" t="str">
        <f t="shared" si="1"/>
        <v>PASSED</v>
      </c>
      <c r="AA64" s="95"/>
      <c r="AB64" s="99"/>
    </row>
    <row r="65" ht="15.75" spans="1:28">
      <c r="A65" s="37">
        <v>14</v>
      </c>
      <c r="B65" s="375" t="str">
        <f>'INPUT DATA'!B66:D66</f>
        <v>LIM, LENNIE GRACE S.</v>
      </c>
      <c r="C65" s="377"/>
      <c r="D65" s="377"/>
      <c r="E65" s="378"/>
      <c r="F65" s="81">
        <v>84</v>
      </c>
      <c r="G65" s="82"/>
      <c r="H65" s="82"/>
      <c r="I65" s="93"/>
      <c r="J65" s="81">
        <v>87</v>
      </c>
      <c r="K65" s="82"/>
      <c r="L65" s="82"/>
      <c r="M65" s="93"/>
      <c r="N65" s="81">
        <v>88</v>
      </c>
      <c r="O65" s="82"/>
      <c r="P65" s="82"/>
      <c r="Q65" s="93"/>
      <c r="R65" s="81">
        <v>89</v>
      </c>
      <c r="S65" s="82"/>
      <c r="T65" s="82"/>
      <c r="U65" s="93"/>
      <c r="V65" s="81">
        <f t="shared" si="13"/>
        <v>87</v>
      </c>
      <c r="W65" s="82"/>
      <c r="X65" s="82"/>
      <c r="Y65" s="93"/>
      <c r="Z65" s="97" t="str">
        <f t="shared" si="1"/>
        <v>PASSED</v>
      </c>
      <c r="AA65" s="95"/>
      <c r="AB65" s="99"/>
    </row>
    <row r="66" ht="15.75" spans="1:28">
      <c r="A66" s="37">
        <v>15</v>
      </c>
      <c r="B66" s="375" t="str">
        <f>'INPUT DATA'!B67:D67</f>
        <v>MASAYON, RHEA JANE L.</v>
      </c>
      <c r="C66" s="377"/>
      <c r="D66" s="377"/>
      <c r="E66" s="378"/>
      <c r="F66" s="81">
        <v>82</v>
      </c>
      <c r="G66" s="82"/>
      <c r="H66" s="82"/>
      <c r="I66" s="93"/>
      <c r="J66" s="81">
        <v>81</v>
      </c>
      <c r="K66" s="82"/>
      <c r="L66" s="82"/>
      <c r="M66" s="93"/>
      <c r="N66" s="81">
        <v>77</v>
      </c>
      <c r="O66" s="82"/>
      <c r="P66" s="82"/>
      <c r="Q66" s="93"/>
      <c r="R66" s="81">
        <v>76</v>
      </c>
      <c r="S66" s="82"/>
      <c r="T66" s="82"/>
      <c r="U66" s="93"/>
      <c r="V66" s="81">
        <f t="shared" si="13"/>
        <v>79</v>
      </c>
      <c r="W66" s="82"/>
      <c r="X66" s="82"/>
      <c r="Y66" s="93"/>
      <c r="Z66" s="97" t="str">
        <f t="shared" si="1"/>
        <v>PASSED</v>
      </c>
      <c r="AA66" s="95"/>
      <c r="AB66" s="99"/>
    </row>
    <row r="67" ht="15.75" spans="1:28">
      <c r="A67" s="37">
        <v>16</v>
      </c>
      <c r="B67" s="375" t="str">
        <f>'INPUT DATA'!B68:D68</f>
        <v>MORANCIL, JENEVI A.</v>
      </c>
      <c r="C67" s="377"/>
      <c r="D67" s="377"/>
      <c r="E67" s="378"/>
      <c r="F67" s="81">
        <v>86</v>
      </c>
      <c r="G67" s="82"/>
      <c r="H67" s="82"/>
      <c r="I67" s="93"/>
      <c r="J67" s="81">
        <v>90</v>
      </c>
      <c r="K67" s="82"/>
      <c r="L67" s="82"/>
      <c r="M67" s="93"/>
      <c r="N67" s="81">
        <v>89</v>
      </c>
      <c r="O67" s="82"/>
      <c r="P67" s="82"/>
      <c r="Q67" s="93"/>
      <c r="R67" s="81">
        <v>90</v>
      </c>
      <c r="S67" s="82"/>
      <c r="T67" s="82"/>
      <c r="U67" s="93"/>
      <c r="V67" s="81">
        <f t="shared" si="13"/>
        <v>88.75</v>
      </c>
      <c r="W67" s="82"/>
      <c r="X67" s="82"/>
      <c r="Y67" s="93"/>
      <c r="Z67" s="97" t="str">
        <f t="shared" si="1"/>
        <v>PASSED</v>
      </c>
      <c r="AA67" s="95"/>
      <c r="AB67" s="99"/>
    </row>
    <row r="68" ht="15.75" spans="1:28">
      <c r="A68" s="37">
        <v>17</v>
      </c>
      <c r="B68" s="375" t="str">
        <f>'INPUT DATA'!B69:D69</f>
        <v>PATRICIO, MICHA ELLA P.</v>
      </c>
      <c r="C68" s="377"/>
      <c r="D68" s="377"/>
      <c r="E68" s="378"/>
      <c r="F68" s="81">
        <v>80</v>
      </c>
      <c r="G68" s="82"/>
      <c r="H68" s="82"/>
      <c r="I68" s="93"/>
      <c r="J68" s="81">
        <v>81</v>
      </c>
      <c r="K68" s="82"/>
      <c r="L68" s="82"/>
      <c r="M68" s="93"/>
      <c r="N68" s="81">
        <v>81</v>
      </c>
      <c r="O68" s="82"/>
      <c r="P68" s="82"/>
      <c r="Q68" s="93"/>
      <c r="R68" s="81">
        <v>82</v>
      </c>
      <c r="S68" s="82"/>
      <c r="T68" s="82"/>
      <c r="U68" s="93"/>
      <c r="V68" s="81">
        <f t="shared" si="13"/>
        <v>81</v>
      </c>
      <c r="W68" s="82"/>
      <c r="X68" s="82"/>
      <c r="Y68" s="93"/>
      <c r="Z68" s="97" t="str">
        <f t="shared" si="1"/>
        <v>PASSED</v>
      </c>
      <c r="AA68" s="95"/>
      <c r="AB68" s="99"/>
    </row>
    <row r="69" ht="15.75" spans="1:28">
      <c r="A69" s="37">
        <v>18</v>
      </c>
      <c r="B69" s="375" t="str">
        <f>'INPUT DATA'!B70:D70</f>
        <v>PELINGON , ASHLEY C.</v>
      </c>
      <c r="C69" s="377"/>
      <c r="D69" s="377"/>
      <c r="E69" s="378"/>
      <c r="F69" s="81">
        <v>88</v>
      </c>
      <c r="G69" s="82"/>
      <c r="H69" s="82"/>
      <c r="I69" s="93"/>
      <c r="J69" s="81">
        <v>87</v>
      </c>
      <c r="K69" s="82"/>
      <c r="L69" s="82"/>
      <c r="M69" s="93"/>
      <c r="N69" s="81">
        <v>86</v>
      </c>
      <c r="O69" s="82"/>
      <c r="P69" s="82"/>
      <c r="Q69" s="93"/>
      <c r="R69" s="81">
        <v>87</v>
      </c>
      <c r="S69" s="82"/>
      <c r="T69" s="82"/>
      <c r="U69" s="93"/>
      <c r="V69" s="81">
        <f t="shared" si="13"/>
        <v>87</v>
      </c>
      <c r="W69" s="82"/>
      <c r="X69" s="82"/>
      <c r="Y69" s="93"/>
      <c r="Z69" s="97" t="str">
        <f t="shared" ref="Z69:Z81" si="14">IF(V69&gt;=75,"PASSED","FAILED")</f>
        <v>PASSED</v>
      </c>
      <c r="AA69" s="95"/>
      <c r="AB69" s="99"/>
    </row>
    <row r="70" ht="15.75" spans="1:28">
      <c r="A70" s="37">
        <v>19</v>
      </c>
      <c r="B70" s="375" t="str">
        <f>'INPUT DATA'!B71:D71</f>
        <v>PEREZ, MERCY JEAN T.</v>
      </c>
      <c r="C70" s="377"/>
      <c r="D70" s="377"/>
      <c r="E70" s="378"/>
      <c r="F70" s="81">
        <v>80</v>
      </c>
      <c r="G70" s="82"/>
      <c r="H70" s="82"/>
      <c r="I70" s="93"/>
      <c r="J70" s="81">
        <v>75</v>
      </c>
      <c r="K70" s="82"/>
      <c r="L70" s="82"/>
      <c r="M70" s="93"/>
      <c r="N70" s="81">
        <v>75</v>
      </c>
      <c r="O70" s="82"/>
      <c r="P70" s="82"/>
      <c r="Q70" s="93"/>
      <c r="R70" s="81">
        <v>76</v>
      </c>
      <c r="S70" s="82"/>
      <c r="T70" s="82"/>
      <c r="U70" s="93"/>
      <c r="V70" s="81">
        <f t="shared" si="13"/>
        <v>76.5</v>
      </c>
      <c r="W70" s="82"/>
      <c r="X70" s="82"/>
      <c r="Y70" s="93"/>
      <c r="Z70" s="97" t="str">
        <f t="shared" si="14"/>
        <v>PASSED</v>
      </c>
      <c r="AA70" s="95"/>
      <c r="AB70" s="99"/>
    </row>
    <row r="71" ht="15.75" spans="1:28">
      <c r="A71" s="37">
        <v>20</v>
      </c>
      <c r="B71" s="375" t="str">
        <f>'INPUT DATA'!B72:D72</f>
        <v>PINGOT, RHEA L.</v>
      </c>
      <c r="C71" s="377"/>
      <c r="D71" s="377"/>
      <c r="E71" s="378"/>
      <c r="F71" s="81">
        <v>75</v>
      </c>
      <c r="G71" s="82"/>
      <c r="H71" s="82"/>
      <c r="I71" s="93"/>
      <c r="J71" s="81">
        <v>70</v>
      </c>
      <c r="K71" s="82"/>
      <c r="L71" s="82"/>
      <c r="M71" s="93"/>
      <c r="N71" s="81">
        <v>70</v>
      </c>
      <c r="O71" s="82"/>
      <c r="P71" s="82"/>
      <c r="Q71" s="93"/>
      <c r="R71" s="81">
        <v>70</v>
      </c>
      <c r="S71" s="82"/>
      <c r="T71" s="82"/>
      <c r="U71" s="93"/>
      <c r="V71" s="81">
        <f t="shared" si="13"/>
        <v>71.25</v>
      </c>
      <c r="W71" s="82"/>
      <c r="X71" s="82"/>
      <c r="Y71" s="93"/>
      <c r="Z71" s="97" t="str">
        <f t="shared" si="14"/>
        <v>FAILED</v>
      </c>
      <c r="AA71" s="95"/>
      <c r="AB71" s="99"/>
    </row>
    <row r="72" ht="15.75" spans="1:28">
      <c r="A72" s="37">
        <v>21</v>
      </c>
      <c r="B72" s="375" t="str">
        <f>'INPUT DATA'!B73:D73</f>
        <v>QUILAT, FERRA MAE</v>
      </c>
      <c r="C72" s="377"/>
      <c r="D72" s="377"/>
      <c r="E72" s="378"/>
      <c r="F72" s="81">
        <v>75</v>
      </c>
      <c r="G72" s="82"/>
      <c r="H72" s="82"/>
      <c r="I72" s="93"/>
      <c r="J72" s="81">
        <v>74</v>
      </c>
      <c r="K72" s="82"/>
      <c r="L72" s="82"/>
      <c r="M72" s="93"/>
      <c r="N72" s="81">
        <v>74</v>
      </c>
      <c r="O72" s="82"/>
      <c r="P72" s="82"/>
      <c r="Q72" s="93"/>
      <c r="R72" s="81">
        <v>77</v>
      </c>
      <c r="S72" s="82"/>
      <c r="T72" s="82"/>
      <c r="U72" s="93"/>
      <c r="V72" s="81">
        <f t="shared" si="13"/>
        <v>75</v>
      </c>
      <c r="W72" s="82"/>
      <c r="X72" s="82"/>
      <c r="Y72" s="93"/>
      <c r="Z72" s="97" t="str">
        <f t="shared" si="14"/>
        <v>PASSED</v>
      </c>
      <c r="AA72" s="95"/>
      <c r="AB72" s="99"/>
    </row>
    <row r="73" ht="15.75" spans="1:28">
      <c r="A73" s="37">
        <v>22</v>
      </c>
      <c r="B73" s="375" t="str">
        <f>'INPUT DATA'!B74:D74</f>
        <v>ROSALES, RYZA MAE C.</v>
      </c>
      <c r="C73" s="377"/>
      <c r="D73" s="377"/>
      <c r="E73" s="378"/>
      <c r="F73" s="81">
        <v>88</v>
      </c>
      <c r="G73" s="82"/>
      <c r="H73" s="82"/>
      <c r="I73" s="93"/>
      <c r="J73" s="81">
        <v>90</v>
      </c>
      <c r="K73" s="82"/>
      <c r="L73" s="82"/>
      <c r="M73" s="93"/>
      <c r="N73" s="81">
        <v>89</v>
      </c>
      <c r="O73" s="82"/>
      <c r="P73" s="82"/>
      <c r="Q73" s="93"/>
      <c r="R73" s="81">
        <v>89</v>
      </c>
      <c r="S73" s="82"/>
      <c r="T73" s="82"/>
      <c r="U73" s="93"/>
      <c r="V73" s="81">
        <f t="shared" si="13"/>
        <v>89</v>
      </c>
      <c r="W73" s="82"/>
      <c r="X73" s="82"/>
      <c r="Y73" s="93"/>
      <c r="Z73" s="97" t="str">
        <f t="shared" si="14"/>
        <v>PASSED</v>
      </c>
      <c r="AA73" s="95"/>
      <c r="AB73" s="99"/>
    </row>
    <row r="74" ht="15.75" spans="1:28">
      <c r="A74" s="37">
        <v>23</v>
      </c>
      <c r="B74" s="300">
        <f>FILIPINO!B70</f>
        <v>0</v>
      </c>
      <c r="C74" s="38"/>
      <c r="D74" s="38"/>
      <c r="E74" s="41"/>
      <c r="F74" s="81"/>
      <c r="G74" s="82"/>
      <c r="H74" s="82"/>
      <c r="I74" s="93"/>
      <c r="J74" s="81"/>
      <c r="K74" s="82"/>
      <c r="L74" s="82"/>
      <c r="M74" s="93"/>
      <c r="N74" s="81"/>
      <c r="O74" s="82"/>
      <c r="P74" s="82"/>
      <c r="Q74" s="93"/>
      <c r="R74" s="81"/>
      <c r="S74" s="82"/>
      <c r="T74" s="82"/>
      <c r="U74" s="93"/>
      <c r="V74" s="81">
        <f t="shared" si="13"/>
        <v>0</v>
      </c>
      <c r="W74" s="82"/>
      <c r="X74" s="82"/>
      <c r="Y74" s="93"/>
      <c r="Z74" s="97" t="str">
        <f t="shared" si="14"/>
        <v>FAILED</v>
      </c>
      <c r="AA74" s="95"/>
      <c r="AB74" s="99"/>
    </row>
    <row r="75" ht="15.75" spans="1:28">
      <c r="A75" s="37">
        <v>24</v>
      </c>
      <c r="B75" s="300">
        <f>FILIPINO!B71</f>
        <v>0</v>
      </c>
      <c r="C75" s="38"/>
      <c r="D75" s="38"/>
      <c r="E75" s="41"/>
      <c r="F75" s="81"/>
      <c r="G75" s="82"/>
      <c r="H75" s="82"/>
      <c r="I75" s="93"/>
      <c r="J75" s="81"/>
      <c r="K75" s="82"/>
      <c r="L75" s="82"/>
      <c r="M75" s="93"/>
      <c r="N75" s="81"/>
      <c r="O75" s="82"/>
      <c r="P75" s="82"/>
      <c r="Q75" s="93"/>
      <c r="R75" s="81"/>
      <c r="S75" s="82"/>
      <c r="T75" s="82"/>
      <c r="U75" s="93"/>
      <c r="V75" s="81">
        <f t="shared" si="13"/>
        <v>0</v>
      </c>
      <c r="W75" s="82"/>
      <c r="X75" s="82"/>
      <c r="Y75" s="93"/>
      <c r="Z75" s="97" t="str">
        <f t="shared" si="14"/>
        <v>FAILED</v>
      </c>
      <c r="AA75" s="95"/>
      <c r="AB75" s="99"/>
    </row>
    <row r="76" ht="15" spans="1:28">
      <c r="A76" s="37">
        <v>25</v>
      </c>
      <c r="B76" s="300">
        <f>FILIPINO!B72</f>
        <v>0</v>
      </c>
      <c r="C76" s="38"/>
      <c r="D76" s="38"/>
      <c r="E76" s="41"/>
      <c r="F76" s="81"/>
      <c r="G76" s="82"/>
      <c r="H76" s="82"/>
      <c r="I76" s="93"/>
      <c r="J76" s="81"/>
      <c r="K76" s="82"/>
      <c r="L76" s="82"/>
      <c r="M76" s="93"/>
      <c r="N76" s="81"/>
      <c r="O76" s="82"/>
      <c r="P76" s="82"/>
      <c r="Q76" s="93"/>
      <c r="R76" s="81"/>
      <c r="S76" s="82"/>
      <c r="T76" s="82"/>
      <c r="U76" s="93"/>
      <c r="V76" s="81">
        <f t="shared" si="13"/>
        <v>0</v>
      </c>
      <c r="W76" s="82"/>
      <c r="X76" s="82"/>
      <c r="Y76" s="93"/>
      <c r="Z76" s="97" t="str">
        <f t="shared" si="14"/>
        <v>FAILED</v>
      </c>
      <c r="AA76" s="95"/>
      <c r="AB76" s="99"/>
    </row>
    <row r="77" ht="15.75" hidden="1" spans="1:28">
      <c r="A77" s="42">
        <v>26</v>
      </c>
      <c r="B77" s="300">
        <f>FILIPINO!B73</f>
        <v>0</v>
      </c>
      <c r="C77" s="107"/>
      <c r="D77" s="107"/>
      <c r="E77" s="108"/>
      <c r="F77" s="81"/>
      <c r="G77" s="82"/>
      <c r="H77" s="82"/>
      <c r="I77" s="93"/>
      <c r="J77" s="81"/>
      <c r="K77" s="82"/>
      <c r="L77" s="82"/>
      <c r="M77" s="93"/>
      <c r="N77" s="81"/>
      <c r="O77" s="82"/>
      <c r="P77" s="82"/>
      <c r="Q77" s="93"/>
      <c r="R77" s="81"/>
      <c r="S77" s="82"/>
      <c r="T77" s="82"/>
      <c r="U77" s="93"/>
      <c r="V77" s="81">
        <f t="shared" ref="V77:V86" si="15">SUM(F77,J77,N77,R77)/4</f>
        <v>0</v>
      </c>
      <c r="W77" s="82"/>
      <c r="X77" s="82"/>
      <c r="Y77" s="93"/>
      <c r="Z77" s="97" t="str">
        <f t="shared" si="14"/>
        <v>FAILED</v>
      </c>
      <c r="AA77" s="95"/>
      <c r="AB77" s="99"/>
    </row>
    <row r="78" ht="15.75" hidden="1" spans="1:28">
      <c r="A78" s="42">
        <v>27</v>
      </c>
      <c r="B78" s="300">
        <f>FILIPINO!B74</f>
        <v>0</v>
      </c>
      <c r="C78" s="109"/>
      <c r="D78" s="109"/>
      <c r="E78" s="110"/>
      <c r="F78" s="81"/>
      <c r="G78" s="82"/>
      <c r="H78" s="82"/>
      <c r="I78" s="93"/>
      <c r="J78" s="81"/>
      <c r="K78" s="82"/>
      <c r="L78" s="82"/>
      <c r="M78" s="93"/>
      <c r="N78" s="81"/>
      <c r="O78" s="82"/>
      <c r="P78" s="82"/>
      <c r="Q78" s="93"/>
      <c r="R78" s="81"/>
      <c r="S78" s="82"/>
      <c r="T78" s="82"/>
      <c r="U78" s="93"/>
      <c r="V78" s="81">
        <f t="shared" si="15"/>
        <v>0</v>
      </c>
      <c r="W78" s="82"/>
      <c r="X78" s="82"/>
      <c r="Y78" s="93"/>
      <c r="Z78" s="97" t="str">
        <f t="shared" si="14"/>
        <v>FAILED</v>
      </c>
      <c r="AA78" s="95"/>
      <c r="AB78" s="99"/>
    </row>
    <row r="79" ht="15.75" hidden="1" spans="1:28">
      <c r="A79" s="42">
        <v>28</v>
      </c>
      <c r="B79" s="300">
        <f>FILIPINO!B75</f>
        <v>0</v>
      </c>
      <c r="C79" s="109"/>
      <c r="D79" s="109"/>
      <c r="E79" s="110"/>
      <c r="F79" s="81"/>
      <c r="G79" s="82"/>
      <c r="H79" s="82"/>
      <c r="I79" s="93"/>
      <c r="J79" s="81"/>
      <c r="K79" s="82"/>
      <c r="L79" s="82"/>
      <c r="M79" s="93"/>
      <c r="N79" s="81"/>
      <c r="O79" s="82"/>
      <c r="P79" s="82"/>
      <c r="Q79" s="93"/>
      <c r="R79" s="81"/>
      <c r="S79" s="82"/>
      <c r="T79" s="82"/>
      <c r="U79" s="93"/>
      <c r="V79" s="81">
        <f t="shared" si="15"/>
        <v>0</v>
      </c>
      <c r="W79" s="82"/>
      <c r="X79" s="82"/>
      <c r="Y79" s="93"/>
      <c r="Z79" s="97" t="str">
        <f t="shared" si="14"/>
        <v>FAILED</v>
      </c>
      <c r="AA79" s="95"/>
      <c r="AB79" s="99"/>
    </row>
    <row r="80" ht="15.75" hidden="1" spans="1:28">
      <c r="A80" s="42">
        <v>29</v>
      </c>
      <c r="B80" s="300">
        <f>FILIPINO!B76</f>
        <v>0</v>
      </c>
      <c r="C80" s="109"/>
      <c r="D80" s="109"/>
      <c r="E80" s="110"/>
      <c r="F80" s="81"/>
      <c r="G80" s="82"/>
      <c r="H80" s="82"/>
      <c r="I80" s="93"/>
      <c r="J80" s="81"/>
      <c r="K80" s="82"/>
      <c r="L80" s="82"/>
      <c r="M80" s="93"/>
      <c r="N80" s="81"/>
      <c r="O80" s="82"/>
      <c r="P80" s="82"/>
      <c r="Q80" s="93"/>
      <c r="R80" s="81"/>
      <c r="S80" s="82"/>
      <c r="T80" s="82"/>
      <c r="U80" s="93"/>
      <c r="V80" s="81">
        <f t="shared" si="15"/>
        <v>0</v>
      </c>
      <c r="W80" s="82"/>
      <c r="X80" s="82"/>
      <c r="Y80" s="93"/>
      <c r="Z80" s="97" t="str">
        <f t="shared" si="14"/>
        <v>FAILED</v>
      </c>
      <c r="AA80" s="95"/>
      <c r="AB80" s="99"/>
    </row>
    <row r="81" ht="15" hidden="1" spans="1:28">
      <c r="A81" s="42">
        <v>30</v>
      </c>
      <c r="B81" s="300">
        <f>FILIPINO!B77</f>
        <v>0</v>
      </c>
      <c r="C81" s="109"/>
      <c r="D81" s="109"/>
      <c r="E81" s="110"/>
      <c r="F81" s="81"/>
      <c r="G81" s="82"/>
      <c r="H81" s="82"/>
      <c r="I81" s="93"/>
      <c r="J81" s="81"/>
      <c r="K81" s="82"/>
      <c r="L81" s="82"/>
      <c r="M81" s="93"/>
      <c r="N81" s="81"/>
      <c r="O81" s="82"/>
      <c r="P81" s="82"/>
      <c r="Q81" s="93"/>
      <c r="R81" s="81"/>
      <c r="S81" s="82"/>
      <c r="T81" s="82"/>
      <c r="U81" s="93"/>
      <c r="V81" s="81">
        <f t="shared" si="15"/>
        <v>0</v>
      </c>
      <c r="W81" s="82"/>
      <c r="X81" s="82"/>
      <c r="Y81" s="93"/>
      <c r="Z81" s="97" t="str">
        <f t="shared" si="14"/>
        <v>FAILED</v>
      </c>
      <c r="AA81" s="95"/>
      <c r="AB81" s="99"/>
    </row>
    <row r="82" ht="15" hidden="1" spans="1:28">
      <c r="A82" s="42">
        <v>31</v>
      </c>
      <c r="B82" s="300">
        <f>FILIPINO!B78</f>
        <v>0</v>
      </c>
      <c r="C82" s="109"/>
      <c r="D82" s="109"/>
      <c r="E82" s="110"/>
      <c r="F82" s="81"/>
      <c r="G82" s="82"/>
      <c r="H82" s="82"/>
      <c r="I82" s="93"/>
      <c r="J82" s="81"/>
      <c r="K82" s="82"/>
      <c r="L82" s="82"/>
      <c r="M82" s="93"/>
      <c r="N82" s="81"/>
      <c r="O82" s="82"/>
      <c r="P82" s="82"/>
      <c r="Q82" s="93"/>
      <c r="R82" s="81"/>
      <c r="S82" s="82"/>
      <c r="T82" s="82"/>
      <c r="U82" s="93"/>
      <c r="V82" s="81">
        <f t="shared" si="15"/>
        <v>0</v>
      </c>
      <c r="W82" s="82"/>
      <c r="X82" s="82"/>
      <c r="Y82" s="93"/>
      <c r="Z82" s="97"/>
      <c r="AA82" s="98"/>
      <c r="AB82" s="99"/>
    </row>
    <row r="83" ht="15" hidden="1" spans="1:28">
      <c r="A83" s="42">
        <v>32</v>
      </c>
      <c r="B83" s="300">
        <f>FILIPINO!B79</f>
        <v>0</v>
      </c>
      <c r="C83" s="109"/>
      <c r="D83" s="109"/>
      <c r="E83" s="110"/>
      <c r="F83" s="81"/>
      <c r="G83" s="82"/>
      <c r="H83" s="82"/>
      <c r="I83" s="93"/>
      <c r="J83" s="81"/>
      <c r="K83" s="82"/>
      <c r="L83" s="82"/>
      <c r="M83" s="93"/>
      <c r="N83" s="81"/>
      <c r="O83" s="82"/>
      <c r="P83" s="82"/>
      <c r="Q83" s="93"/>
      <c r="R83" s="81"/>
      <c r="S83" s="82"/>
      <c r="T83" s="82"/>
      <c r="U83" s="93"/>
      <c r="V83" s="81">
        <f t="shared" si="15"/>
        <v>0</v>
      </c>
      <c r="W83" s="82"/>
      <c r="X83" s="82"/>
      <c r="Y83" s="93"/>
      <c r="Z83" s="97"/>
      <c r="AA83" s="98"/>
      <c r="AB83" s="99"/>
    </row>
    <row r="84" ht="15" hidden="1" spans="1:28">
      <c r="A84" s="42">
        <v>33</v>
      </c>
      <c r="B84" s="300">
        <f>FILIPINO!B80</f>
        <v>0</v>
      </c>
      <c r="C84" s="109"/>
      <c r="D84" s="109"/>
      <c r="E84" s="110"/>
      <c r="F84" s="81"/>
      <c r="G84" s="82"/>
      <c r="H84" s="82"/>
      <c r="I84" s="93"/>
      <c r="J84" s="81"/>
      <c r="K84" s="82"/>
      <c r="L84" s="82"/>
      <c r="M84" s="93"/>
      <c r="N84" s="81"/>
      <c r="O84" s="82"/>
      <c r="P84" s="82"/>
      <c r="Q84" s="93"/>
      <c r="R84" s="81"/>
      <c r="S84" s="82"/>
      <c r="T84" s="82"/>
      <c r="U84" s="93"/>
      <c r="V84" s="81">
        <f t="shared" si="15"/>
        <v>0</v>
      </c>
      <c r="W84" s="82"/>
      <c r="X84" s="82"/>
      <c r="Y84" s="93"/>
      <c r="Z84" s="97"/>
      <c r="AA84" s="98"/>
      <c r="AB84" s="99"/>
    </row>
    <row r="85" ht="15" hidden="1" spans="1:28">
      <c r="A85" s="42">
        <v>34</v>
      </c>
      <c r="B85" s="300">
        <f>FILIPINO!B81</f>
        <v>0</v>
      </c>
      <c r="C85" s="109"/>
      <c r="D85" s="109"/>
      <c r="E85" s="110"/>
      <c r="F85" s="81"/>
      <c r="G85" s="82"/>
      <c r="H85" s="82"/>
      <c r="I85" s="93"/>
      <c r="J85" s="81"/>
      <c r="K85" s="82"/>
      <c r="L85" s="82"/>
      <c r="M85" s="93"/>
      <c r="N85" s="81"/>
      <c r="O85" s="82"/>
      <c r="P85" s="82"/>
      <c r="Q85" s="93"/>
      <c r="R85" s="81"/>
      <c r="S85" s="82"/>
      <c r="T85" s="82"/>
      <c r="U85" s="93"/>
      <c r="V85" s="81">
        <f t="shared" si="15"/>
        <v>0</v>
      </c>
      <c r="W85" s="82"/>
      <c r="X85" s="82"/>
      <c r="Y85" s="93"/>
      <c r="Z85" s="97"/>
      <c r="AA85" s="98"/>
      <c r="AB85" s="99"/>
    </row>
    <row r="86" ht="15" hidden="1" spans="1:28">
      <c r="A86" s="42">
        <v>35</v>
      </c>
      <c r="B86" s="300">
        <f>FILIPINO!B82</f>
        <v>0</v>
      </c>
      <c r="C86" s="109"/>
      <c r="D86" s="109"/>
      <c r="E86" s="110"/>
      <c r="F86" s="81"/>
      <c r="G86" s="82"/>
      <c r="H86" s="82"/>
      <c r="I86" s="93"/>
      <c r="J86" s="81"/>
      <c r="K86" s="82"/>
      <c r="L86" s="82"/>
      <c r="M86" s="93"/>
      <c r="N86" s="81"/>
      <c r="O86" s="82"/>
      <c r="P86" s="82"/>
      <c r="Q86" s="93"/>
      <c r="R86" s="81"/>
      <c r="S86" s="82"/>
      <c r="T86" s="82"/>
      <c r="U86" s="93"/>
      <c r="V86" s="81">
        <f t="shared" si="15"/>
        <v>0</v>
      </c>
      <c r="W86" s="82"/>
      <c r="X86" s="82"/>
      <c r="Y86" s="93"/>
      <c r="Z86" s="97"/>
      <c r="AA86" s="98"/>
      <c r="AB86" s="99"/>
    </row>
    <row r="87" hidden="1"/>
    <row r="88" hidden="1"/>
  </sheetData>
  <mergeCells count="491">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B7:E10"/>
    <mergeCell ref="A1:AB2"/>
    <mergeCell ref="Z9:AB10"/>
  </mergeCells>
  <dataValidations count="3">
    <dataValidation allowBlank="1" showErrorMessage="1" sqref="A11:AB11 V16:Y16 Z16:AB16 G50:I50 K50:M50 A51:U51 F12:F50 J12:J50 G12:I31 K12:M31 F52:U86 N12:U50 V12:AB15 V17:AB86"/>
    <dataValidation allowBlank="1" showInputMessage="1" showErrorMessage="1" prompt="Do not type name of learners here. Go to INPUT DATA sheet." sqref="B12:B31 B33:B50 B52:B86"/>
    <dataValidation allowBlank="1" showErrorMessage="1" prompt="EITHER WRITE YOUR OWN HPS OR EMPTY" sqref="F9:AB10"/>
  </dataValidations>
  <pageMargins left="0.2" right="0.2" top="0.25" bottom="0.25" header="0.3" footer="0.3"/>
  <pageSetup paperSize="9" scale="70"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B90"/>
  <sheetViews>
    <sheetView topLeftCell="A15" workbookViewId="0">
      <selection activeCell="V55" sqref="V55:Y55"/>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62</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349" t="s">
        <v>2</v>
      </c>
      <c r="H5" s="350"/>
      <c r="I5" s="350"/>
      <c r="J5" s="357"/>
      <c r="K5" s="56"/>
      <c r="L5" s="57" t="s">
        <v>3</v>
      </c>
      <c r="M5" s="57"/>
      <c r="N5" s="58"/>
      <c r="O5" s="349" t="s">
        <v>63</v>
      </c>
      <c r="P5" s="350"/>
      <c r="Q5" s="350"/>
      <c r="R5" s="357"/>
      <c r="S5" s="317"/>
      <c r="T5" s="317"/>
      <c r="U5" s="317"/>
      <c r="V5" s="317"/>
      <c r="W5" s="318"/>
      <c r="X5" s="318"/>
      <c r="Y5" s="318"/>
      <c r="Z5" s="318"/>
      <c r="AA5" s="318"/>
      <c r="AB5" s="318"/>
    </row>
    <row r="6" ht="18.15" spans="1:28">
      <c r="A6" s="3"/>
      <c r="B6" s="5" t="s">
        <v>5</v>
      </c>
      <c r="C6" s="5"/>
      <c r="D6" s="5"/>
      <c r="E6" s="5"/>
      <c r="F6" s="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81</v>
      </c>
      <c r="L8" s="60"/>
      <c r="M8" s="60"/>
      <c r="N8" s="60"/>
      <c r="O8" s="60"/>
      <c r="P8" s="60"/>
      <c r="Q8" s="60"/>
      <c r="R8" s="79"/>
      <c r="S8" s="18" t="s">
        <v>15</v>
      </c>
      <c r="T8" s="19"/>
      <c r="U8" s="19"/>
      <c r="V8" s="19"/>
      <c r="W8" s="59" t="s">
        <v>82</v>
      </c>
      <c r="X8" s="59"/>
      <c r="Y8" s="59"/>
      <c r="Z8" s="59"/>
      <c r="AA8" s="59"/>
      <c r="AB8" s="78"/>
    </row>
    <row r="9" ht="15.6" spans="1:28">
      <c r="A9" s="15"/>
      <c r="B9" s="16"/>
      <c r="C9" s="16"/>
      <c r="D9" s="16"/>
      <c r="E9" s="17"/>
      <c r="F9" s="20" t="s">
        <v>83</v>
      </c>
      <c r="G9" s="21"/>
      <c r="H9" s="21"/>
      <c r="I9" s="61"/>
      <c r="J9" s="20" t="s">
        <v>83</v>
      </c>
      <c r="K9" s="21"/>
      <c r="L9" s="21"/>
      <c r="M9" s="61"/>
      <c r="N9" s="20" t="s">
        <v>83</v>
      </c>
      <c r="O9" s="21"/>
      <c r="P9" s="21"/>
      <c r="Q9" s="61"/>
      <c r="R9" s="20" t="s">
        <v>83</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75" spans="1:28">
      <c r="A12" s="32">
        <v>1</v>
      </c>
      <c r="B12" s="375" t="str">
        <f>'INPUT DATA'!B12:D12</f>
        <v>ANUBLING, REGIE C.</v>
      </c>
      <c r="C12" s="376"/>
      <c r="D12" s="376"/>
      <c r="E12" s="376"/>
      <c r="F12" s="81">
        <v>70</v>
      </c>
      <c r="G12" s="82"/>
      <c r="H12" s="82"/>
      <c r="I12" s="93"/>
      <c r="J12" s="81">
        <v>75</v>
      </c>
      <c r="K12" s="82"/>
      <c r="L12" s="82"/>
      <c r="M12" s="93"/>
      <c r="N12" s="81">
        <v>77</v>
      </c>
      <c r="O12" s="82"/>
      <c r="P12" s="82"/>
      <c r="Q12" s="93"/>
      <c r="R12" s="81">
        <v>79</v>
      </c>
      <c r="S12" s="82"/>
      <c r="T12" s="82"/>
      <c r="U12" s="93"/>
      <c r="V12" s="81">
        <f>SUM(F12,J12,N12,R12)/4</f>
        <v>75.25</v>
      </c>
      <c r="W12" s="82"/>
      <c r="X12" s="82"/>
      <c r="Y12" s="93"/>
      <c r="Z12" s="94" t="str">
        <f>IF(V12&gt;=75,"PASSED","FAILED")</f>
        <v>PASSED</v>
      </c>
      <c r="AA12" s="95"/>
      <c r="AB12" s="96"/>
    </row>
    <row r="13" ht="15.75" spans="1:28">
      <c r="A13" s="37">
        <v>2</v>
      </c>
      <c r="B13" s="375" t="str">
        <f>'INPUT DATA'!B13:D13</f>
        <v>BANGCOY, JOHN PAUL P.</v>
      </c>
      <c r="C13" s="377"/>
      <c r="D13" s="377"/>
      <c r="E13" s="377"/>
      <c r="F13" s="81"/>
      <c r="G13" s="82"/>
      <c r="H13" s="82"/>
      <c r="I13" s="93"/>
      <c r="J13" s="81"/>
      <c r="K13" s="82"/>
      <c r="L13" s="82"/>
      <c r="M13" s="93"/>
      <c r="N13" s="81"/>
      <c r="O13" s="82"/>
      <c r="P13" s="82"/>
      <c r="Q13" s="93"/>
      <c r="R13" s="81"/>
      <c r="S13" s="82"/>
      <c r="T13" s="82"/>
      <c r="U13" s="93"/>
      <c r="V13" s="81">
        <f t="shared" ref="V13:V36" si="0">SUM(F13,J13,N13,R13)/4</f>
        <v>0</v>
      </c>
      <c r="W13" s="82"/>
      <c r="X13" s="82"/>
      <c r="Y13" s="93"/>
      <c r="Z13" s="97" t="str">
        <f t="shared" ref="Z13:Z30" si="1">IF(V13&gt;=75,"PASSED","FAILED")</f>
        <v>FAILED</v>
      </c>
      <c r="AA13" s="95"/>
      <c r="AB13" s="99"/>
    </row>
    <row r="14" ht="15.75" spans="1:28">
      <c r="A14" s="37">
        <v>3</v>
      </c>
      <c r="B14" s="375" t="str">
        <f>'INPUT DATA'!B14:D14</f>
        <v>BARRIENTOS, JOHN PAUL M.</v>
      </c>
      <c r="C14" s="377"/>
      <c r="D14" s="377"/>
      <c r="E14" s="377"/>
      <c r="F14" s="81">
        <v>88</v>
      </c>
      <c r="G14" s="82"/>
      <c r="H14" s="82"/>
      <c r="I14" s="93"/>
      <c r="J14" s="81">
        <v>86</v>
      </c>
      <c r="K14" s="82"/>
      <c r="L14" s="82"/>
      <c r="M14" s="93"/>
      <c r="N14" s="81">
        <v>87</v>
      </c>
      <c r="O14" s="82"/>
      <c r="P14" s="82"/>
      <c r="Q14" s="93"/>
      <c r="R14" s="81">
        <v>90</v>
      </c>
      <c r="S14" s="82"/>
      <c r="T14" s="82"/>
      <c r="U14" s="93"/>
      <c r="V14" s="81">
        <f t="shared" si="0"/>
        <v>87.75</v>
      </c>
      <c r="W14" s="82"/>
      <c r="X14" s="82"/>
      <c r="Y14" s="93"/>
      <c r="Z14" s="97" t="str">
        <f t="shared" si="1"/>
        <v>PASSED</v>
      </c>
      <c r="AA14" s="95"/>
      <c r="AB14" s="99"/>
    </row>
    <row r="15" ht="15.75" spans="1:28">
      <c r="A15" s="37">
        <v>4</v>
      </c>
      <c r="B15" s="375" t="str">
        <f>'INPUT DATA'!B15:D15</f>
        <v>BRIGOLE, ROMEL</v>
      </c>
      <c r="C15" s="377"/>
      <c r="D15" s="377"/>
      <c r="E15" s="378"/>
      <c r="F15" s="81"/>
      <c r="G15" s="82"/>
      <c r="H15" s="82"/>
      <c r="I15" s="93"/>
      <c r="J15" s="81"/>
      <c r="K15" s="82"/>
      <c r="L15" s="82"/>
      <c r="M15" s="93"/>
      <c r="N15" s="81"/>
      <c r="O15" s="82"/>
      <c r="P15" s="82"/>
      <c r="Q15" s="93"/>
      <c r="R15" s="81"/>
      <c r="S15" s="82"/>
      <c r="T15" s="82"/>
      <c r="U15" s="93"/>
      <c r="V15" s="81">
        <f t="shared" si="0"/>
        <v>0</v>
      </c>
      <c r="W15" s="82"/>
      <c r="X15" s="82"/>
      <c r="Y15" s="93"/>
      <c r="Z15" s="97" t="str">
        <f t="shared" si="1"/>
        <v>FAILED</v>
      </c>
      <c r="AA15" s="95"/>
      <c r="AB15" s="99"/>
    </row>
    <row r="16" ht="15.75" spans="1:28">
      <c r="A16" s="37">
        <v>5</v>
      </c>
      <c r="B16" s="375" t="str">
        <f>'INPUT DATA'!B16:D16</f>
        <v>BULAHAN,ROVIC L.</v>
      </c>
      <c r="C16" s="377"/>
      <c r="D16" s="377"/>
      <c r="E16" s="378"/>
      <c r="F16" s="81">
        <v>91</v>
      </c>
      <c r="G16" s="82"/>
      <c r="H16" s="82"/>
      <c r="I16" s="93"/>
      <c r="J16" s="81">
        <v>87</v>
      </c>
      <c r="K16" s="82"/>
      <c r="L16" s="82"/>
      <c r="M16" s="93"/>
      <c r="N16" s="81">
        <v>90</v>
      </c>
      <c r="O16" s="82"/>
      <c r="P16" s="82"/>
      <c r="Q16" s="93"/>
      <c r="R16" s="81">
        <v>90</v>
      </c>
      <c r="S16" s="82"/>
      <c r="T16" s="82"/>
      <c r="U16" s="93"/>
      <c r="V16" s="81">
        <f t="shared" si="0"/>
        <v>89.5</v>
      </c>
      <c r="W16" s="82"/>
      <c r="X16" s="82"/>
      <c r="Y16" s="93"/>
      <c r="Z16" s="97" t="str">
        <f t="shared" ref="Z16" si="2">IF(V16&gt;=75,"PASSED","FAILED")</f>
        <v>PASSED</v>
      </c>
      <c r="AA16" s="95"/>
      <c r="AB16" s="99"/>
    </row>
    <row r="17" ht="15.75" spans="1:28">
      <c r="A17" s="37">
        <v>6</v>
      </c>
      <c r="B17" s="375" t="str">
        <f>'INPUT DATA'!B17:D17</f>
        <v>CIJAS, ROLIE JR. A.</v>
      </c>
      <c r="C17" s="377"/>
      <c r="D17" s="377"/>
      <c r="E17" s="378"/>
      <c r="F17" s="81">
        <v>83</v>
      </c>
      <c r="G17" s="82"/>
      <c r="H17" s="82"/>
      <c r="I17" s="93"/>
      <c r="J17" s="81">
        <v>84</v>
      </c>
      <c r="K17" s="82"/>
      <c r="L17" s="82"/>
      <c r="M17" s="93"/>
      <c r="N17" s="81">
        <v>87</v>
      </c>
      <c r="O17" s="82"/>
      <c r="P17" s="82"/>
      <c r="Q17" s="93"/>
      <c r="R17" s="81">
        <v>92</v>
      </c>
      <c r="S17" s="82"/>
      <c r="T17" s="82"/>
      <c r="U17" s="93"/>
      <c r="V17" s="81">
        <f t="shared" si="0"/>
        <v>86.5</v>
      </c>
      <c r="W17" s="82"/>
      <c r="X17" s="82"/>
      <c r="Y17" s="93"/>
      <c r="Z17" s="97" t="str">
        <f t="shared" si="1"/>
        <v>PASSED</v>
      </c>
      <c r="AA17" s="95"/>
      <c r="AB17" s="99"/>
    </row>
    <row r="18" ht="15.75" spans="1:28">
      <c r="A18" s="37">
        <v>7</v>
      </c>
      <c r="B18" s="375" t="str">
        <f>'INPUT DATA'!B18:D18</f>
        <v>GARCIA, DAVE P.</v>
      </c>
      <c r="C18" s="377"/>
      <c r="D18" s="377"/>
      <c r="E18" s="378"/>
      <c r="F18" s="81">
        <v>80</v>
      </c>
      <c r="G18" s="82"/>
      <c r="H18" s="82"/>
      <c r="I18" s="93"/>
      <c r="J18" s="81">
        <v>78</v>
      </c>
      <c r="K18" s="82"/>
      <c r="L18" s="82"/>
      <c r="M18" s="93"/>
      <c r="N18" s="81">
        <v>80</v>
      </c>
      <c r="O18" s="82"/>
      <c r="P18" s="82"/>
      <c r="Q18" s="93"/>
      <c r="R18" s="81">
        <v>85</v>
      </c>
      <c r="S18" s="82"/>
      <c r="T18" s="82"/>
      <c r="U18" s="93"/>
      <c r="V18" s="81">
        <f t="shared" si="0"/>
        <v>80.75</v>
      </c>
      <c r="W18" s="82"/>
      <c r="X18" s="82"/>
      <c r="Y18" s="93"/>
      <c r="Z18" s="97" t="str">
        <f t="shared" si="1"/>
        <v>PASSED</v>
      </c>
      <c r="AA18" s="95"/>
      <c r="AB18" s="99"/>
    </row>
    <row r="19" ht="15.75" spans="1:28">
      <c r="A19" s="37">
        <v>8</v>
      </c>
      <c r="B19" s="375" t="str">
        <f>'INPUT DATA'!B19:D19</f>
        <v>GONZALES, JAMES A.</v>
      </c>
      <c r="C19" s="377"/>
      <c r="D19" s="377">
        <v>0</v>
      </c>
      <c r="E19" s="378"/>
      <c r="F19" s="81">
        <v>80</v>
      </c>
      <c r="G19" s="82"/>
      <c r="H19" s="82"/>
      <c r="I19" s="93"/>
      <c r="J19" s="81">
        <v>80</v>
      </c>
      <c r="K19" s="82"/>
      <c r="L19" s="82"/>
      <c r="M19" s="93"/>
      <c r="N19" s="81">
        <v>80</v>
      </c>
      <c r="O19" s="82"/>
      <c r="P19" s="82"/>
      <c r="Q19" s="93"/>
      <c r="R19" s="81">
        <v>79</v>
      </c>
      <c r="S19" s="82"/>
      <c r="T19" s="82"/>
      <c r="U19" s="93"/>
      <c r="V19" s="81">
        <f t="shared" si="0"/>
        <v>79.75</v>
      </c>
      <c r="W19" s="82"/>
      <c r="X19" s="82"/>
      <c r="Y19" s="93"/>
      <c r="Z19" s="97" t="str">
        <f t="shared" si="1"/>
        <v>PASSED</v>
      </c>
      <c r="AA19" s="95"/>
      <c r="AB19" s="99"/>
    </row>
    <row r="20" ht="15.75" spans="1:28">
      <c r="A20" s="37">
        <v>9</v>
      </c>
      <c r="B20" s="375" t="str">
        <f>'INPUT DATA'!B20:D20</f>
        <v>LAGUNA, J.B. B.</v>
      </c>
      <c r="C20" s="377"/>
      <c r="D20" s="377"/>
      <c r="E20" s="378"/>
      <c r="F20" s="81">
        <v>85</v>
      </c>
      <c r="G20" s="82"/>
      <c r="H20" s="82"/>
      <c r="I20" s="93"/>
      <c r="J20" s="81">
        <v>85</v>
      </c>
      <c r="K20" s="82"/>
      <c r="L20" s="82"/>
      <c r="M20" s="93"/>
      <c r="N20" s="81">
        <v>82</v>
      </c>
      <c r="O20" s="82"/>
      <c r="P20" s="82"/>
      <c r="Q20" s="93"/>
      <c r="R20" s="81">
        <v>88</v>
      </c>
      <c r="S20" s="82"/>
      <c r="T20" s="82"/>
      <c r="U20" s="93"/>
      <c r="V20" s="81">
        <f t="shared" si="0"/>
        <v>85</v>
      </c>
      <c r="W20" s="82"/>
      <c r="X20" s="82"/>
      <c r="Y20" s="93"/>
      <c r="Z20" s="97" t="str">
        <f t="shared" si="1"/>
        <v>PASSED</v>
      </c>
      <c r="AA20" s="95"/>
      <c r="AB20" s="99"/>
    </row>
    <row r="21" ht="15.75" spans="1:28">
      <c r="A21" s="37">
        <v>10</v>
      </c>
      <c r="B21" s="375" t="str">
        <f>'INPUT DATA'!B21:D21</f>
        <v>LARODA, STEVEN S.</v>
      </c>
      <c r="C21" s="377"/>
      <c r="D21" s="377"/>
      <c r="E21" s="378"/>
      <c r="F21" s="81">
        <v>71</v>
      </c>
      <c r="G21" s="82"/>
      <c r="H21" s="82"/>
      <c r="I21" s="93"/>
      <c r="J21" s="81">
        <v>75</v>
      </c>
      <c r="K21" s="82"/>
      <c r="L21" s="82"/>
      <c r="M21" s="93"/>
      <c r="N21" s="81">
        <v>75</v>
      </c>
      <c r="O21" s="82"/>
      <c r="P21" s="82"/>
      <c r="Q21" s="93"/>
      <c r="R21" s="81">
        <v>82</v>
      </c>
      <c r="S21" s="82"/>
      <c r="T21" s="82"/>
      <c r="U21" s="93"/>
      <c r="V21" s="81">
        <f t="shared" si="0"/>
        <v>75.75</v>
      </c>
      <c r="W21" s="82"/>
      <c r="X21" s="82"/>
      <c r="Y21" s="93"/>
      <c r="Z21" s="97" t="str">
        <f t="shared" si="1"/>
        <v>PASSED</v>
      </c>
      <c r="AA21" s="95"/>
      <c r="AB21" s="99"/>
    </row>
    <row r="22" ht="15.75" spans="1:28">
      <c r="A22" s="37">
        <v>11</v>
      </c>
      <c r="B22" s="375" t="str">
        <f>'INPUT DATA'!B22:D22</f>
        <v>MERINO, SEDRIK R.</v>
      </c>
      <c r="C22" s="377"/>
      <c r="D22" s="377">
        <v>0</v>
      </c>
      <c r="E22" s="378"/>
      <c r="F22" s="81">
        <v>70</v>
      </c>
      <c r="G22" s="82"/>
      <c r="H22" s="82"/>
      <c r="I22" s="93"/>
      <c r="J22" s="81">
        <v>70</v>
      </c>
      <c r="K22" s="82"/>
      <c r="L22" s="82"/>
      <c r="M22" s="93"/>
      <c r="N22" s="81">
        <v>75</v>
      </c>
      <c r="O22" s="82"/>
      <c r="P22" s="82"/>
      <c r="Q22" s="93"/>
      <c r="R22" s="81">
        <v>65</v>
      </c>
      <c r="S22" s="82"/>
      <c r="T22" s="82"/>
      <c r="U22" s="93"/>
      <c r="V22" s="81">
        <f t="shared" si="0"/>
        <v>70</v>
      </c>
      <c r="W22" s="82"/>
      <c r="X22" s="82"/>
      <c r="Y22" s="93"/>
      <c r="Z22" s="97" t="str">
        <f t="shared" si="1"/>
        <v>FAILED</v>
      </c>
      <c r="AA22" s="95"/>
      <c r="AB22" s="99"/>
    </row>
    <row r="23" ht="15.75" spans="1:28">
      <c r="A23" s="37">
        <v>12</v>
      </c>
      <c r="B23" s="375" t="str">
        <f>'INPUT DATA'!B23:D23</f>
        <v>MONTERAS, VINCENT S.</v>
      </c>
      <c r="C23" s="377"/>
      <c r="D23" s="377"/>
      <c r="E23" s="378"/>
      <c r="F23" s="81">
        <v>79</v>
      </c>
      <c r="G23" s="82"/>
      <c r="H23" s="82"/>
      <c r="I23" s="93"/>
      <c r="J23" s="81">
        <v>77</v>
      </c>
      <c r="K23" s="82"/>
      <c r="L23" s="82"/>
      <c r="M23" s="93"/>
      <c r="N23" s="81">
        <v>79</v>
      </c>
      <c r="O23" s="82"/>
      <c r="P23" s="82"/>
      <c r="Q23" s="93"/>
      <c r="R23" s="81">
        <v>76</v>
      </c>
      <c r="S23" s="82"/>
      <c r="T23" s="82"/>
      <c r="U23" s="93"/>
      <c r="V23" s="81">
        <f t="shared" si="0"/>
        <v>77.75</v>
      </c>
      <c r="W23" s="82"/>
      <c r="X23" s="82"/>
      <c r="Y23" s="93"/>
      <c r="Z23" s="97" t="str">
        <f t="shared" si="1"/>
        <v>PASSED</v>
      </c>
      <c r="AA23" s="95"/>
      <c r="AB23" s="99"/>
    </row>
    <row r="24" ht="15.75" spans="1:28">
      <c r="A24" s="37">
        <v>13</v>
      </c>
      <c r="B24" s="375" t="str">
        <f>'INPUT DATA'!B24:D24</f>
        <v>NACAWILI, ANDRIE L.</v>
      </c>
      <c r="C24" s="377"/>
      <c r="D24" s="377"/>
      <c r="E24" s="378"/>
      <c r="F24" s="81">
        <v>80</v>
      </c>
      <c r="G24" s="82"/>
      <c r="H24" s="82"/>
      <c r="I24" s="93"/>
      <c r="J24" s="81">
        <v>86</v>
      </c>
      <c r="K24" s="82"/>
      <c r="L24" s="82"/>
      <c r="M24" s="93"/>
      <c r="N24" s="81">
        <v>83</v>
      </c>
      <c r="O24" s="82"/>
      <c r="P24" s="82"/>
      <c r="Q24" s="93"/>
      <c r="R24" s="81">
        <v>82</v>
      </c>
      <c r="S24" s="82"/>
      <c r="T24" s="82"/>
      <c r="U24" s="93"/>
      <c r="V24" s="81">
        <f t="shared" si="0"/>
        <v>82.75</v>
      </c>
      <c r="W24" s="82"/>
      <c r="X24" s="82"/>
      <c r="Y24" s="93"/>
      <c r="Z24" s="97" t="str">
        <f t="shared" si="1"/>
        <v>PASSED</v>
      </c>
      <c r="AA24" s="95"/>
      <c r="AB24" s="99"/>
    </row>
    <row r="25" ht="15.75" spans="1:28">
      <c r="A25" s="37">
        <v>14</v>
      </c>
      <c r="B25" s="375" t="str">
        <f>'INPUT DATA'!B25:D25</f>
        <v>OLIVERIO, CYREL JAY G.</v>
      </c>
      <c r="C25" s="377"/>
      <c r="D25" s="377"/>
      <c r="E25" s="378"/>
      <c r="F25" s="81">
        <v>70</v>
      </c>
      <c r="G25" s="82"/>
      <c r="H25" s="82"/>
      <c r="I25" s="93"/>
      <c r="J25" s="81">
        <v>75</v>
      </c>
      <c r="K25" s="82"/>
      <c r="L25" s="82"/>
      <c r="M25" s="93"/>
      <c r="N25" s="81">
        <v>70</v>
      </c>
      <c r="O25" s="82"/>
      <c r="P25" s="82"/>
      <c r="Q25" s="93"/>
      <c r="R25" s="81">
        <v>65</v>
      </c>
      <c r="S25" s="82"/>
      <c r="T25" s="82"/>
      <c r="U25" s="93"/>
      <c r="V25" s="81">
        <f t="shared" si="0"/>
        <v>70</v>
      </c>
      <c r="W25" s="82"/>
      <c r="X25" s="82"/>
      <c r="Y25" s="93"/>
      <c r="Z25" s="97" t="str">
        <f t="shared" si="1"/>
        <v>FAILED</v>
      </c>
      <c r="AA25" s="95"/>
      <c r="AB25" s="99"/>
    </row>
    <row r="26" ht="15.75" spans="1:28">
      <c r="A26" s="37">
        <v>15</v>
      </c>
      <c r="B26" s="375" t="str">
        <f>'INPUT DATA'!B26:D26</f>
        <v>ORBITA,BRENN JOHN A.</v>
      </c>
      <c r="C26" s="377"/>
      <c r="D26" s="377"/>
      <c r="E26" s="378"/>
      <c r="F26" s="81">
        <v>88</v>
      </c>
      <c r="G26" s="82"/>
      <c r="H26" s="82"/>
      <c r="I26" s="93"/>
      <c r="J26" s="81">
        <v>84</v>
      </c>
      <c r="K26" s="82"/>
      <c r="L26" s="82"/>
      <c r="M26" s="93"/>
      <c r="N26" s="81">
        <v>84</v>
      </c>
      <c r="O26" s="82"/>
      <c r="P26" s="82"/>
      <c r="Q26" s="93"/>
      <c r="R26" s="81">
        <v>80</v>
      </c>
      <c r="S26" s="82"/>
      <c r="T26" s="82"/>
      <c r="U26" s="93"/>
      <c r="V26" s="81">
        <f t="shared" si="0"/>
        <v>84</v>
      </c>
      <c r="W26" s="82"/>
      <c r="X26" s="82"/>
      <c r="Y26" s="93"/>
      <c r="Z26" s="97" t="str">
        <f t="shared" si="1"/>
        <v>PASSED</v>
      </c>
      <c r="AA26" s="95"/>
      <c r="AB26" s="99"/>
    </row>
    <row r="27" ht="15.75" spans="1:28">
      <c r="A27" s="37">
        <v>16</v>
      </c>
      <c r="B27" s="375" t="str">
        <f>'INPUT DATA'!B27:D27</f>
        <v>PAINLO,SHERWIN V.</v>
      </c>
      <c r="C27" s="377"/>
      <c r="D27" s="377"/>
      <c r="E27" s="378"/>
      <c r="F27" s="81">
        <v>88</v>
      </c>
      <c r="G27" s="82"/>
      <c r="H27" s="82"/>
      <c r="I27" s="93"/>
      <c r="J27" s="81">
        <v>91</v>
      </c>
      <c r="K27" s="82"/>
      <c r="L27" s="82"/>
      <c r="M27" s="93"/>
      <c r="N27" s="81">
        <v>90</v>
      </c>
      <c r="O27" s="82"/>
      <c r="P27" s="82"/>
      <c r="Q27" s="93"/>
      <c r="R27" s="81">
        <v>92</v>
      </c>
      <c r="S27" s="82"/>
      <c r="T27" s="82"/>
      <c r="U27" s="93"/>
      <c r="V27" s="81">
        <f t="shared" si="0"/>
        <v>90.25</v>
      </c>
      <c r="W27" s="82"/>
      <c r="X27" s="82"/>
      <c r="Y27" s="93"/>
      <c r="Z27" s="97" t="str">
        <f t="shared" si="1"/>
        <v>PASSED</v>
      </c>
      <c r="AA27" s="95"/>
      <c r="AB27" s="99"/>
    </row>
    <row r="28" ht="15.75" spans="1:28">
      <c r="A28" s="37">
        <v>17</v>
      </c>
      <c r="B28" s="375" t="str">
        <f>'INPUT DATA'!B28:D28</f>
        <v>RAMIREZ, MATTEO JOHN DAVE D.</v>
      </c>
      <c r="C28" s="377"/>
      <c r="D28" s="377"/>
      <c r="E28" s="378"/>
      <c r="F28" s="81"/>
      <c r="G28" s="82"/>
      <c r="H28" s="82"/>
      <c r="I28" s="93"/>
      <c r="J28" s="81"/>
      <c r="K28" s="82"/>
      <c r="L28" s="82"/>
      <c r="M28" s="93"/>
      <c r="N28" s="81"/>
      <c r="O28" s="82"/>
      <c r="P28" s="82"/>
      <c r="Q28" s="93"/>
      <c r="R28" s="81"/>
      <c r="S28" s="82"/>
      <c r="T28" s="82"/>
      <c r="U28" s="93"/>
      <c r="V28" s="81">
        <f t="shared" si="0"/>
        <v>0</v>
      </c>
      <c r="W28" s="82"/>
      <c r="X28" s="82"/>
      <c r="Y28" s="93"/>
      <c r="Z28" s="97" t="str">
        <f t="shared" si="1"/>
        <v>FAILED</v>
      </c>
      <c r="AA28" s="95"/>
      <c r="AB28" s="99"/>
    </row>
    <row r="29" ht="15.75" spans="1:28">
      <c r="A29" s="37">
        <v>18</v>
      </c>
      <c r="B29" s="375" t="str">
        <f>'INPUT DATA'!B29:D29</f>
        <v>SIGUIRA, JASTINE B.</v>
      </c>
      <c r="C29" s="377"/>
      <c r="D29" s="377"/>
      <c r="E29" s="378"/>
      <c r="F29" s="81"/>
      <c r="G29" s="82"/>
      <c r="H29" s="82"/>
      <c r="I29" s="93"/>
      <c r="J29" s="81"/>
      <c r="K29" s="82"/>
      <c r="L29" s="82"/>
      <c r="M29" s="93"/>
      <c r="N29" s="81"/>
      <c r="O29" s="82"/>
      <c r="P29" s="82"/>
      <c r="Q29" s="93"/>
      <c r="R29" s="81"/>
      <c r="S29" s="82"/>
      <c r="T29" s="82"/>
      <c r="U29" s="93"/>
      <c r="V29" s="81">
        <f t="shared" si="0"/>
        <v>0</v>
      </c>
      <c r="W29" s="82"/>
      <c r="X29" s="82"/>
      <c r="Y29" s="93"/>
      <c r="Z29" s="97" t="str">
        <f t="shared" si="1"/>
        <v>FAILED</v>
      </c>
      <c r="AA29" s="95"/>
      <c r="AB29" s="99"/>
    </row>
    <row r="30" ht="15.75" spans="1:28">
      <c r="A30" s="37">
        <v>19</v>
      </c>
      <c r="B30" s="375" t="str">
        <f>'INPUT DATA'!B30:D30</f>
        <v>TAA, JHONVINZ Y.</v>
      </c>
      <c r="C30" s="377"/>
      <c r="D30" s="377"/>
      <c r="E30" s="378"/>
      <c r="F30" s="81">
        <v>71</v>
      </c>
      <c r="G30" s="82"/>
      <c r="H30" s="82"/>
      <c r="I30" s="93"/>
      <c r="J30" s="81">
        <v>76</v>
      </c>
      <c r="K30" s="82"/>
      <c r="L30" s="82"/>
      <c r="M30" s="93"/>
      <c r="N30" s="81">
        <v>76</v>
      </c>
      <c r="O30" s="82"/>
      <c r="P30" s="82"/>
      <c r="Q30" s="93"/>
      <c r="R30" s="81">
        <v>80</v>
      </c>
      <c r="S30" s="82"/>
      <c r="T30" s="82"/>
      <c r="U30" s="93"/>
      <c r="V30" s="81">
        <f t="shared" si="0"/>
        <v>75.75</v>
      </c>
      <c r="W30" s="82"/>
      <c r="X30" s="82"/>
      <c r="Y30" s="93"/>
      <c r="Z30" s="97" t="str">
        <f t="shared" si="1"/>
        <v>PASSED</v>
      </c>
      <c r="AA30" s="95"/>
      <c r="AB30" s="99"/>
    </row>
    <row r="31" ht="15.75" spans="1:28">
      <c r="A31" s="37">
        <v>20</v>
      </c>
      <c r="B31" s="375" t="str">
        <f>'INPUT DATA'!B31:D31</f>
        <v>ZOILO, JOHN LORENCE M.</v>
      </c>
      <c r="C31" s="377"/>
      <c r="D31" s="377"/>
      <c r="E31" s="378"/>
      <c r="F31" s="81">
        <v>81</v>
      </c>
      <c r="G31" s="82"/>
      <c r="H31" s="82"/>
      <c r="I31" s="93"/>
      <c r="J31" s="81">
        <v>79</v>
      </c>
      <c r="K31" s="82"/>
      <c r="L31" s="82"/>
      <c r="M31" s="93"/>
      <c r="N31" s="81">
        <v>79</v>
      </c>
      <c r="O31" s="82"/>
      <c r="P31" s="82"/>
      <c r="Q31" s="93"/>
      <c r="R31" s="81">
        <v>76</v>
      </c>
      <c r="S31" s="82"/>
      <c r="T31" s="82"/>
      <c r="U31" s="93"/>
      <c r="V31" s="81">
        <f t="shared" si="0"/>
        <v>78.75</v>
      </c>
      <c r="W31" s="82"/>
      <c r="X31" s="82"/>
      <c r="Y31" s="93"/>
      <c r="Z31" s="97" t="str">
        <f t="shared" ref="Z31:Z36" si="3">IF(V31&gt;=75,"PASSED","FAILED")</f>
        <v>PASSED</v>
      </c>
      <c r="AA31" s="95"/>
      <c r="AB31" s="99"/>
    </row>
    <row r="32" ht="15.75" spans="1:28">
      <c r="A32" s="37">
        <v>21</v>
      </c>
      <c r="B32" s="286" t="s">
        <v>73</v>
      </c>
      <c r="C32" s="289"/>
      <c r="D32" s="377"/>
      <c r="E32" s="378"/>
      <c r="F32" s="81">
        <v>77</v>
      </c>
      <c r="G32" s="82"/>
      <c r="H32" s="82"/>
      <c r="I32" s="93"/>
      <c r="J32" s="81">
        <v>77</v>
      </c>
      <c r="K32" s="82"/>
      <c r="L32" s="82"/>
      <c r="M32" s="93"/>
      <c r="N32" s="81">
        <v>78</v>
      </c>
      <c r="O32" s="82"/>
      <c r="P32" s="82"/>
      <c r="Q32" s="93"/>
      <c r="R32" s="81">
        <v>76</v>
      </c>
      <c r="S32" s="82"/>
      <c r="T32" s="82"/>
      <c r="U32" s="93"/>
      <c r="V32" s="81">
        <f t="shared" si="0"/>
        <v>77</v>
      </c>
      <c r="W32" s="82"/>
      <c r="X32" s="82"/>
      <c r="Y32" s="93"/>
      <c r="Z32" s="97" t="str">
        <f t="shared" si="3"/>
        <v>PASSED</v>
      </c>
      <c r="AA32" s="95"/>
      <c r="AB32" s="99"/>
    </row>
    <row r="33" ht="15.75" hidden="1" spans="1:28">
      <c r="A33" s="37">
        <v>22</v>
      </c>
      <c r="B33" s="375">
        <f>'INPUT DATA'!B33:D33</f>
        <v>0</v>
      </c>
      <c r="C33" s="377"/>
      <c r="D33" s="377"/>
      <c r="E33" s="378"/>
      <c r="F33" s="81"/>
      <c r="G33" s="82"/>
      <c r="H33" s="82"/>
      <c r="I33" s="93"/>
      <c r="J33" s="81"/>
      <c r="K33" s="82"/>
      <c r="L33" s="82"/>
      <c r="M33" s="93"/>
      <c r="N33" s="81"/>
      <c r="O33" s="82"/>
      <c r="P33" s="82"/>
      <c r="Q33" s="93"/>
      <c r="R33" s="81"/>
      <c r="S33" s="82"/>
      <c r="T33" s="82"/>
      <c r="U33" s="93"/>
      <c r="V33" s="81">
        <f t="shared" si="0"/>
        <v>0</v>
      </c>
      <c r="W33" s="82"/>
      <c r="X33" s="82"/>
      <c r="Y33" s="93"/>
      <c r="Z33" s="97" t="str">
        <f t="shared" si="3"/>
        <v>FAILED</v>
      </c>
      <c r="AA33" s="95"/>
      <c r="AB33" s="99"/>
    </row>
    <row r="34" ht="15.75" hidden="1" spans="1:28">
      <c r="A34" s="37">
        <v>23</v>
      </c>
      <c r="B34" s="375">
        <f>'INPUT DATA'!B34:D34</f>
        <v>0</v>
      </c>
      <c r="C34" s="377"/>
      <c r="D34" s="377"/>
      <c r="E34" s="378"/>
      <c r="F34" s="81"/>
      <c r="G34" s="82"/>
      <c r="H34" s="82"/>
      <c r="I34" s="93"/>
      <c r="J34" s="81"/>
      <c r="K34" s="82"/>
      <c r="L34" s="82"/>
      <c r="M34" s="93"/>
      <c r="N34" s="81"/>
      <c r="O34" s="82"/>
      <c r="P34" s="82"/>
      <c r="Q34" s="93"/>
      <c r="R34" s="81"/>
      <c r="S34" s="82"/>
      <c r="T34" s="82"/>
      <c r="U34" s="93"/>
      <c r="V34" s="81">
        <f t="shared" si="0"/>
        <v>0</v>
      </c>
      <c r="W34" s="82"/>
      <c r="X34" s="82"/>
      <c r="Y34" s="93"/>
      <c r="Z34" s="97" t="str">
        <f t="shared" si="3"/>
        <v>FAILED</v>
      </c>
      <c r="AA34" s="95"/>
      <c r="AB34" s="99"/>
    </row>
    <row r="35" ht="15.75" hidden="1" spans="1:28">
      <c r="A35" s="37">
        <v>24</v>
      </c>
      <c r="B35" s="375">
        <f>'INPUT DATA'!B35:D35</f>
        <v>0</v>
      </c>
      <c r="C35" s="377"/>
      <c r="D35" s="377"/>
      <c r="E35" s="378"/>
      <c r="F35" s="81"/>
      <c r="G35" s="82"/>
      <c r="H35" s="82"/>
      <c r="I35" s="93"/>
      <c r="J35" s="81"/>
      <c r="K35" s="82"/>
      <c r="L35" s="82"/>
      <c r="M35" s="93"/>
      <c r="N35" s="81"/>
      <c r="O35" s="82"/>
      <c r="P35" s="82"/>
      <c r="Q35" s="93"/>
      <c r="R35" s="81"/>
      <c r="S35" s="82"/>
      <c r="T35" s="82"/>
      <c r="U35" s="93"/>
      <c r="V35" s="81">
        <f t="shared" si="0"/>
        <v>0</v>
      </c>
      <c r="W35" s="82"/>
      <c r="X35" s="82"/>
      <c r="Y35" s="93"/>
      <c r="Z35" s="97" t="str">
        <f t="shared" si="3"/>
        <v>FAILED</v>
      </c>
      <c r="AA35" s="95"/>
      <c r="AB35" s="99"/>
    </row>
    <row r="36" ht="15.75" hidden="1" spans="1:28">
      <c r="A36" s="37">
        <v>25</v>
      </c>
      <c r="B36" s="375">
        <f>'INPUT DATA'!B36:D36</f>
        <v>0</v>
      </c>
      <c r="C36" s="377"/>
      <c r="D36" s="377"/>
      <c r="E36" s="378"/>
      <c r="F36" s="81"/>
      <c r="G36" s="82"/>
      <c r="H36" s="82"/>
      <c r="I36" s="93"/>
      <c r="J36" s="81"/>
      <c r="K36" s="82"/>
      <c r="L36" s="82"/>
      <c r="M36" s="93"/>
      <c r="N36" s="81"/>
      <c r="O36" s="82"/>
      <c r="P36" s="82"/>
      <c r="Q36" s="93"/>
      <c r="R36" s="81"/>
      <c r="S36" s="82"/>
      <c r="T36" s="82"/>
      <c r="U36" s="93"/>
      <c r="V36" s="81">
        <f t="shared" si="0"/>
        <v>0</v>
      </c>
      <c r="W36" s="82"/>
      <c r="X36" s="82"/>
      <c r="Y36" s="93"/>
      <c r="Z36" s="97" t="str">
        <f t="shared" si="3"/>
        <v>FAILED</v>
      </c>
      <c r="AA36" s="95"/>
      <c r="AB36" s="99"/>
    </row>
    <row r="37" ht="15.75" hidden="1" spans="1:28">
      <c r="A37" s="37">
        <v>26</v>
      </c>
      <c r="B37" s="375">
        <f>'INPUT DATA'!B37:D37</f>
        <v>0</v>
      </c>
      <c r="C37" s="377"/>
      <c r="D37" s="377"/>
      <c r="E37" s="378"/>
      <c r="F37" s="81"/>
      <c r="G37" s="82"/>
      <c r="H37" s="82"/>
      <c r="I37" s="93"/>
      <c r="J37" s="81"/>
      <c r="K37" s="82"/>
      <c r="L37" s="82"/>
      <c r="M37" s="93"/>
      <c r="N37" s="81"/>
      <c r="O37" s="82"/>
      <c r="P37" s="82"/>
      <c r="Q37" s="93"/>
      <c r="R37" s="81"/>
      <c r="S37" s="82"/>
      <c r="T37" s="82"/>
      <c r="U37" s="93"/>
      <c r="V37" s="81">
        <f t="shared" ref="V37" si="4">SUM(F37,J37,N37,R37)/4</f>
        <v>0</v>
      </c>
      <c r="W37" s="82"/>
      <c r="X37" s="82"/>
      <c r="Y37" s="93"/>
      <c r="Z37" s="97" t="str">
        <f t="shared" ref="Z37:Z50" si="5">IF(V37&gt;=75,"PASSED","FAILED")</f>
        <v>FAILED</v>
      </c>
      <c r="AA37" s="95"/>
      <c r="AB37" s="99"/>
    </row>
    <row r="38" ht="15.75" hidden="1" spans="1:28">
      <c r="A38" s="37">
        <v>27</v>
      </c>
      <c r="B38" s="375">
        <f>'INPUT DATA'!B38:D38</f>
        <v>0</v>
      </c>
      <c r="C38" s="377"/>
      <c r="D38" s="377"/>
      <c r="E38" s="378"/>
      <c r="F38" s="81"/>
      <c r="G38" s="82"/>
      <c r="H38" s="82"/>
      <c r="I38" s="93"/>
      <c r="J38" s="81"/>
      <c r="K38" s="82"/>
      <c r="L38" s="82"/>
      <c r="M38" s="93"/>
      <c r="N38" s="81"/>
      <c r="O38" s="82"/>
      <c r="P38" s="82"/>
      <c r="Q38" s="93"/>
      <c r="R38" s="81"/>
      <c r="S38" s="82"/>
      <c r="T38" s="82"/>
      <c r="U38" s="93"/>
      <c r="V38" s="81">
        <f t="shared" ref="V38" si="6">SUM(F38,J38,N38,R38)/4</f>
        <v>0</v>
      </c>
      <c r="W38" s="82"/>
      <c r="X38" s="82"/>
      <c r="Y38" s="93"/>
      <c r="Z38" s="97" t="str">
        <f t="shared" si="5"/>
        <v>FAILED</v>
      </c>
      <c r="AA38" s="95"/>
      <c r="AB38" s="99"/>
    </row>
    <row r="39" ht="15.75" hidden="1" spans="1:28">
      <c r="A39" s="37">
        <v>28</v>
      </c>
      <c r="B39" s="375">
        <f>'INPUT DATA'!B39:D39</f>
        <v>0</v>
      </c>
      <c r="C39" s="377"/>
      <c r="D39" s="377"/>
      <c r="E39" s="378"/>
      <c r="F39" s="379"/>
      <c r="G39" s="380"/>
      <c r="H39" s="380"/>
      <c r="I39" s="384"/>
      <c r="J39" s="81"/>
      <c r="K39" s="82"/>
      <c r="L39" s="82"/>
      <c r="M39" s="93"/>
      <c r="N39" s="81"/>
      <c r="O39" s="82"/>
      <c r="P39" s="82"/>
      <c r="Q39" s="93"/>
      <c r="R39" s="81"/>
      <c r="S39" s="82"/>
      <c r="T39" s="82"/>
      <c r="U39" s="93"/>
      <c r="V39" s="81">
        <f t="shared" ref="V39" si="7">SUM(F39,J39,N39,R39)/4</f>
        <v>0</v>
      </c>
      <c r="W39" s="82"/>
      <c r="X39" s="82"/>
      <c r="Y39" s="93"/>
      <c r="Z39" s="97" t="str">
        <f t="shared" si="5"/>
        <v>FAILED</v>
      </c>
      <c r="AA39" s="95"/>
      <c r="AB39" s="99"/>
    </row>
    <row r="40" ht="15.75" hidden="1" spans="1:28">
      <c r="A40" s="37">
        <v>29</v>
      </c>
      <c r="B40" s="375">
        <f>'INPUT DATA'!B40:D40</f>
        <v>0</v>
      </c>
      <c r="C40" s="377"/>
      <c r="D40" s="377"/>
      <c r="E40" s="378"/>
      <c r="F40" s="379"/>
      <c r="G40" s="380"/>
      <c r="H40" s="380"/>
      <c r="I40" s="384"/>
      <c r="J40" s="379"/>
      <c r="K40" s="380"/>
      <c r="L40" s="380"/>
      <c r="M40" s="384"/>
      <c r="N40" s="379"/>
      <c r="O40" s="380"/>
      <c r="P40" s="380"/>
      <c r="Q40" s="384"/>
      <c r="R40" s="379"/>
      <c r="S40" s="380"/>
      <c r="T40" s="380"/>
      <c r="U40" s="384"/>
      <c r="V40" s="81">
        <f t="shared" ref="V40" si="8">SUM(F40,J40,N40,R40)/4</f>
        <v>0</v>
      </c>
      <c r="W40" s="82"/>
      <c r="X40" s="82"/>
      <c r="Y40" s="93"/>
      <c r="Z40" s="97" t="str">
        <f t="shared" si="5"/>
        <v>FAILED</v>
      </c>
      <c r="AA40" s="95"/>
      <c r="AB40" s="99"/>
    </row>
    <row r="41" ht="15.75" hidden="1" spans="1:28">
      <c r="A41" s="37">
        <v>30</v>
      </c>
      <c r="B41" s="375">
        <f>'INPUT DATA'!B41:D41</f>
        <v>0</v>
      </c>
      <c r="C41" s="377"/>
      <c r="D41" s="377"/>
      <c r="E41" s="378"/>
      <c r="F41" s="379"/>
      <c r="G41" s="380"/>
      <c r="H41" s="380"/>
      <c r="I41" s="384"/>
      <c r="J41" s="81"/>
      <c r="K41" s="82"/>
      <c r="L41" s="82"/>
      <c r="M41" s="93"/>
      <c r="N41" s="81"/>
      <c r="O41" s="82"/>
      <c r="P41" s="82"/>
      <c r="Q41" s="93"/>
      <c r="R41" s="81"/>
      <c r="S41" s="82"/>
      <c r="T41" s="82"/>
      <c r="U41" s="93"/>
      <c r="V41" s="81">
        <f t="shared" ref="V41" si="9">SUM(F41,J41,N41,R41)/4</f>
        <v>0</v>
      </c>
      <c r="W41" s="82"/>
      <c r="X41" s="82"/>
      <c r="Y41" s="93"/>
      <c r="Z41" s="97" t="str">
        <f t="shared" si="5"/>
        <v>FAILED</v>
      </c>
      <c r="AA41" s="95"/>
      <c r="AB41" s="99"/>
    </row>
    <row r="42" ht="15.75" hidden="1" spans="1:28">
      <c r="A42" s="37">
        <v>31</v>
      </c>
      <c r="B42" s="375">
        <f>'INPUT DATA'!B42:D42</f>
        <v>0</v>
      </c>
      <c r="C42" s="377"/>
      <c r="D42" s="377"/>
      <c r="E42" s="378"/>
      <c r="F42" s="379"/>
      <c r="G42" s="380"/>
      <c r="H42" s="380"/>
      <c r="I42" s="384"/>
      <c r="J42" s="81"/>
      <c r="K42" s="82"/>
      <c r="L42" s="82"/>
      <c r="M42" s="93"/>
      <c r="N42" s="81"/>
      <c r="O42" s="82"/>
      <c r="P42" s="82"/>
      <c r="Q42" s="93"/>
      <c r="R42" s="81"/>
      <c r="S42" s="82"/>
      <c r="T42" s="82"/>
      <c r="U42" s="93"/>
      <c r="V42" s="81">
        <f t="shared" ref="V42" si="10">SUM(F42,J42,N42,R42)/4</f>
        <v>0</v>
      </c>
      <c r="W42" s="82"/>
      <c r="X42" s="82"/>
      <c r="Y42" s="93"/>
      <c r="Z42" s="97" t="str">
        <f t="shared" si="5"/>
        <v>FAILED</v>
      </c>
      <c r="AA42" s="95"/>
      <c r="AB42" s="99"/>
    </row>
    <row r="43" ht="15.75" hidden="1" spans="1:28">
      <c r="A43" s="37">
        <v>32</v>
      </c>
      <c r="B43" s="375">
        <f>'INPUT DATA'!B43:D43</f>
        <v>0</v>
      </c>
      <c r="C43" s="377"/>
      <c r="D43" s="377"/>
      <c r="E43" s="378"/>
      <c r="F43" s="379"/>
      <c r="G43" s="380"/>
      <c r="H43" s="380"/>
      <c r="I43" s="384"/>
      <c r="J43" s="81"/>
      <c r="K43" s="82"/>
      <c r="L43" s="82"/>
      <c r="M43" s="93"/>
      <c r="N43" s="81"/>
      <c r="O43" s="82"/>
      <c r="P43" s="82"/>
      <c r="Q43" s="93"/>
      <c r="R43" s="81"/>
      <c r="S43" s="82"/>
      <c r="T43" s="82"/>
      <c r="U43" s="93"/>
      <c r="V43" s="81">
        <f t="shared" ref="V43" si="11">SUM(F43,J43,N43,R43)/4</f>
        <v>0</v>
      </c>
      <c r="W43" s="82"/>
      <c r="X43" s="82"/>
      <c r="Y43" s="93"/>
      <c r="Z43" s="97" t="str">
        <f t="shared" si="5"/>
        <v>FAILED</v>
      </c>
      <c r="AA43" s="95"/>
      <c r="AB43" s="99"/>
    </row>
    <row r="44" ht="15.75" hidden="1" spans="1:28">
      <c r="A44" s="37">
        <v>33</v>
      </c>
      <c r="B44" s="375">
        <f>'INPUT DATA'!B44:D44</f>
        <v>0</v>
      </c>
      <c r="C44" s="377"/>
      <c r="D44" s="377"/>
      <c r="E44" s="378"/>
      <c r="F44" s="379"/>
      <c r="G44" s="380"/>
      <c r="H44" s="380"/>
      <c r="I44" s="384"/>
      <c r="J44" s="81"/>
      <c r="K44" s="82"/>
      <c r="L44" s="82"/>
      <c r="M44" s="93"/>
      <c r="N44" s="81"/>
      <c r="O44" s="82"/>
      <c r="P44" s="82"/>
      <c r="Q44" s="93"/>
      <c r="R44" s="81"/>
      <c r="S44" s="82"/>
      <c r="T44" s="82"/>
      <c r="U44" s="93"/>
      <c r="V44" s="81">
        <f t="shared" ref="V44" si="12">SUM(F44,J44,N44,R44)/4</f>
        <v>0</v>
      </c>
      <c r="W44" s="82"/>
      <c r="X44" s="82"/>
      <c r="Y44" s="93"/>
      <c r="Z44" s="97" t="str">
        <f t="shared" si="5"/>
        <v>FAILED</v>
      </c>
      <c r="AA44" s="95"/>
      <c r="AB44" s="99"/>
    </row>
    <row r="45" ht="15.75" hidden="1" spans="1:28">
      <c r="A45" s="37">
        <v>34</v>
      </c>
      <c r="B45" s="375">
        <f>'INPUT DATA'!B45:D45</f>
        <v>0</v>
      </c>
      <c r="C45" s="377"/>
      <c r="D45" s="377"/>
      <c r="E45" s="378"/>
      <c r="F45" s="379"/>
      <c r="G45" s="380"/>
      <c r="H45" s="380"/>
      <c r="I45" s="384"/>
      <c r="J45" s="81"/>
      <c r="K45" s="82"/>
      <c r="L45" s="82"/>
      <c r="M45" s="93"/>
      <c r="N45" s="81"/>
      <c r="O45" s="82"/>
      <c r="P45" s="82"/>
      <c r="Q45" s="93"/>
      <c r="R45" s="81"/>
      <c r="S45" s="82"/>
      <c r="T45" s="82"/>
      <c r="U45" s="93"/>
      <c r="V45" s="81"/>
      <c r="W45" s="82"/>
      <c r="X45" s="82"/>
      <c r="Y45" s="93"/>
      <c r="Z45" s="97" t="str">
        <f t="shared" si="5"/>
        <v>FAILED</v>
      </c>
      <c r="AA45" s="95"/>
      <c r="AB45" s="99"/>
    </row>
    <row r="46" ht="15.75" hidden="1" spans="1:28">
      <c r="A46" s="37">
        <v>35</v>
      </c>
      <c r="B46" s="375">
        <f>'INPUT DATA'!B46:D46</f>
        <v>0</v>
      </c>
      <c r="C46" s="377"/>
      <c r="D46" s="377"/>
      <c r="E46" s="378"/>
      <c r="F46" s="379"/>
      <c r="G46" s="380"/>
      <c r="H46" s="380"/>
      <c r="I46" s="384"/>
      <c r="J46" s="81"/>
      <c r="K46" s="82"/>
      <c r="L46" s="82"/>
      <c r="M46" s="93"/>
      <c r="N46" s="81"/>
      <c r="O46" s="82"/>
      <c r="P46" s="82"/>
      <c r="Q46" s="93"/>
      <c r="R46" s="81"/>
      <c r="S46" s="82"/>
      <c r="T46" s="82"/>
      <c r="U46" s="93"/>
      <c r="V46" s="81"/>
      <c r="W46" s="82"/>
      <c r="X46" s="82"/>
      <c r="Y46" s="93"/>
      <c r="Z46" s="97" t="str">
        <f t="shared" si="5"/>
        <v>FAILED</v>
      </c>
      <c r="AA46" s="95"/>
      <c r="AB46" s="99"/>
    </row>
    <row r="47" ht="15.75" hidden="1" spans="1:28">
      <c r="A47" s="37">
        <v>36</v>
      </c>
      <c r="B47" s="375">
        <f>'INPUT DATA'!B47:D47</f>
        <v>0</v>
      </c>
      <c r="C47" s="377"/>
      <c r="D47" s="377"/>
      <c r="E47" s="378"/>
      <c r="F47" s="379"/>
      <c r="G47" s="380"/>
      <c r="H47" s="380"/>
      <c r="I47" s="384"/>
      <c r="J47" s="81"/>
      <c r="K47" s="82"/>
      <c r="L47" s="82"/>
      <c r="M47" s="93"/>
      <c r="N47" s="81"/>
      <c r="O47" s="82"/>
      <c r="P47" s="82"/>
      <c r="Q47" s="93"/>
      <c r="R47" s="81"/>
      <c r="S47" s="82"/>
      <c r="T47" s="82"/>
      <c r="U47" s="93"/>
      <c r="V47" s="81"/>
      <c r="W47" s="82"/>
      <c r="X47" s="82"/>
      <c r="Y47" s="93"/>
      <c r="Z47" s="97" t="str">
        <f t="shared" si="5"/>
        <v>FAILED</v>
      </c>
      <c r="AA47" s="95"/>
      <c r="AB47" s="99"/>
    </row>
    <row r="48" ht="15.75" hidden="1" spans="1:28">
      <c r="A48" s="37">
        <v>37</v>
      </c>
      <c r="B48" s="375">
        <f>'INPUT DATA'!B48:D48</f>
        <v>0</v>
      </c>
      <c r="C48" s="377"/>
      <c r="D48" s="377"/>
      <c r="E48" s="378"/>
      <c r="F48" s="379"/>
      <c r="G48" s="380"/>
      <c r="H48" s="380"/>
      <c r="I48" s="384"/>
      <c r="J48" s="81"/>
      <c r="K48" s="82"/>
      <c r="L48" s="82"/>
      <c r="M48" s="93"/>
      <c r="N48" s="81"/>
      <c r="O48" s="82"/>
      <c r="P48" s="82"/>
      <c r="Q48" s="93"/>
      <c r="R48" s="81"/>
      <c r="S48" s="82"/>
      <c r="T48" s="82"/>
      <c r="U48" s="93"/>
      <c r="V48" s="81"/>
      <c r="W48" s="82"/>
      <c r="X48" s="82"/>
      <c r="Y48" s="93"/>
      <c r="Z48" s="97" t="str">
        <f t="shared" si="5"/>
        <v>FAILED</v>
      </c>
      <c r="AA48" s="95"/>
      <c r="AB48" s="99"/>
    </row>
    <row r="49" ht="15.75" hidden="1" spans="1:28">
      <c r="A49" s="37">
        <v>38</v>
      </c>
      <c r="B49" s="375">
        <f>'INPUT DATA'!B49:D49</f>
        <v>0</v>
      </c>
      <c r="C49" s="377"/>
      <c r="D49" s="377"/>
      <c r="E49" s="378"/>
      <c r="F49" s="379"/>
      <c r="G49" s="380"/>
      <c r="H49" s="380"/>
      <c r="I49" s="384"/>
      <c r="J49" s="81"/>
      <c r="K49" s="82"/>
      <c r="L49" s="82"/>
      <c r="M49" s="93"/>
      <c r="N49" s="81"/>
      <c r="O49" s="82"/>
      <c r="P49" s="82"/>
      <c r="Q49" s="93"/>
      <c r="R49" s="81"/>
      <c r="S49" s="82"/>
      <c r="T49" s="82"/>
      <c r="U49" s="93"/>
      <c r="V49" s="81"/>
      <c r="W49" s="82"/>
      <c r="X49" s="82"/>
      <c r="Y49" s="93"/>
      <c r="Z49" s="97" t="str">
        <f t="shared" si="5"/>
        <v>FAILED</v>
      </c>
      <c r="AA49" s="95"/>
      <c r="AB49" s="99"/>
    </row>
    <row r="50" ht="15.75" hidden="1" spans="1:28">
      <c r="A50" s="37">
        <v>39</v>
      </c>
      <c r="B50" s="375">
        <f>'INPUT DATA'!B50:D50</f>
        <v>0</v>
      </c>
      <c r="C50" s="377"/>
      <c r="D50" s="377"/>
      <c r="E50" s="378"/>
      <c r="F50" s="381"/>
      <c r="G50" s="382"/>
      <c r="H50" s="382"/>
      <c r="I50" s="385"/>
      <c r="J50" s="81"/>
      <c r="K50" s="82"/>
      <c r="L50" s="82"/>
      <c r="M50" s="93"/>
      <c r="N50" s="81"/>
      <c r="O50" s="82"/>
      <c r="P50" s="82"/>
      <c r="Q50" s="93"/>
      <c r="R50" s="81"/>
      <c r="S50" s="82"/>
      <c r="T50" s="82"/>
      <c r="U50" s="93"/>
      <c r="V50" s="81"/>
      <c r="W50" s="82"/>
      <c r="X50" s="82"/>
      <c r="Y50" s="93"/>
      <c r="Z50" s="97" t="str">
        <f t="shared" si="5"/>
        <v>FAILED</v>
      </c>
      <c r="AA50" s="95"/>
      <c r="AB50" s="99"/>
    </row>
    <row r="51" ht="15.75" spans="1:28">
      <c r="A51" s="27"/>
      <c r="B51" s="28" t="s">
        <v>39</v>
      </c>
      <c r="C51" s="29"/>
      <c r="D51" s="29"/>
      <c r="E51" s="50"/>
      <c r="F51" s="308"/>
      <c r="G51" s="309"/>
      <c r="H51" s="309"/>
      <c r="I51" s="315"/>
      <c r="J51" s="308"/>
      <c r="K51" s="309"/>
      <c r="L51" s="309"/>
      <c r="M51" s="315"/>
      <c r="N51" s="308"/>
      <c r="O51" s="309"/>
      <c r="P51" s="309"/>
      <c r="Q51" s="315"/>
      <c r="R51" s="363"/>
      <c r="S51" s="364"/>
      <c r="T51" s="364"/>
      <c r="U51" s="365"/>
      <c r="V51" s="366"/>
      <c r="W51" s="367"/>
      <c r="X51" s="367"/>
      <c r="Y51" s="369"/>
      <c r="Z51" s="370" t="s">
        <v>74</v>
      </c>
      <c r="AA51" s="371"/>
      <c r="AB51" s="372"/>
    </row>
    <row r="52" ht="15.75" spans="1:28">
      <c r="A52" s="32">
        <v>1</v>
      </c>
      <c r="B52" s="375" t="str">
        <f>'INPUT DATA'!B53:D53</f>
        <v>ANGCOY, PRINCESS NAILLE T.</v>
      </c>
      <c r="C52" s="376"/>
      <c r="D52" s="376"/>
      <c r="E52" s="383"/>
      <c r="F52" s="81">
        <v>77</v>
      </c>
      <c r="G52" s="82"/>
      <c r="H52" s="82"/>
      <c r="I52" s="93"/>
      <c r="J52" s="81">
        <v>80</v>
      </c>
      <c r="K52" s="82"/>
      <c r="L52" s="82"/>
      <c r="M52" s="93"/>
      <c r="N52" s="81">
        <v>80</v>
      </c>
      <c r="O52" s="82"/>
      <c r="P52" s="82"/>
      <c r="Q52" s="93"/>
      <c r="R52" s="81">
        <v>85</v>
      </c>
      <c r="S52" s="82"/>
      <c r="T52" s="82"/>
      <c r="U52" s="93"/>
      <c r="V52" s="81">
        <f>SUM(F52,J52,N52,R52)/4</f>
        <v>80.5</v>
      </c>
      <c r="W52" s="82"/>
      <c r="X52" s="82"/>
      <c r="Y52" s="93"/>
      <c r="Z52" s="94" t="str">
        <f>IF(V52&gt;=75,"PASSED","FAILED")</f>
        <v>PASSED</v>
      </c>
      <c r="AA52" s="95"/>
      <c r="AB52" s="96"/>
    </row>
    <row r="53" ht="15.75" spans="1:28">
      <c r="A53" s="37">
        <v>2</v>
      </c>
      <c r="B53" s="375" t="str">
        <f>'INPUT DATA'!B54:D54</f>
        <v>BIMOS, SHEILLA KATE O.</v>
      </c>
      <c r="C53" s="377"/>
      <c r="D53" s="377"/>
      <c r="E53" s="378"/>
      <c r="F53" s="81">
        <v>83</v>
      </c>
      <c r="G53" s="82"/>
      <c r="H53" s="82"/>
      <c r="I53" s="93"/>
      <c r="J53" s="81">
        <v>83</v>
      </c>
      <c r="K53" s="82"/>
      <c r="L53" s="82"/>
      <c r="M53" s="93"/>
      <c r="N53" s="81">
        <v>83</v>
      </c>
      <c r="O53" s="82"/>
      <c r="P53" s="82"/>
      <c r="Q53" s="93"/>
      <c r="R53" s="81">
        <v>90</v>
      </c>
      <c r="S53" s="82"/>
      <c r="T53" s="82"/>
      <c r="U53" s="93"/>
      <c r="V53" s="81">
        <f t="shared" ref="V53:V76" si="13">SUM(F53,J53,N53,R53)/4</f>
        <v>84.75</v>
      </c>
      <c r="W53" s="82"/>
      <c r="X53" s="82"/>
      <c r="Y53" s="93"/>
      <c r="Z53" s="97" t="str">
        <f t="shared" ref="Z53:Z68" si="14">IF(V53&gt;=75,"PASSED","FAILED")</f>
        <v>PASSED</v>
      </c>
      <c r="AA53" s="95"/>
      <c r="AB53" s="99"/>
    </row>
    <row r="54" ht="15.75" spans="1:28">
      <c r="A54" s="37">
        <v>3</v>
      </c>
      <c r="B54" s="375" t="str">
        <f>'INPUT DATA'!B55:D55</f>
        <v>BONGABONG, DWEYN ZHAIRA A.</v>
      </c>
      <c r="C54" s="377"/>
      <c r="D54" s="377"/>
      <c r="E54" s="378"/>
      <c r="F54" s="81">
        <v>87</v>
      </c>
      <c r="G54" s="82"/>
      <c r="H54" s="82"/>
      <c r="I54" s="93"/>
      <c r="J54" s="81">
        <v>87</v>
      </c>
      <c r="K54" s="82"/>
      <c r="L54" s="82"/>
      <c r="M54" s="93"/>
      <c r="N54" s="81">
        <v>87</v>
      </c>
      <c r="O54" s="82"/>
      <c r="P54" s="82"/>
      <c r="Q54" s="93"/>
      <c r="R54" s="81">
        <v>90</v>
      </c>
      <c r="S54" s="82"/>
      <c r="T54" s="82"/>
      <c r="U54" s="93"/>
      <c r="V54" s="81">
        <f t="shared" si="13"/>
        <v>87.75</v>
      </c>
      <c r="W54" s="82"/>
      <c r="X54" s="82"/>
      <c r="Y54" s="93"/>
      <c r="Z54" s="97" t="str">
        <f t="shared" si="14"/>
        <v>PASSED</v>
      </c>
      <c r="AA54" s="95"/>
      <c r="AB54" s="99"/>
    </row>
    <row r="55" ht="15.75" spans="1:28">
      <c r="A55" s="37">
        <v>4</v>
      </c>
      <c r="B55" s="375" t="str">
        <f>'INPUT DATA'!B56:D56</f>
        <v>CABEL, LOURENE A.</v>
      </c>
      <c r="C55" s="377"/>
      <c r="D55" s="377"/>
      <c r="E55" s="378"/>
      <c r="F55" s="81">
        <v>88</v>
      </c>
      <c r="G55" s="82"/>
      <c r="H55" s="82"/>
      <c r="I55" s="93"/>
      <c r="J55" s="81">
        <v>88</v>
      </c>
      <c r="K55" s="82"/>
      <c r="L55" s="82"/>
      <c r="M55" s="93"/>
      <c r="N55" s="81">
        <v>88</v>
      </c>
      <c r="O55" s="82"/>
      <c r="P55" s="82"/>
      <c r="Q55" s="93"/>
      <c r="R55" s="81">
        <v>92</v>
      </c>
      <c r="S55" s="82"/>
      <c r="T55" s="82"/>
      <c r="U55" s="93"/>
      <c r="V55" s="81">
        <f t="shared" si="13"/>
        <v>89</v>
      </c>
      <c r="W55" s="82"/>
      <c r="X55" s="82"/>
      <c r="Y55" s="93"/>
      <c r="Z55" s="97" t="str">
        <f t="shared" ref="Z55" si="15">IF(V55&gt;=75,"PASSED","FAILED")</f>
        <v>PASSED</v>
      </c>
      <c r="AA55" s="95"/>
      <c r="AB55" s="99"/>
    </row>
    <row r="56" ht="15.75" spans="1:28">
      <c r="A56" s="37">
        <v>5</v>
      </c>
      <c r="B56" s="375" t="str">
        <f>'INPUT DATA'!B57:D57</f>
        <v>CAMIGAO, DHENISE CLARE V.</v>
      </c>
      <c r="C56" s="377"/>
      <c r="D56" s="377"/>
      <c r="E56" s="378"/>
      <c r="F56" s="81">
        <v>84</v>
      </c>
      <c r="G56" s="82"/>
      <c r="H56" s="82"/>
      <c r="I56" s="93"/>
      <c r="J56" s="81">
        <v>83</v>
      </c>
      <c r="K56" s="82"/>
      <c r="L56" s="82"/>
      <c r="M56" s="93"/>
      <c r="N56" s="81">
        <v>83</v>
      </c>
      <c r="O56" s="82"/>
      <c r="P56" s="82"/>
      <c r="Q56" s="93"/>
      <c r="R56" s="81">
        <v>83</v>
      </c>
      <c r="S56" s="82"/>
      <c r="T56" s="82"/>
      <c r="U56" s="93"/>
      <c r="V56" s="81">
        <f t="shared" si="13"/>
        <v>83.25</v>
      </c>
      <c r="W56" s="82"/>
      <c r="X56" s="82"/>
      <c r="Y56" s="93"/>
      <c r="Z56" s="97" t="str">
        <f t="shared" si="14"/>
        <v>PASSED</v>
      </c>
      <c r="AA56" s="95"/>
      <c r="AB56" s="99"/>
    </row>
    <row r="57" ht="15.75" spans="1:28">
      <c r="A57" s="37">
        <v>6</v>
      </c>
      <c r="B57" s="375" t="str">
        <f>'INPUT DATA'!B58:D58</f>
        <v>CARISMA, NATHALIA MAE M.</v>
      </c>
      <c r="C57" s="377"/>
      <c r="D57" s="377"/>
      <c r="E57" s="378"/>
      <c r="F57" s="81">
        <v>85</v>
      </c>
      <c r="G57" s="82"/>
      <c r="H57" s="82"/>
      <c r="I57" s="93"/>
      <c r="J57" s="81">
        <v>84</v>
      </c>
      <c r="K57" s="82"/>
      <c r="L57" s="82"/>
      <c r="M57" s="93"/>
      <c r="N57" s="81">
        <v>84</v>
      </c>
      <c r="O57" s="82"/>
      <c r="P57" s="82"/>
      <c r="Q57" s="93"/>
      <c r="R57" s="81">
        <v>88</v>
      </c>
      <c r="S57" s="82"/>
      <c r="T57" s="82"/>
      <c r="U57" s="93"/>
      <c r="V57" s="81">
        <f t="shared" si="13"/>
        <v>85.25</v>
      </c>
      <c r="W57" s="82"/>
      <c r="X57" s="82"/>
      <c r="Y57" s="93"/>
      <c r="Z57" s="97" t="str">
        <f t="shared" si="14"/>
        <v>PASSED</v>
      </c>
      <c r="AA57" s="95"/>
      <c r="AB57" s="99"/>
    </row>
    <row r="58" ht="15.75" spans="1:28">
      <c r="A58" s="37">
        <v>7</v>
      </c>
      <c r="B58" s="375" t="str">
        <f>'INPUT DATA'!B59:D59</f>
        <v>CLARO, REANZ P.</v>
      </c>
      <c r="C58" s="377"/>
      <c r="D58" s="377"/>
      <c r="E58" s="378"/>
      <c r="F58" s="81">
        <v>79</v>
      </c>
      <c r="G58" s="82"/>
      <c r="H58" s="82"/>
      <c r="I58" s="93"/>
      <c r="J58" s="81">
        <v>83</v>
      </c>
      <c r="K58" s="82"/>
      <c r="L58" s="82"/>
      <c r="M58" s="93"/>
      <c r="N58" s="81">
        <v>80</v>
      </c>
      <c r="O58" s="82"/>
      <c r="P58" s="82"/>
      <c r="Q58" s="93"/>
      <c r="R58" s="81">
        <v>81</v>
      </c>
      <c r="S58" s="82"/>
      <c r="T58" s="82"/>
      <c r="U58" s="93"/>
      <c r="V58" s="81">
        <f t="shared" si="13"/>
        <v>80.75</v>
      </c>
      <c r="W58" s="82"/>
      <c r="X58" s="82"/>
      <c r="Y58" s="93"/>
      <c r="Z58" s="97" t="str">
        <f t="shared" si="14"/>
        <v>PASSED</v>
      </c>
      <c r="AA58" s="95"/>
      <c r="AB58" s="99"/>
    </row>
    <row r="59" ht="15.75" spans="1:28">
      <c r="A59" s="37">
        <v>8</v>
      </c>
      <c r="B59" s="375" t="str">
        <f>'INPUT DATA'!B60:D60</f>
        <v>FRANCISCO, YSABELLA BEATRICE B.</v>
      </c>
      <c r="C59" s="377"/>
      <c r="D59" s="377"/>
      <c r="E59" s="378"/>
      <c r="F59" s="81">
        <v>91</v>
      </c>
      <c r="G59" s="82"/>
      <c r="H59" s="82"/>
      <c r="I59" s="93"/>
      <c r="J59" s="81">
        <v>89</v>
      </c>
      <c r="K59" s="82"/>
      <c r="L59" s="82"/>
      <c r="M59" s="93"/>
      <c r="N59" s="81">
        <v>89</v>
      </c>
      <c r="O59" s="82"/>
      <c r="P59" s="82"/>
      <c r="Q59" s="93"/>
      <c r="R59" s="81">
        <v>92</v>
      </c>
      <c r="S59" s="82"/>
      <c r="T59" s="82"/>
      <c r="U59" s="93"/>
      <c r="V59" s="81">
        <f t="shared" si="13"/>
        <v>90.25</v>
      </c>
      <c r="W59" s="82"/>
      <c r="X59" s="82"/>
      <c r="Y59" s="93"/>
      <c r="Z59" s="97" t="str">
        <f t="shared" si="14"/>
        <v>PASSED</v>
      </c>
      <c r="AA59" s="95"/>
      <c r="AB59" s="99"/>
    </row>
    <row r="60" ht="15.75" spans="1:28">
      <c r="A60" s="37">
        <v>9</v>
      </c>
      <c r="B60" s="375" t="str">
        <f>'INPUT DATA'!B61:D61</f>
        <v>GALDO, ALYSSA RHIAN P.</v>
      </c>
      <c r="C60" s="377"/>
      <c r="D60" s="377"/>
      <c r="E60" s="378"/>
      <c r="F60" s="81"/>
      <c r="G60" s="82"/>
      <c r="H60" s="82"/>
      <c r="I60" s="93"/>
      <c r="J60" s="81"/>
      <c r="K60" s="82"/>
      <c r="L60" s="82"/>
      <c r="M60" s="93"/>
      <c r="N60" s="81"/>
      <c r="O60" s="82"/>
      <c r="P60" s="82"/>
      <c r="Q60" s="93"/>
      <c r="R60" s="81"/>
      <c r="S60" s="82"/>
      <c r="T60" s="82"/>
      <c r="U60" s="93"/>
      <c r="V60" s="81">
        <f t="shared" si="13"/>
        <v>0</v>
      </c>
      <c r="W60" s="82"/>
      <c r="X60" s="82"/>
      <c r="Y60" s="93"/>
      <c r="Z60" s="97" t="str">
        <f t="shared" si="14"/>
        <v>FAILED</v>
      </c>
      <c r="AA60" s="95"/>
      <c r="AB60" s="99"/>
    </row>
    <row r="61" ht="15.75" spans="1:28">
      <c r="A61" s="37">
        <v>10</v>
      </c>
      <c r="B61" s="375" t="str">
        <f>'INPUT DATA'!B62:D62</f>
        <v>HURAÑO, RIOMI M.</v>
      </c>
      <c r="C61" s="377"/>
      <c r="D61" s="377"/>
      <c r="E61" s="378"/>
      <c r="F61" s="81">
        <v>82</v>
      </c>
      <c r="G61" s="82"/>
      <c r="H61" s="82"/>
      <c r="I61" s="93"/>
      <c r="J61" s="81">
        <v>83</v>
      </c>
      <c r="K61" s="82"/>
      <c r="L61" s="82"/>
      <c r="M61" s="93"/>
      <c r="N61" s="81">
        <v>84</v>
      </c>
      <c r="O61" s="82"/>
      <c r="P61" s="82"/>
      <c r="Q61" s="93"/>
      <c r="R61" s="81">
        <v>88</v>
      </c>
      <c r="S61" s="82"/>
      <c r="T61" s="82"/>
      <c r="U61" s="93"/>
      <c r="V61" s="81">
        <f t="shared" si="13"/>
        <v>84.25</v>
      </c>
      <c r="W61" s="82"/>
      <c r="X61" s="82"/>
      <c r="Y61" s="93"/>
      <c r="Z61" s="97" t="str">
        <f t="shared" si="14"/>
        <v>PASSED</v>
      </c>
      <c r="AA61" s="95"/>
      <c r="AB61" s="99"/>
    </row>
    <row r="62" ht="15.75" spans="1:28">
      <c r="A62" s="37">
        <v>11</v>
      </c>
      <c r="B62" s="375" t="str">
        <f>'INPUT DATA'!B63:D63</f>
        <v>LAGUNA, WELLAIZA O.</v>
      </c>
      <c r="C62" s="377"/>
      <c r="D62" s="377"/>
      <c r="E62" s="378"/>
      <c r="F62" s="81"/>
      <c r="G62" s="82"/>
      <c r="H62" s="82"/>
      <c r="I62" s="93"/>
      <c r="J62" s="81"/>
      <c r="K62" s="82"/>
      <c r="L62" s="82"/>
      <c r="M62" s="93"/>
      <c r="N62" s="81"/>
      <c r="O62" s="82"/>
      <c r="P62" s="82"/>
      <c r="Q62" s="93"/>
      <c r="R62" s="81"/>
      <c r="S62" s="82"/>
      <c r="T62" s="82"/>
      <c r="U62" s="93"/>
      <c r="V62" s="81">
        <f t="shared" si="13"/>
        <v>0</v>
      </c>
      <c r="W62" s="82"/>
      <c r="X62" s="82"/>
      <c r="Y62" s="93"/>
      <c r="Z62" s="97" t="str">
        <f t="shared" si="14"/>
        <v>FAILED</v>
      </c>
      <c r="AA62" s="95"/>
      <c r="AB62" s="99"/>
    </row>
    <row r="63" ht="15.75" spans="1:28">
      <c r="A63" s="37">
        <v>12</v>
      </c>
      <c r="B63" s="375" t="str">
        <f>'INPUT DATA'!B64:D64</f>
        <v>LAZAGA, PRINCESS JEAN O.</v>
      </c>
      <c r="C63" s="377"/>
      <c r="D63" s="377"/>
      <c r="E63" s="378"/>
      <c r="F63" s="81">
        <v>80</v>
      </c>
      <c r="G63" s="82"/>
      <c r="H63" s="82"/>
      <c r="I63" s="93"/>
      <c r="J63" s="81">
        <v>84</v>
      </c>
      <c r="K63" s="82"/>
      <c r="L63" s="82"/>
      <c r="M63" s="93"/>
      <c r="N63" s="81">
        <v>83</v>
      </c>
      <c r="O63" s="82"/>
      <c r="P63" s="82"/>
      <c r="Q63" s="93"/>
      <c r="R63" s="81">
        <v>87</v>
      </c>
      <c r="S63" s="82"/>
      <c r="T63" s="82"/>
      <c r="U63" s="93"/>
      <c r="V63" s="81">
        <f t="shared" si="13"/>
        <v>83.5</v>
      </c>
      <c r="W63" s="82"/>
      <c r="X63" s="82"/>
      <c r="Y63" s="93"/>
      <c r="Z63" s="97" t="str">
        <f t="shared" si="14"/>
        <v>PASSED</v>
      </c>
      <c r="AA63" s="95"/>
      <c r="AB63" s="99"/>
    </row>
    <row r="64" ht="15.75" spans="1:28">
      <c r="A64" s="37">
        <v>13</v>
      </c>
      <c r="B64" s="375" t="str">
        <f>'INPUT DATA'!B65:D65</f>
        <v>LIBRES, MIKYLLA B.</v>
      </c>
      <c r="C64" s="377"/>
      <c r="D64" s="377"/>
      <c r="E64" s="378"/>
      <c r="F64" s="81">
        <v>72</v>
      </c>
      <c r="G64" s="82"/>
      <c r="H64" s="82"/>
      <c r="I64" s="93"/>
      <c r="J64" s="81">
        <v>75</v>
      </c>
      <c r="K64" s="82"/>
      <c r="L64" s="82"/>
      <c r="M64" s="93"/>
      <c r="N64" s="81">
        <v>75</v>
      </c>
      <c r="O64" s="82"/>
      <c r="P64" s="82"/>
      <c r="Q64" s="93"/>
      <c r="R64" s="81">
        <v>82</v>
      </c>
      <c r="S64" s="82"/>
      <c r="T64" s="82"/>
      <c r="U64" s="93"/>
      <c r="V64" s="81">
        <f t="shared" si="13"/>
        <v>76</v>
      </c>
      <c r="W64" s="82"/>
      <c r="X64" s="82"/>
      <c r="Y64" s="93"/>
      <c r="Z64" s="97" t="str">
        <f t="shared" si="14"/>
        <v>PASSED</v>
      </c>
      <c r="AA64" s="95"/>
      <c r="AB64" s="99"/>
    </row>
    <row r="65" ht="15.75" spans="1:28">
      <c r="A65" s="37">
        <v>14</v>
      </c>
      <c r="B65" s="375" t="str">
        <f>'INPUT DATA'!B66:D66</f>
        <v>LIM, LENNIE GRACE S.</v>
      </c>
      <c r="C65" s="377"/>
      <c r="D65" s="377"/>
      <c r="E65" s="378"/>
      <c r="F65" s="81">
        <v>79</v>
      </c>
      <c r="G65" s="82"/>
      <c r="H65" s="82"/>
      <c r="I65" s="93"/>
      <c r="J65" s="81">
        <v>85</v>
      </c>
      <c r="K65" s="82"/>
      <c r="L65" s="82"/>
      <c r="M65" s="93"/>
      <c r="N65" s="81">
        <v>80</v>
      </c>
      <c r="O65" s="82"/>
      <c r="P65" s="82"/>
      <c r="Q65" s="93"/>
      <c r="R65" s="81">
        <v>85</v>
      </c>
      <c r="S65" s="82"/>
      <c r="T65" s="82"/>
      <c r="U65" s="93"/>
      <c r="V65" s="81">
        <f t="shared" si="13"/>
        <v>82.25</v>
      </c>
      <c r="W65" s="82"/>
      <c r="X65" s="82"/>
      <c r="Y65" s="93"/>
      <c r="Z65" s="97" t="str">
        <f t="shared" si="14"/>
        <v>PASSED</v>
      </c>
      <c r="AA65" s="95"/>
      <c r="AB65" s="99"/>
    </row>
    <row r="66" ht="15.75" spans="1:28">
      <c r="A66" s="37">
        <v>15</v>
      </c>
      <c r="B66" s="375" t="str">
        <f>'INPUT DATA'!B67:D67</f>
        <v>MASAYON, RHEA JANE L.</v>
      </c>
      <c r="C66" s="377"/>
      <c r="D66" s="377"/>
      <c r="E66" s="378"/>
      <c r="F66" s="81">
        <v>83</v>
      </c>
      <c r="G66" s="82"/>
      <c r="H66" s="82"/>
      <c r="I66" s="93"/>
      <c r="J66" s="81">
        <v>79</v>
      </c>
      <c r="K66" s="82"/>
      <c r="L66" s="82"/>
      <c r="M66" s="93"/>
      <c r="N66" s="81">
        <v>77</v>
      </c>
      <c r="O66" s="82"/>
      <c r="P66" s="82"/>
      <c r="Q66" s="93"/>
      <c r="R66" s="81">
        <v>75</v>
      </c>
      <c r="S66" s="82"/>
      <c r="T66" s="82"/>
      <c r="U66" s="93"/>
      <c r="V66" s="81">
        <f t="shared" si="13"/>
        <v>78.5</v>
      </c>
      <c r="W66" s="82"/>
      <c r="X66" s="82"/>
      <c r="Y66" s="93"/>
      <c r="Z66" s="97" t="str">
        <f t="shared" si="14"/>
        <v>PASSED</v>
      </c>
      <c r="AA66" s="95"/>
      <c r="AB66" s="99"/>
    </row>
    <row r="67" ht="15.75" spans="1:28">
      <c r="A67" s="37">
        <v>16</v>
      </c>
      <c r="B67" s="375" t="str">
        <f>'INPUT DATA'!B68:D68</f>
        <v>MORANCIL, JENEVI A.</v>
      </c>
      <c r="C67" s="377"/>
      <c r="D67" s="377"/>
      <c r="E67" s="378"/>
      <c r="F67" s="81">
        <v>77</v>
      </c>
      <c r="G67" s="82"/>
      <c r="H67" s="82"/>
      <c r="I67" s="93"/>
      <c r="J67" s="81">
        <v>85</v>
      </c>
      <c r="K67" s="82"/>
      <c r="L67" s="82"/>
      <c r="M67" s="93"/>
      <c r="N67" s="81">
        <v>81</v>
      </c>
      <c r="O67" s="82"/>
      <c r="P67" s="82"/>
      <c r="Q67" s="93"/>
      <c r="R67" s="81">
        <v>84</v>
      </c>
      <c r="S67" s="82"/>
      <c r="T67" s="82"/>
      <c r="U67" s="93"/>
      <c r="V67" s="81">
        <f t="shared" si="13"/>
        <v>81.75</v>
      </c>
      <c r="W67" s="82"/>
      <c r="X67" s="82"/>
      <c r="Y67" s="93"/>
      <c r="Z67" s="97" t="str">
        <f t="shared" si="14"/>
        <v>PASSED</v>
      </c>
      <c r="AA67" s="95"/>
      <c r="AB67" s="99"/>
    </row>
    <row r="68" ht="15.75" spans="1:28">
      <c r="A68" s="37">
        <v>17</v>
      </c>
      <c r="B68" s="375" t="str">
        <f>'INPUT DATA'!B69:D69</f>
        <v>PATRICIO, MICHA ELLA P.</v>
      </c>
      <c r="C68" s="377"/>
      <c r="D68" s="377"/>
      <c r="E68" s="378"/>
      <c r="F68" s="81">
        <v>71</v>
      </c>
      <c r="G68" s="82"/>
      <c r="H68" s="82"/>
      <c r="I68" s="93"/>
      <c r="J68" s="81">
        <v>75</v>
      </c>
      <c r="K68" s="82"/>
      <c r="L68" s="82"/>
      <c r="M68" s="93"/>
      <c r="N68" s="81">
        <v>76</v>
      </c>
      <c r="O68" s="82"/>
      <c r="P68" s="82"/>
      <c r="Q68" s="93"/>
      <c r="R68" s="81">
        <v>79</v>
      </c>
      <c r="S68" s="82"/>
      <c r="T68" s="82"/>
      <c r="U68" s="93"/>
      <c r="V68" s="81">
        <f t="shared" si="13"/>
        <v>75.25</v>
      </c>
      <c r="W68" s="82"/>
      <c r="X68" s="82"/>
      <c r="Y68" s="93"/>
      <c r="Z68" s="97" t="str">
        <f t="shared" si="14"/>
        <v>PASSED</v>
      </c>
      <c r="AA68" s="95"/>
      <c r="AB68" s="99"/>
    </row>
    <row r="69" ht="15.75" spans="1:28">
      <c r="A69" s="37">
        <v>18</v>
      </c>
      <c r="B69" s="375" t="str">
        <f>'INPUT DATA'!B70:D70</f>
        <v>PELINGON , ASHLEY C.</v>
      </c>
      <c r="C69" s="377"/>
      <c r="D69" s="377"/>
      <c r="E69" s="378"/>
      <c r="F69" s="81">
        <v>82</v>
      </c>
      <c r="G69" s="82"/>
      <c r="H69" s="82"/>
      <c r="I69" s="93"/>
      <c r="J69" s="81">
        <v>83</v>
      </c>
      <c r="K69" s="82"/>
      <c r="L69" s="82"/>
      <c r="M69" s="93"/>
      <c r="N69" s="81">
        <v>82</v>
      </c>
      <c r="O69" s="82"/>
      <c r="P69" s="82"/>
      <c r="Q69" s="93"/>
      <c r="R69" s="81">
        <v>85</v>
      </c>
      <c r="S69" s="82"/>
      <c r="T69" s="82"/>
      <c r="U69" s="93"/>
      <c r="V69" s="81">
        <f t="shared" si="13"/>
        <v>83</v>
      </c>
      <c r="W69" s="82"/>
      <c r="X69" s="82"/>
      <c r="Y69" s="93"/>
      <c r="Z69" s="97" t="str">
        <f t="shared" ref="Z69:Z81" si="16">IF(V69&gt;=75,"PASSED","FAILED")</f>
        <v>PASSED</v>
      </c>
      <c r="AA69" s="95"/>
      <c r="AB69" s="99"/>
    </row>
    <row r="70" ht="15.75" spans="1:28">
      <c r="A70" s="37">
        <v>19</v>
      </c>
      <c r="B70" s="375" t="str">
        <f>'INPUT DATA'!B71:D71</f>
        <v>PEREZ, MERCY JEAN T.</v>
      </c>
      <c r="C70" s="377"/>
      <c r="D70" s="377"/>
      <c r="E70" s="378"/>
      <c r="F70" s="81">
        <v>71</v>
      </c>
      <c r="G70" s="82"/>
      <c r="H70" s="82"/>
      <c r="I70" s="93"/>
      <c r="J70" s="81">
        <v>75</v>
      </c>
      <c r="K70" s="82"/>
      <c r="L70" s="82"/>
      <c r="M70" s="93"/>
      <c r="N70" s="81">
        <v>75</v>
      </c>
      <c r="O70" s="82"/>
      <c r="P70" s="82"/>
      <c r="Q70" s="93"/>
      <c r="R70" s="81">
        <v>81</v>
      </c>
      <c r="S70" s="82"/>
      <c r="T70" s="82"/>
      <c r="U70" s="93"/>
      <c r="V70" s="81">
        <f t="shared" si="13"/>
        <v>75.5</v>
      </c>
      <c r="W70" s="82"/>
      <c r="X70" s="82"/>
      <c r="Y70" s="93"/>
      <c r="Z70" s="97" t="str">
        <f t="shared" si="16"/>
        <v>PASSED</v>
      </c>
      <c r="AA70" s="95"/>
      <c r="AB70" s="99"/>
    </row>
    <row r="71" ht="15.75" spans="1:28">
      <c r="A71" s="37">
        <v>20</v>
      </c>
      <c r="B71" s="375" t="str">
        <f>'INPUT DATA'!B72:D72</f>
        <v>PINGOT, RHEA L.</v>
      </c>
      <c r="C71" s="377"/>
      <c r="D71" s="377"/>
      <c r="E71" s="378"/>
      <c r="F71" s="81">
        <v>71</v>
      </c>
      <c r="G71" s="82"/>
      <c r="H71" s="82"/>
      <c r="I71" s="93"/>
      <c r="J71" s="81">
        <v>70</v>
      </c>
      <c r="K71" s="82"/>
      <c r="L71" s="82"/>
      <c r="M71" s="93"/>
      <c r="N71" s="81">
        <v>70</v>
      </c>
      <c r="O71" s="82"/>
      <c r="P71" s="82"/>
      <c r="Q71" s="93"/>
      <c r="R71" s="81">
        <v>65</v>
      </c>
      <c r="S71" s="82"/>
      <c r="T71" s="82"/>
      <c r="U71" s="93"/>
      <c r="V71" s="81">
        <f t="shared" si="13"/>
        <v>69</v>
      </c>
      <c r="W71" s="82"/>
      <c r="X71" s="82"/>
      <c r="Y71" s="93"/>
      <c r="Z71" s="97" t="str">
        <f t="shared" si="16"/>
        <v>FAILED</v>
      </c>
      <c r="AA71" s="95"/>
      <c r="AB71" s="99"/>
    </row>
    <row r="72" ht="15.75" spans="1:28">
      <c r="A72" s="37">
        <v>21</v>
      </c>
      <c r="B72" s="375" t="str">
        <f>'INPUT DATA'!B73:D73</f>
        <v>QUILAT, FERRA MAE</v>
      </c>
      <c r="C72" s="377"/>
      <c r="D72" s="377"/>
      <c r="E72" s="378"/>
      <c r="F72" s="386">
        <v>71</v>
      </c>
      <c r="G72" s="387"/>
      <c r="H72" s="387"/>
      <c r="I72" s="388"/>
      <c r="J72" s="81">
        <v>75</v>
      </c>
      <c r="K72" s="82"/>
      <c r="L72" s="82"/>
      <c r="M72" s="93"/>
      <c r="N72" s="81">
        <v>73</v>
      </c>
      <c r="O72" s="82"/>
      <c r="P72" s="82"/>
      <c r="Q72" s="93"/>
      <c r="R72" s="81">
        <v>79</v>
      </c>
      <c r="S72" s="82"/>
      <c r="T72" s="82"/>
      <c r="U72" s="93"/>
      <c r="V72" s="81">
        <f t="shared" si="13"/>
        <v>74.5</v>
      </c>
      <c r="W72" s="82"/>
      <c r="X72" s="82"/>
      <c r="Y72" s="93"/>
      <c r="Z72" s="97" t="str">
        <f t="shared" si="16"/>
        <v>FAILED</v>
      </c>
      <c r="AA72" s="95"/>
      <c r="AB72" s="99"/>
    </row>
    <row r="73" ht="15.75" spans="1:28">
      <c r="A73" s="37">
        <v>22</v>
      </c>
      <c r="B73" s="375" t="str">
        <f>'INPUT DATA'!B74:D74</f>
        <v>ROSALES, RYZA MAE C.</v>
      </c>
      <c r="C73" s="38"/>
      <c r="D73" s="38"/>
      <c r="E73" s="41"/>
      <c r="F73" s="386">
        <v>80</v>
      </c>
      <c r="G73" s="387"/>
      <c r="H73" s="387"/>
      <c r="I73" s="388"/>
      <c r="J73" s="81">
        <v>86</v>
      </c>
      <c r="K73" s="82"/>
      <c r="L73" s="82"/>
      <c r="M73" s="93"/>
      <c r="N73" s="81">
        <v>84</v>
      </c>
      <c r="O73" s="82"/>
      <c r="P73" s="82"/>
      <c r="Q73" s="93"/>
      <c r="R73" s="81">
        <v>88</v>
      </c>
      <c r="S73" s="82"/>
      <c r="T73" s="82"/>
      <c r="U73" s="93"/>
      <c r="V73" s="81">
        <f t="shared" si="13"/>
        <v>84.5</v>
      </c>
      <c r="W73" s="82"/>
      <c r="X73" s="82"/>
      <c r="Y73" s="93"/>
      <c r="Z73" s="97" t="str">
        <f t="shared" si="16"/>
        <v>PASSED</v>
      </c>
      <c r="AA73" s="95"/>
      <c r="AB73" s="99"/>
    </row>
    <row r="74" ht="15.75" spans="1:28">
      <c r="A74" s="37">
        <v>23</v>
      </c>
      <c r="B74" s="300">
        <f>SCIENCE!B74</f>
        <v>0</v>
      </c>
      <c r="C74" s="38"/>
      <c r="D74" s="38"/>
      <c r="E74" s="41"/>
      <c r="F74" s="81"/>
      <c r="G74" s="82"/>
      <c r="H74" s="82"/>
      <c r="I74" s="93"/>
      <c r="J74" s="81"/>
      <c r="K74" s="82"/>
      <c r="L74" s="82"/>
      <c r="M74" s="93"/>
      <c r="N74" s="81"/>
      <c r="O74" s="82"/>
      <c r="P74" s="82"/>
      <c r="Q74" s="93"/>
      <c r="R74" s="81"/>
      <c r="S74" s="82"/>
      <c r="T74" s="82"/>
      <c r="U74" s="93"/>
      <c r="V74" s="81">
        <f t="shared" si="13"/>
        <v>0</v>
      </c>
      <c r="W74" s="82"/>
      <c r="X74" s="82"/>
      <c r="Y74" s="93"/>
      <c r="Z74" s="97" t="str">
        <f t="shared" si="16"/>
        <v>FAILED</v>
      </c>
      <c r="AA74" s="95"/>
      <c r="AB74" s="99"/>
    </row>
    <row r="75" ht="15.75" spans="1:28">
      <c r="A75" s="37">
        <v>24</v>
      </c>
      <c r="B75" s="300">
        <f>SCIENCE!B75</f>
        <v>0</v>
      </c>
      <c r="C75" s="38"/>
      <c r="D75" s="38"/>
      <c r="E75" s="41"/>
      <c r="F75" s="81"/>
      <c r="G75" s="82"/>
      <c r="H75" s="82"/>
      <c r="I75" s="93"/>
      <c r="J75" s="81"/>
      <c r="K75" s="82"/>
      <c r="L75" s="82"/>
      <c r="M75" s="93"/>
      <c r="N75" s="81"/>
      <c r="O75" s="82"/>
      <c r="P75" s="82"/>
      <c r="Q75" s="93"/>
      <c r="R75" s="81"/>
      <c r="S75" s="82"/>
      <c r="T75" s="82"/>
      <c r="U75" s="93"/>
      <c r="V75" s="81">
        <f t="shared" si="13"/>
        <v>0</v>
      </c>
      <c r="W75" s="82"/>
      <c r="X75" s="82"/>
      <c r="Y75" s="93"/>
      <c r="Z75" s="97" t="str">
        <f t="shared" si="16"/>
        <v>FAILED</v>
      </c>
      <c r="AA75" s="95"/>
      <c r="AB75" s="99"/>
    </row>
    <row r="76" ht="15" spans="1:28">
      <c r="A76" s="37">
        <v>25</v>
      </c>
      <c r="B76" s="300">
        <f>SCIENCE!B76</f>
        <v>0</v>
      </c>
      <c r="C76" s="38"/>
      <c r="D76" s="38"/>
      <c r="E76" s="41"/>
      <c r="F76" s="81"/>
      <c r="G76" s="82"/>
      <c r="H76" s="82"/>
      <c r="I76" s="93"/>
      <c r="J76" s="81"/>
      <c r="K76" s="82"/>
      <c r="L76" s="82"/>
      <c r="M76" s="93"/>
      <c r="N76" s="81"/>
      <c r="O76" s="82"/>
      <c r="P76" s="82"/>
      <c r="Q76" s="93"/>
      <c r="R76" s="81"/>
      <c r="S76" s="82"/>
      <c r="T76" s="82"/>
      <c r="U76" s="93"/>
      <c r="V76" s="81">
        <f t="shared" si="13"/>
        <v>0</v>
      </c>
      <c r="W76" s="82"/>
      <c r="X76" s="82"/>
      <c r="Y76" s="93"/>
      <c r="Z76" s="97" t="str">
        <f t="shared" si="16"/>
        <v>FAILED</v>
      </c>
      <c r="AA76" s="95"/>
      <c r="AB76" s="99"/>
    </row>
    <row r="77" ht="15.75" hidden="1" spans="1:28">
      <c r="A77" s="42">
        <v>26</v>
      </c>
      <c r="B77" s="300">
        <f>SCIENCE!B77</f>
        <v>0</v>
      </c>
      <c r="C77" s="107"/>
      <c r="D77" s="107"/>
      <c r="E77" s="108"/>
      <c r="F77" s="81"/>
      <c r="G77" s="82"/>
      <c r="H77" s="82"/>
      <c r="I77" s="93"/>
      <c r="J77" s="81"/>
      <c r="K77" s="82"/>
      <c r="L77" s="82"/>
      <c r="M77" s="93"/>
      <c r="N77" s="81"/>
      <c r="O77" s="82"/>
      <c r="P77" s="82"/>
      <c r="Q77" s="93"/>
      <c r="R77" s="81"/>
      <c r="S77" s="82"/>
      <c r="T77" s="82"/>
      <c r="U77" s="93"/>
      <c r="V77" s="81">
        <f t="shared" ref="V77:V86" si="17">SUM(F77,J77,N77,R77)/4</f>
        <v>0</v>
      </c>
      <c r="W77" s="82"/>
      <c r="X77" s="82"/>
      <c r="Y77" s="93"/>
      <c r="Z77" s="97" t="str">
        <f t="shared" si="16"/>
        <v>FAILED</v>
      </c>
      <c r="AA77" s="95"/>
      <c r="AB77" s="99"/>
    </row>
    <row r="78" ht="15.75" hidden="1" spans="1:28">
      <c r="A78" s="42">
        <v>27</v>
      </c>
      <c r="B78" s="300">
        <f>SCIENCE!B78</f>
        <v>0</v>
      </c>
      <c r="C78" s="109"/>
      <c r="D78" s="109"/>
      <c r="E78" s="110"/>
      <c r="F78" s="81"/>
      <c r="G78" s="82"/>
      <c r="H78" s="82"/>
      <c r="I78" s="93"/>
      <c r="J78" s="81"/>
      <c r="K78" s="82"/>
      <c r="L78" s="82"/>
      <c r="M78" s="93"/>
      <c r="N78" s="81"/>
      <c r="O78" s="82"/>
      <c r="P78" s="82"/>
      <c r="Q78" s="93"/>
      <c r="R78" s="81"/>
      <c r="S78" s="82"/>
      <c r="T78" s="82"/>
      <c r="U78" s="93"/>
      <c r="V78" s="81">
        <f t="shared" si="17"/>
        <v>0</v>
      </c>
      <c r="W78" s="82"/>
      <c r="X78" s="82"/>
      <c r="Y78" s="93"/>
      <c r="Z78" s="97" t="str">
        <f t="shared" si="16"/>
        <v>FAILED</v>
      </c>
      <c r="AA78" s="95"/>
      <c r="AB78" s="99"/>
    </row>
    <row r="79" ht="15.75" hidden="1" spans="1:28">
      <c r="A79" s="42">
        <v>28</v>
      </c>
      <c r="B79" s="300">
        <f>SCIENCE!B79</f>
        <v>0</v>
      </c>
      <c r="C79" s="109"/>
      <c r="D79" s="109"/>
      <c r="E79" s="110"/>
      <c r="F79" s="81"/>
      <c r="G79" s="82"/>
      <c r="H79" s="82"/>
      <c r="I79" s="93"/>
      <c r="J79" s="81"/>
      <c r="K79" s="82"/>
      <c r="L79" s="82"/>
      <c r="M79" s="93"/>
      <c r="N79" s="81"/>
      <c r="O79" s="82"/>
      <c r="P79" s="82"/>
      <c r="Q79" s="93"/>
      <c r="R79" s="81"/>
      <c r="S79" s="82"/>
      <c r="T79" s="82"/>
      <c r="U79" s="93"/>
      <c r="V79" s="81">
        <f t="shared" si="17"/>
        <v>0</v>
      </c>
      <c r="W79" s="82"/>
      <c r="X79" s="82"/>
      <c r="Y79" s="93"/>
      <c r="Z79" s="97" t="str">
        <f t="shared" si="16"/>
        <v>FAILED</v>
      </c>
      <c r="AA79" s="95"/>
      <c r="AB79" s="99"/>
    </row>
    <row r="80" ht="15.75" hidden="1" spans="1:28">
      <c r="A80" s="42">
        <v>29</v>
      </c>
      <c r="B80" s="300">
        <f>SCIENCE!B80</f>
        <v>0</v>
      </c>
      <c r="C80" s="109"/>
      <c r="D80" s="109"/>
      <c r="E80" s="110"/>
      <c r="F80" s="81"/>
      <c r="G80" s="82"/>
      <c r="H80" s="82"/>
      <c r="I80" s="93"/>
      <c r="J80" s="81"/>
      <c r="K80" s="82"/>
      <c r="L80" s="82"/>
      <c r="M80" s="93"/>
      <c r="N80" s="81"/>
      <c r="O80" s="82"/>
      <c r="P80" s="82"/>
      <c r="Q80" s="93"/>
      <c r="R80" s="81"/>
      <c r="S80" s="82"/>
      <c r="T80" s="82"/>
      <c r="U80" s="93"/>
      <c r="V80" s="81">
        <f t="shared" si="17"/>
        <v>0</v>
      </c>
      <c r="W80" s="82"/>
      <c r="X80" s="82"/>
      <c r="Y80" s="93"/>
      <c r="Z80" s="97" t="str">
        <f t="shared" si="16"/>
        <v>FAILED</v>
      </c>
      <c r="AA80" s="95"/>
      <c r="AB80" s="99"/>
    </row>
    <row r="81" ht="15" hidden="1" spans="1:28">
      <c r="A81" s="42">
        <v>30</v>
      </c>
      <c r="B81" s="300">
        <f>SCIENCE!B81</f>
        <v>0</v>
      </c>
      <c r="C81" s="109"/>
      <c r="D81" s="109"/>
      <c r="E81" s="110"/>
      <c r="F81" s="81"/>
      <c r="G81" s="82"/>
      <c r="H81" s="82"/>
      <c r="I81" s="93"/>
      <c r="J81" s="81"/>
      <c r="K81" s="82"/>
      <c r="L81" s="82"/>
      <c r="M81" s="93"/>
      <c r="N81" s="81"/>
      <c r="O81" s="82"/>
      <c r="P81" s="82"/>
      <c r="Q81" s="93"/>
      <c r="R81" s="81"/>
      <c r="S81" s="82"/>
      <c r="T81" s="82"/>
      <c r="U81" s="93"/>
      <c r="V81" s="81">
        <f t="shared" si="17"/>
        <v>0</v>
      </c>
      <c r="W81" s="82"/>
      <c r="X81" s="82"/>
      <c r="Y81" s="93"/>
      <c r="Z81" s="97" t="str">
        <f t="shared" si="16"/>
        <v>FAILED</v>
      </c>
      <c r="AA81" s="95"/>
      <c r="AB81" s="99"/>
    </row>
    <row r="82" ht="15" hidden="1" spans="1:28">
      <c r="A82" s="42">
        <v>31</v>
      </c>
      <c r="B82" s="300">
        <f>SCIENCE!B82</f>
        <v>0</v>
      </c>
      <c r="C82" s="109"/>
      <c r="D82" s="109"/>
      <c r="E82" s="110"/>
      <c r="F82" s="81"/>
      <c r="G82" s="82"/>
      <c r="H82" s="82"/>
      <c r="I82" s="93"/>
      <c r="J82" s="81"/>
      <c r="K82" s="82"/>
      <c r="L82" s="82"/>
      <c r="M82" s="93"/>
      <c r="N82" s="81"/>
      <c r="O82" s="82"/>
      <c r="P82" s="82"/>
      <c r="Q82" s="93"/>
      <c r="R82" s="81"/>
      <c r="S82" s="82"/>
      <c r="T82" s="82"/>
      <c r="U82" s="93"/>
      <c r="V82" s="81">
        <f t="shared" si="17"/>
        <v>0</v>
      </c>
      <c r="W82" s="82"/>
      <c r="X82" s="82"/>
      <c r="Y82" s="93"/>
      <c r="Z82" s="97"/>
      <c r="AA82" s="98"/>
      <c r="AB82" s="99"/>
    </row>
    <row r="83" ht="15" hidden="1" spans="1:28">
      <c r="A83" s="42">
        <v>32</v>
      </c>
      <c r="B83" s="300">
        <f>SCIENCE!B83</f>
        <v>0</v>
      </c>
      <c r="C83" s="109"/>
      <c r="D83" s="109"/>
      <c r="E83" s="110"/>
      <c r="F83" s="81"/>
      <c r="G83" s="82"/>
      <c r="H83" s="82"/>
      <c r="I83" s="93"/>
      <c r="J83" s="81"/>
      <c r="K83" s="82"/>
      <c r="L83" s="82"/>
      <c r="M83" s="93"/>
      <c r="N83" s="81"/>
      <c r="O83" s="82"/>
      <c r="P83" s="82"/>
      <c r="Q83" s="93"/>
      <c r="R83" s="81"/>
      <c r="S83" s="82"/>
      <c r="T83" s="82"/>
      <c r="U83" s="93"/>
      <c r="V83" s="81">
        <f t="shared" si="17"/>
        <v>0</v>
      </c>
      <c r="W83" s="82"/>
      <c r="X83" s="82"/>
      <c r="Y83" s="93"/>
      <c r="Z83" s="97"/>
      <c r="AA83" s="98"/>
      <c r="AB83" s="99"/>
    </row>
    <row r="84" ht="15" hidden="1" spans="1:28">
      <c r="A84" s="42">
        <v>33</v>
      </c>
      <c r="B84" s="300">
        <f>SCIENCE!B84</f>
        <v>0</v>
      </c>
      <c r="C84" s="109"/>
      <c r="D84" s="109"/>
      <c r="E84" s="110"/>
      <c r="F84" s="81"/>
      <c r="G84" s="82"/>
      <c r="H84" s="82"/>
      <c r="I84" s="93"/>
      <c r="J84" s="81"/>
      <c r="K84" s="82"/>
      <c r="L84" s="82"/>
      <c r="M84" s="93"/>
      <c r="N84" s="81"/>
      <c r="O84" s="82"/>
      <c r="P84" s="82"/>
      <c r="Q84" s="93"/>
      <c r="R84" s="81"/>
      <c r="S84" s="82"/>
      <c r="T84" s="82"/>
      <c r="U84" s="93"/>
      <c r="V84" s="81">
        <f t="shared" si="17"/>
        <v>0</v>
      </c>
      <c r="W84" s="82"/>
      <c r="X84" s="82"/>
      <c r="Y84" s="93"/>
      <c r="Z84" s="97"/>
      <c r="AA84" s="98"/>
      <c r="AB84" s="99"/>
    </row>
    <row r="85" ht="15" hidden="1" spans="1:28">
      <c r="A85" s="42">
        <v>34</v>
      </c>
      <c r="B85" s="300">
        <f>SCIENCE!B85</f>
        <v>0</v>
      </c>
      <c r="C85" s="109"/>
      <c r="D85" s="109"/>
      <c r="E85" s="110"/>
      <c r="F85" s="81"/>
      <c r="G85" s="82"/>
      <c r="H85" s="82"/>
      <c r="I85" s="93"/>
      <c r="J85" s="81"/>
      <c r="K85" s="82"/>
      <c r="L85" s="82"/>
      <c r="M85" s="93"/>
      <c r="N85" s="81"/>
      <c r="O85" s="82"/>
      <c r="P85" s="82"/>
      <c r="Q85" s="93"/>
      <c r="R85" s="81"/>
      <c r="S85" s="82"/>
      <c r="T85" s="82"/>
      <c r="U85" s="93"/>
      <c r="V85" s="81">
        <f t="shared" si="17"/>
        <v>0</v>
      </c>
      <c r="W85" s="82"/>
      <c r="X85" s="82"/>
      <c r="Y85" s="93"/>
      <c r="Z85" s="97"/>
      <c r="AA85" s="98"/>
      <c r="AB85" s="99"/>
    </row>
    <row r="86" ht="15" hidden="1" spans="1:28">
      <c r="A86" s="42">
        <v>35</v>
      </c>
      <c r="B86" s="300">
        <f>SCIENCE!B86</f>
        <v>0</v>
      </c>
      <c r="C86" s="109"/>
      <c r="D86" s="109"/>
      <c r="E86" s="110"/>
      <c r="F86" s="81"/>
      <c r="G86" s="82"/>
      <c r="H86" s="82"/>
      <c r="I86" s="93"/>
      <c r="J86" s="81"/>
      <c r="K86" s="82"/>
      <c r="L86" s="82"/>
      <c r="M86" s="93"/>
      <c r="N86" s="81"/>
      <c r="O86" s="82"/>
      <c r="P86" s="82"/>
      <c r="Q86" s="93"/>
      <c r="R86" s="81"/>
      <c r="S86" s="82"/>
      <c r="T86" s="82"/>
      <c r="U86" s="93"/>
      <c r="V86" s="81">
        <f t="shared" si="17"/>
        <v>0</v>
      </c>
      <c r="W86" s="82"/>
      <c r="X86" s="82"/>
      <c r="Y86" s="93"/>
      <c r="Z86" s="97"/>
      <c r="AA86" s="98"/>
      <c r="AB86" s="99"/>
    </row>
    <row r="87" hidden="1"/>
    <row r="88" hidden="1"/>
    <row r="89" hidden="1"/>
    <row r="90" hidden="1"/>
  </sheetData>
  <mergeCells count="491">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B7:E10"/>
    <mergeCell ref="A1:AB2"/>
    <mergeCell ref="Z9:AB10"/>
  </mergeCells>
  <dataValidations count="3">
    <dataValidation allowBlank="1" showErrorMessage="1" sqref="A11:AB11 V16:Y16 Z16:AB16 A51:AB51 J55:Y55 Z55:AB55 J67:Y67 Z67:AB67 V12:AB15 V17:AB50 J68:AB86 F74:I86 J41:U50 J12:U39 F12:I16 J52:AB54 F17:I38 J56:AB66 F52:I71"/>
    <dataValidation allowBlank="1" showInputMessage="1" showErrorMessage="1" prompt="Do not type name of learners here. Go to INPUT DATA sheet." sqref="B12:B31 B33:B50 B52:B86"/>
    <dataValidation allowBlank="1" showErrorMessage="1" prompt="EITHER WRITE YOUR OWN HPS OR EMPTY" sqref="F9:AB10"/>
  </dataValidations>
  <pageMargins left="0.2" right="0.2" top="0.25" bottom="0.25" header="0.3" footer="0.3"/>
  <pageSetup paperSize="9" scale="70"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B87"/>
  <sheetViews>
    <sheetView zoomScale="96" zoomScaleNormal="96" topLeftCell="A12" workbookViewId="0">
      <selection activeCell="F55" sqref="F55:I55"/>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62</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349" t="s">
        <v>2</v>
      </c>
      <c r="H5" s="350"/>
      <c r="I5" s="350"/>
      <c r="J5" s="357"/>
      <c r="K5" s="56"/>
      <c r="L5" s="57" t="s">
        <v>3</v>
      </c>
      <c r="M5" s="57"/>
      <c r="N5" s="58"/>
      <c r="O5" s="349" t="s">
        <v>63</v>
      </c>
      <c r="P5" s="350"/>
      <c r="Q5" s="350"/>
      <c r="R5" s="357"/>
      <c r="S5" s="317"/>
      <c r="T5" s="317"/>
      <c r="U5" s="317"/>
      <c r="V5" s="317"/>
      <c r="W5" s="318"/>
      <c r="X5" s="318"/>
      <c r="Y5" s="318"/>
      <c r="Z5" s="318"/>
      <c r="AA5" s="318"/>
      <c r="AB5" s="318"/>
    </row>
    <row r="6" ht="18.75" customHeight="1" spans="1:28">
      <c r="A6" s="3"/>
      <c r="B6" s="5" t="s">
        <v>5</v>
      </c>
      <c r="C6" s="5"/>
      <c r="D6" s="5"/>
      <c r="E6" s="5"/>
      <c r="F6" s="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84</v>
      </c>
      <c r="L8" s="60"/>
      <c r="M8" s="60"/>
      <c r="N8" s="60"/>
      <c r="O8" s="60"/>
      <c r="P8" s="60"/>
      <c r="Q8" s="60"/>
      <c r="R8" s="79"/>
      <c r="S8" s="18" t="s">
        <v>15</v>
      </c>
      <c r="T8" s="19"/>
      <c r="U8" s="19"/>
      <c r="V8" s="19"/>
      <c r="W8" s="373" t="s">
        <v>85</v>
      </c>
      <c r="X8" s="373"/>
      <c r="Y8" s="373"/>
      <c r="Z8" s="373"/>
      <c r="AA8" s="373"/>
      <c r="AB8" s="374"/>
    </row>
    <row r="9" ht="15.6" spans="1:28">
      <c r="A9" s="15"/>
      <c r="B9" s="16"/>
      <c r="C9" s="16"/>
      <c r="D9" s="16"/>
      <c r="E9" s="17"/>
      <c r="F9" s="20" t="s">
        <v>86</v>
      </c>
      <c r="G9" s="21"/>
      <c r="H9" s="21"/>
      <c r="I9" s="61"/>
      <c r="J9" s="20" t="s">
        <v>86</v>
      </c>
      <c r="K9" s="21"/>
      <c r="L9" s="21"/>
      <c r="M9" s="61"/>
      <c r="N9" s="20" t="s">
        <v>86</v>
      </c>
      <c r="O9" s="21"/>
      <c r="P9" s="21"/>
      <c r="Q9" s="61"/>
      <c r="R9" s="20" t="s">
        <v>86</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75" spans="1:28">
      <c r="A12" s="32">
        <v>1</v>
      </c>
      <c r="B12" s="300" t="str">
        <f>'INPUT DATA'!B12:D12</f>
        <v>ANUBLING, REGIE C.</v>
      </c>
      <c r="C12" s="34"/>
      <c r="D12" s="34"/>
      <c r="E12" s="34"/>
      <c r="F12" s="81">
        <v>80</v>
      </c>
      <c r="G12" s="82"/>
      <c r="H12" s="82"/>
      <c r="I12" s="93"/>
      <c r="J12" s="81">
        <v>80</v>
      </c>
      <c r="K12" s="82"/>
      <c r="L12" s="82"/>
      <c r="M12" s="93"/>
      <c r="N12" s="81">
        <v>80</v>
      </c>
      <c r="O12" s="82"/>
      <c r="P12" s="82"/>
      <c r="Q12" s="93"/>
      <c r="R12" s="81">
        <v>80</v>
      </c>
      <c r="S12" s="82"/>
      <c r="T12" s="82"/>
      <c r="U12" s="93"/>
      <c r="V12" s="81">
        <f>SUM(F12,J12,N12,R12)/4</f>
        <v>80</v>
      </c>
      <c r="W12" s="82"/>
      <c r="X12" s="82"/>
      <c r="Y12" s="93"/>
      <c r="Z12" s="94" t="str">
        <f>IF(V12&gt;=75,"PASSED","FAILED")</f>
        <v>PASSED</v>
      </c>
      <c r="AA12" s="95"/>
      <c r="AB12" s="96"/>
    </row>
    <row r="13" ht="15.75" spans="1:28">
      <c r="A13" s="37">
        <v>2</v>
      </c>
      <c r="B13" s="300" t="str">
        <f>'INPUT DATA'!B13:D13</f>
        <v>BANGCOY, JOHN PAUL P.</v>
      </c>
      <c r="C13" s="38"/>
      <c r="D13" s="38"/>
      <c r="E13" s="38"/>
      <c r="F13" s="81">
        <v>70</v>
      </c>
      <c r="G13" s="82"/>
      <c r="H13" s="82"/>
      <c r="I13" s="93"/>
      <c r="J13" s="81">
        <v>70</v>
      </c>
      <c r="K13" s="82"/>
      <c r="L13" s="82"/>
      <c r="M13" s="93"/>
      <c r="N13" s="81">
        <v>70</v>
      </c>
      <c r="O13" s="82"/>
      <c r="P13" s="82"/>
      <c r="Q13" s="93"/>
      <c r="R13" s="81">
        <v>70</v>
      </c>
      <c r="S13" s="82"/>
      <c r="T13" s="82"/>
      <c r="U13" s="93"/>
      <c r="V13" s="81">
        <f t="shared" ref="V13:V36" si="0">SUM(F13,J13,N13,R13)/4</f>
        <v>70</v>
      </c>
      <c r="W13" s="82"/>
      <c r="X13" s="82"/>
      <c r="Y13" s="93"/>
      <c r="Z13" s="97" t="str">
        <f t="shared" ref="Z13:Z34" si="1">IF(V13&gt;=75,"PASSED","FAILED")</f>
        <v>FAILED</v>
      </c>
      <c r="AA13" s="95"/>
      <c r="AB13" s="99"/>
    </row>
    <row r="14" ht="15.75" spans="1:28">
      <c r="A14" s="37">
        <v>3</v>
      </c>
      <c r="B14" s="300" t="str">
        <f>'INPUT DATA'!B14:D14</f>
        <v>BARRIENTOS, JOHN PAUL M.</v>
      </c>
      <c r="C14" s="38"/>
      <c r="D14" s="38"/>
      <c r="E14" s="41"/>
      <c r="F14" s="81">
        <v>85</v>
      </c>
      <c r="G14" s="82"/>
      <c r="H14" s="82"/>
      <c r="I14" s="93"/>
      <c r="J14" s="81">
        <v>88</v>
      </c>
      <c r="K14" s="82"/>
      <c r="L14" s="82"/>
      <c r="M14" s="93"/>
      <c r="N14" s="81">
        <v>92</v>
      </c>
      <c r="O14" s="82"/>
      <c r="P14" s="82"/>
      <c r="Q14" s="93"/>
      <c r="R14" s="81">
        <v>95</v>
      </c>
      <c r="S14" s="82"/>
      <c r="T14" s="82"/>
      <c r="U14" s="93"/>
      <c r="V14" s="81">
        <f t="shared" si="0"/>
        <v>90</v>
      </c>
      <c r="W14" s="82"/>
      <c r="X14" s="82"/>
      <c r="Y14" s="93"/>
      <c r="Z14" s="97" t="str">
        <f t="shared" si="1"/>
        <v>PASSED</v>
      </c>
      <c r="AA14" s="95"/>
      <c r="AB14" s="99"/>
    </row>
    <row r="15" ht="15.75" spans="1:28">
      <c r="A15" s="37">
        <v>4</v>
      </c>
      <c r="B15" s="300" t="str">
        <f>'INPUT DATA'!B15:D15</f>
        <v>BRIGOLE, ROMEL</v>
      </c>
      <c r="C15" s="38"/>
      <c r="D15" s="38"/>
      <c r="E15" s="41"/>
      <c r="F15" s="81">
        <v>70</v>
      </c>
      <c r="G15" s="82"/>
      <c r="H15" s="82"/>
      <c r="I15" s="93"/>
      <c r="J15" s="81">
        <v>70</v>
      </c>
      <c r="K15" s="82"/>
      <c r="L15" s="82"/>
      <c r="M15" s="93"/>
      <c r="N15" s="81">
        <v>70</v>
      </c>
      <c r="O15" s="82"/>
      <c r="P15" s="82"/>
      <c r="Q15" s="93"/>
      <c r="R15" s="81">
        <v>70</v>
      </c>
      <c r="S15" s="82"/>
      <c r="T15" s="82"/>
      <c r="U15" s="93"/>
      <c r="V15" s="81">
        <f t="shared" si="0"/>
        <v>70</v>
      </c>
      <c r="W15" s="82"/>
      <c r="X15" s="82"/>
      <c r="Y15" s="93"/>
      <c r="Z15" s="97" t="str">
        <f t="shared" si="1"/>
        <v>FAILED</v>
      </c>
      <c r="AA15" s="95"/>
      <c r="AB15" s="99"/>
    </row>
    <row r="16" ht="15.75" spans="1:28">
      <c r="A16" s="37">
        <v>5</v>
      </c>
      <c r="B16" s="300" t="str">
        <f>'INPUT DATA'!B16:D16</f>
        <v>BULAHAN,ROVIC L.</v>
      </c>
      <c r="C16" s="38"/>
      <c r="D16" s="38"/>
      <c r="E16" s="41"/>
      <c r="F16" s="81">
        <v>80</v>
      </c>
      <c r="G16" s="82"/>
      <c r="H16" s="82"/>
      <c r="I16" s="93"/>
      <c r="J16" s="81">
        <v>87</v>
      </c>
      <c r="K16" s="82"/>
      <c r="L16" s="82"/>
      <c r="M16" s="93"/>
      <c r="N16" s="81">
        <v>90</v>
      </c>
      <c r="O16" s="82"/>
      <c r="P16" s="82"/>
      <c r="Q16" s="93"/>
      <c r="R16" s="81">
        <v>91</v>
      </c>
      <c r="S16" s="82"/>
      <c r="T16" s="82"/>
      <c r="U16" s="93"/>
      <c r="V16" s="81">
        <f t="shared" si="0"/>
        <v>87</v>
      </c>
      <c r="W16" s="82"/>
      <c r="X16" s="82"/>
      <c r="Y16" s="93"/>
      <c r="Z16" s="97" t="str">
        <f t="shared" ref="Z16" si="2">IF(V16&gt;=75,"PASSED","FAILED")</f>
        <v>PASSED</v>
      </c>
      <c r="AA16" s="95"/>
      <c r="AB16" s="99"/>
    </row>
    <row r="17" ht="15.75" spans="1:28">
      <c r="A17" s="37">
        <v>6</v>
      </c>
      <c r="B17" s="300" t="str">
        <f>'INPUT DATA'!B17:D17</f>
        <v>CIJAS, ROLIE JR. A.</v>
      </c>
      <c r="C17" s="38"/>
      <c r="D17" s="38"/>
      <c r="E17" s="41"/>
      <c r="F17" s="81">
        <v>81</v>
      </c>
      <c r="G17" s="82"/>
      <c r="H17" s="82"/>
      <c r="I17" s="93"/>
      <c r="J17" s="81">
        <v>87</v>
      </c>
      <c r="K17" s="82"/>
      <c r="L17" s="82"/>
      <c r="M17" s="93"/>
      <c r="N17" s="81">
        <v>91</v>
      </c>
      <c r="O17" s="82"/>
      <c r="P17" s="82"/>
      <c r="Q17" s="93"/>
      <c r="R17" s="81">
        <v>92</v>
      </c>
      <c r="S17" s="82"/>
      <c r="T17" s="82"/>
      <c r="U17" s="93"/>
      <c r="V17" s="81">
        <f t="shared" si="0"/>
        <v>87.75</v>
      </c>
      <c r="W17" s="82"/>
      <c r="X17" s="82"/>
      <c r="Y17" s="93"/>
      <c r="Z17" s="97" t="str">
        <f t="shared" si="1"/>
        <v>PASSED</v>
      </c>
      <c r="AA17" s="95"/>
      <c r="AB17" s="99"/>
    </row>
    <row r="18" ht="15.75" spans="1:28">
      <c r="A18" s="37">
        <v>7</v>
      </c>
      <c r="B18" s="300" t="str">
        <f>'INPUT DATA'!B18:D18</f>
        <v>GARCIA, DAVE P.</v>
      </c>
      <c r="C18" s="38"/>
      <c r="D18" s="38"/>
      <c r="E18" s="41"/>
      <c r="F18" s="81">
        <v>78</v>
      </c>
      <c r="G18" s="82"/>
      <c r="H18" s="82"/>
      <c r="I18" s="93"/>
      <c r="J18" s="81">
        <v>83</v>
      </c>
      <c r="K18" s="82"/>
      <c r="L18" s="82"/>
      <c r="M18" s="93"/>
      <c r="N18" s="81">
        <v>82</v>
      </c>
      <c r="O18" s="82"/>
      <c r="P18" s="82"/>
      <c r="Q18" s="93"/>
      <c r="R18" s="81">
        <v>84</v>
      </c>
      <c r="S18" s="82"/>
      <c r="T18" s="82"/>
      <c r="U18" s="93"/>
      <c r="V18" s="81">
        <f t="shared" si="0"/>
        <v>81.75</v>
      </c>
      <c r="W18" s="82"/>
      <c r="X18" s="82"/>
      <c r="Y18" s="93"/>
      <c r="Z18" s="97" t="str">
        <f t="shared" si="1"/>
        <v>PASSED</v>
      </c>
      <c r="AA18" s="95"/>
      <c r="AB18" s="99"/>
    </row>
    <row r="19" ht="15.75" spans="1:28">
      <c r="A19" s="37">
        <v>8</v>
      </c>
      <c r="B19" s="300" t="str">
        <f>'INPUT DATA'!B19:D19</f>
        <v>GONZALES, JAMES A.</v>
      </c>
      <c r="C19" s="38"/>
      <c r="D19" s="38">
        <v>0</v>
      </c>
      <c r="E19" s="41"/>
      <c r="F19" s="81">
        <v>80</v>
      </c>
      <c r="G19" s="82"/>
      <c r="H19" s="82"/>
      <c r="I19" s="93"/>
      <c r="J19" s="81">
        <v>81</v>
      </c>
      <c r="K19" s="82"/>
      <c r="L19" s="82"/>
      <c r="M19" s="93"/>
      <c r="N19" s="81">
        <v>83</v>
      </c>
      <c r="O19" s="82"/>
      <c r="P19" s="82"/>
      <c r="Q19" s="93"/>
      <c r="R19" s="81">
        <v>84</v>
      </c>
      <c r="S19" s="82"/>
      <c r="T19" s="82"/>
      <c r="U19" s="93"/>
      <c r="V19" s="81">
        <f t="shared" si="0"/>
        <v>82</v>
      </c>
      <c r="W19" s="82"/>
      <c r="X19" s="82"/>
      <c r="Y19" s="93"/>
      <c r="Z19" s="97" t="str">
        <f t="shared" si="1"/>
        <v>PASSED</v>
      </c>
      <c r="AA19" s="95"/>
      <c r="AB19" s="99"/>
    </row>
    <row r="20" ht="15.75" spans="1:28">
      <c r="A20" s="37">
        <v>9</v>
      </c>
      <c r="B20" s="300" t="str">
        <f>'INPUT DATA'!B20:D20</f>
        <v>LAGUNA, J.B. B.</v>
      </c>
      <c r="C20" s="38"/>
      <c r="D20" s="38"/>
      <c r="E20" s="41"/>
      <c r="F20" s="81">
        <v>83</v>
      </c>
      <c r="G20" s="82"/>
      <c r="H20" s="82"/>
      <c r="I20" s="93"/>
      <c r="J20" s="81">
        <v>87</v>
      </c>
      <c r="K20" s="82"/>
      <c r="L20" s="82"/>
      <c r="M20" s="93"/>
      <c r="N20" s="81">
        <v>88</v>
      </c>
      <c r="O20" s="82"/>
      <c r="P20" s="82"/>
      <c r="Q20" s="93"/>
      <c r="R20" s="81">
        <v>92</v>
      </c>
      <c r="S20" s="82"/>
      <c r="T20" s="82"/>
      <c r="U20" s="93"/>
      <c r="V20" s="81">
        <f t="shared" si="0"/>
        <v>87.5</v>
      </c>
      <c r="W20" s="82"/>
      <c r="X20" s="82"/>
      <c r="Y20" s="93"/>
      <c r="Z20" s="97" t="str">
        <f t="shared" si="1"/>
        <v>PASSED</v>
      </c>
      <c r="AA20" s="95"/>
      <c r="AB20" s="99"/>
    </row>
    <row r="21" ht="15.75" spans="1:28">
      <c r="A21" s="37">
        <v>10</v>
      </c>
      <c r="B21" s="300" t="str">
        <f>'INPUT DATA'!B21:D21</f>
        <v>LARODA, STEVEN S.</v>
      </c>
      <c r="C21" s="38"/>
      <c r="D21" s="38"/>
      <c r="E21" s="41"/>
      <c r="F21" s="81">
        <v>80</v>
      </c>
      <c r="G21" s="82"/>
      <c r="H21" s="82"/>
      <c r="I21" s="93"/>
      <c r="J21" s="81">
        <v>81</v>
      </c>
      <c r="K21" s="82"/>
      <c r="L21" s="82"/>
      <c r="M21" s="93"/>
      <c r="N21" s="81">
        <v>80</v>
      </c>
      <c r="O21" s="82"/>
      <c r="P21" s="82"/>
      <c r="Q21" s="93"/>
      <c r="R21" s="81">
        <v>82</v>
      </c>
      <c r="S21" s="82"/>
      <c r="T21" s="82"/>
      <c r="U21" s="93"/>
      <c r="V21" s="81">
        <f t="shared" si="0"/>
        <v>80.75</v>
      </c>
      <c r="W21" s="82"/>
      <c r="X21" s="82"/>
      <c r="Y21" s="93"/>
      <c r="Z21" s="97" t="str">
        <f t="shared" si="1"/>
        <v>PASSED</v>
      </c>
      <c r="AA21" s="95"/>
      <c r="AB21" s="99"/>
    </row>
    <row r="22" ht="15.75" spans="1:28">
      <c r="A22" s="37">
        <v>11</v>
      </c>
      <c r="B22" s="300" t="str">
        <f>'INPUT DATA'!B22:D22</f>
        <v>MERINO, SEDRIK R.</v>
      </c>
      <c r="C22" s="38"/>
      <c r="D22" s="38">
        <v>0</v>
      </c>
      <c r="E22" s="41"/>
      <c r="F22" s="81">
        <v>80</v>
      </c>
      <c r="G22" s="82"/>
      <c r="H22" s="82"/>
      <c r="I22" s="93"/>
      <c r="J22" s="81">
        <v>70</v>
      </c>
      <c r="K22" s="82"/>
      <c r="L22" s="82"/>
      <c r="M22" s="93"/>
      <c r="N22" s="81">
        <v>70</v>
      </c>
      <c r="O22" s="82"/>
      <c r="P22" s="82"/>
      <c r="Q22" s="93"/>
      <c r="R22" s="81">
        <v>60</v>
      </c>
      <c r="S22" s="82"/>
      <c r="T22" s="82"/>
      <c r="U22" s="93"/>
      <c r="V22" s="81">
        <f t="shared" si="0"/>
        <v>70</v>
      </c>
      <c r="W22" s="82"/>
      <c r="X22" s="82"/>
      <c r="Y22" s="93"/>
      <c r="Z22" s="97" t="str">
        <f t="shared" si="1"/>
        <v>FAILED</v>
      </c>
      <c r="AA22" s="95"/>
      <c r="AB22" s="99"/>
    </row>
    <row r="23" ht="15.75" spans="1:28">
      <c r="A23" s="37">
        <v>12</v>
      </c>
      <c r="B23" s="300" t="str">
        <f>'INPUT DATA'!B23:D23</f>
        <v>MONTERAS, VINCENT S.</v>
      </c>
      <c r="C23" s="38"/>
      <c r="D23" s="38"/>
      <c r="E23" s="41"/>
      <c r="F23" s="81">
        <v>80</v>
      </c>
      <c r="G23" s="82"/>
      <c r="H23" s="82"/>
      <c r="I23" s="93"/>
      <c r="J23" s="81">
        <v>80</v>
      </c>
      <c r="K23" s="82"/>
      <c r="L23" s="82"/>
      <c r="M23" s="93"/>
      <c r="N23" s="81">
        <v>80</v>
      </c>
      <c r="O23" s="82"/>
      <c r="P23" s="82"/>
      <c r="Q23" s="93"/>
      <c r="R23" s="81">
        <v>82</v>
      </c>
      <c r="S23" s="82"/>
      <c r="T23" s="82"/>
      <c r="U23" s="93"/>
      <c r="V23" s="81">
        <f t="shared" si="0"/>
        <v>80.5</v>
      </c>
      <c r="W23" s="82"/>
      <c r="X23" s="82"/>
      <c r="Y23" s="93"/>
      <c r="Z23" s="97" t="str">
        <f t="shared" si="1"/>
        <v>PASSED</v>
      </c>
      <c r="AA23" s="95"/>
      <c r="AB23" s="99"/>
    </row>
    <row r="24" ht="15.75" spans="1:28">
      <c r="A24" s="37">
        <v>13</v>
      </c>
      <c r="B24" s="300" t="str">
        <f>'INPUT DATA'!B24:D24</f>
        <v>NACAWILI, ANDRIE L.</v>
      </c>
      <c r="C24" s="38"/>
      <c r="D24" s="38"/>
      <c r="E24" s="41"/>
      <c r="F24" s="81">
        <v>81</v>
      </c>
      <c r="G24" s="82"/>
      <c r="H24" s="82"/>
      <c r="I24" s="93"/>
      <c r="J24" s="81">
        <v>88</v>
      </c>
      <c r="K24" s="82"/>
      <c r="L24" s="82"/>
      <c r="M24" s="93"/>
      <c r="N24" s="81">
        <v>89</v>
      </c>
      <c r="O24" s="82"/>
      <c r="P24" s="82"/>
      <c r="Q24" s="93"/>
      <c r="R24" s="81">
        <v>91</v>
      </c>
      <c r="S24" s="82"/>
      <c r="T24" s="82"/>
      <c r="U24" s="93"/>
      <c r="V24" s="81">
        <f t="shared" si="0"/>
        <v>87.25</v>
      </c>
      <c r="W24" s="82"/>
      <c r="X24" s="82"/>
      <c r="Y24" s="93"/>
      <c r="Z24" s="97" t="str">
        <f t="shared" si="1"/>
        <v>PASSED</v>
      </c>
      <c r="AA24" s="95"/>
      <c r="AB24" s="99"/>
    </row>
    <row r="25" ht="15.75" spans="1:28">
      <c r="A25" s="37">
        <v>14</v>
      </c>
      <c r="B25" s="300" t="str">
        <f>'INPUT DATA'!B25:D25</f>
        <v>OLIVERIO, CYREL JAY G.</v>
      </c>
      <c r="C25" s="38"/>
      <c r="D25" s="38"/>
      <c r="E25" s="41"/>
      <c r="F25" s="81">
        <v>79</v>
      </c>
      <c r="G25" s="82"/>
      <c r="H25" s="82"/>
      <c r="I25" s="93"/>
      <c r="J25" s="81">
        <v>65</v>
      </c>
      <c r="K25" s="82"/>
      <c r="L25" s="82"/>
      <c r="M25" s="93"/>
      <c r="N25" s="81">
        <v>65</v>
      </c>
      <c r="O25" s="82"/>
      <c r="P25" s="82"/>
      <c r="Q25" s="93"/>
      <c r="R25" s="81">
        <v>70</v>
      </c>
      <c r="S25" s="82"/>
      <c r="T25" s="82"/>
      <c r="U25" s="93"/>
      <c r="V25" s="81">
        <f t="shared" si="0"/>
        <v>69.75</v>
      </c>
      <c r="W25" s="82"/>
      <c r="X25" s="82"/>
      <c r="Y25" s="93"/>
      <c r="Z25" s="97" t="str">
        <f t="shared" si="1"/>
        <v>FAILED</v>
      </c>
      <c r="AA25" s="95"/>
      <c r="AB25" s="99"/>
    </row>
    <row r="26" ht="15.75" spans="1:28">
      <c r="A26" s="37">
        <v>15</v>
      </c>
      <c r="B26" s="300" t="str">
        <f>'INPUT DATA'!B26:D26</f>
        <v>ORBITA,BRENN JOHN A.</v>
      </c>
      <c r="C26" s="38"/>
      <c r="D26" s="38"/>
      <c r="E26" s="41"/>
      <c r="F26" s="81">
        <v>80</v>
      </c>
      <c r="G26" s="82"/>
      <c r="H26" s="82"/>
      <c r="I26" s="93"/>
      <c r="J26" s="81">
        <v>81</v>
      </c>
      <c r="K26" s="82"/>
      <c r="L26" s="82"/>
      <c r="M26" s="93"/>
      <c r="N26" s="81">
        <v>80</v>
      </c>
      <c r="O26" s="82"/>
      <c r="P26" s="82"/>
      <c r="Q26" s="93"/>
      <c r="R26" s="81">
        <v>83</v>
      </c>
      <c r="S26" s="82"/>
      <c r="T26" s="82"/>
      <c r="U26" s="93"/>
      <c r="V26" s="81">
        <f t="shared" si="0"/>
        <v>81</v>
      </c>
      <c r="W26" s="82"/>
      <c r="X26" s="82"/>
      <c r="Y26" s="93"/>
      <c r="Z26" s="97" t="str">
        <f t="shared" si="1"/>
        <v>PASSED</v>
      </c>
      <c r="AA26" s="95"/>
      <c r="AB26" s="99"/>
    </row>
    <row r="27" ht="15.75" spans="1:28">
      <c r="A27" s="37">
        <v>16</v>
      </c>
      <c r="B27" s="300" t="str">
        <f>'INPUT DATA'!B27:D27</f>
        <v>PAINLO,SHERWIN V.</v>
      </c>
      <c r="C27" s="38"/>
      <c r="D27" s="38"/>
      <c r="E27" s="41"/>
      <c r="F27" s="81">
        <v>83</v>
      </c>
      <c r="G27" s="82"/>
      <c r="H27" s="82"/>
      <c r="I27" s="93"/>
      <c r="J27" s="81">
        <v>89</v>
      </c>
      <c r="K27" s="82"/>
      <c r="L27" s="82"/>
      <c r="M27" s="93"/>
      <c r="N27" s="81">
        <v>89</v>
      </c>
      <c r="O27" s="82"/>
      <c r="P27" s="82"/>
      <c r="Q27" s="93"/>
      <c r="R27" s="81">
        <v>91</v>
      </c>
      <c r="S27" s="82"/>
      <c r="T27" s="82"/>
      <c r="U27" s="93"/>
      <c r="V27" s="81">
        <f t="shared" si="0"/>
        <v>88</v>
      </c>
      <c r="W27" s="82"/>
      <c r="X27" s="82"/>
      <c r="Y27" s="93"/>
      <c r="Z27" s="97" t="str">
        <f t="shared" si="1"/>
        <v>PASSED</v>
      </c>
      <c r="AA27" s="95"/>
      <c r="AB27" s="99"/>
    </row>
    <row r="28" ht="15.75" spans="1:28">
      <c r="A28" s="37">
        <v>17</v>
      </c>
      <c r="B28" s="300" t="str">
        <f>'INPUT DATA'!B28:D28</f>
        <v>RAMIREZ, MATTEO JOHN DAVE D.</v>
      </c>
      <c r="C28" s="38"/>
      <c r="D28" s="38"/>
      <c r="E28" s="41"/>
      <c r="F28" s="81">
        <v>78</v>
      </c>
      <c r="G28" s="82"/>
      <c r="H28" s="82"/>
      <c r="I28" s="93"/>
      <c r="J28" s="81"/>
      <c r="K28" s="82"/>
      <c r="L28" s="82"/>
      <c r="M28" s="93"/>
      <c r="N28" s="81"/>
      <c r="O28" s="82"/>
      <c r="P28" s="82"/>
      <c r="Q28" s="93"/>
      <c r="R28" s="81"/>
      <c r="S28" s="82"/>
      <c r="T28" s="82"/>
      <c r="U28" s="93"/>
      <c r="V28" s="81">
        <f t="shared" si="0"/>
        <v>19.5</v>
      </c>
      <c r="W28" s="82"/>
      <c r="X28" s="82"/>
      <c r="Y28" s="93"/>
      <c r="Z28" s="97" t="str">
        <f t="shared" si="1"/>
        <v>FAILED</v>
      </c>
      <c r="AA28" s="95"/>
      <c r="AB28" s="99"/>
    </row>
    <row r="29" ht="15.75" spans="1:28">
      <c r="A29" s="37">
        <v>18</v>
      </c>
      <c r="B29" s="300" t="str">
        <f>'INPUT DATA'!B29:D29</f>
        <v>SIGUIRA, JASTINE B.</v>
      </c>
      <c r="C29" s="38"/>
      <c r="D29" s="38"/>
      <c r="E29" s="41"/>
      <c r="F29" s="81">
        <v>78</v>
      </c>
      <c r="G29" s="82"/>
      <c r="H29" s="82"/>
      <c r="I29" s="93"/>
      <c r="J29" s="81"/>
      <c r="K29" s="82"/>
      <c r="L29" s="82"/>
      <c r="M29" s="93"/>
      <c r="N29" s="81"/>
      <c r="O29" s="82"/>
      <c r="P29" s="82"/>
      <c r="Q29" s="93"/>
      <c r="R29" s="81"/>
      <c r="S29" s="82"/>
      <c r="T29" s="82"/>
      <c r="U29" s="93"/>
      <c r="V29" s="81">
        <f t="shared" si="0"/>
        <v>19.5</v>
      </c>
      <c r="W29" s="82"/>
      <c r="X29" s="82"/>
      <c r="Y29" s="93"/>
      <c r="Z29" s="97" t="str">
        <f t="shared" si="1"/>
        <v>FAILED</v>
      </c>
      <c r="AA29" s="95"/>
      <c r="AB29" s="99"/>
    </row>
    <row r="30" ht="15" spans="1:28">
      <c r="A30" s="37">
        <v>19</v>
      </c>
      <c r="B30" s="300" t="str">
        <f>'INPUT DATA'!B30:D30</f>
        <v>TAA, JHONVINZ Y.</v>
      </c>
      <c r="C30" s="38"/>
      <c r="D30" s="38"/>
      <c r="E30" s="41"/>
      <c r="F30" s="81">
        <v>80</v>
      </c>
      <c r="G30" s="82"/>
      <c r="H30" s="82"/>
      <c r="I30" s="93"/>
      <c r="J30" s="81">
        <v>80</v>
      </c>
      <c r="K30" s="82"/>
      <c r="L30" s="82"/>
      <c r="M30" s="93"/>
      <c r="N30" s="81">
        <v>80</v>
      </c>
      <c r="O30" s="82"/>
      <c r="P30" s="82"/>
      <c r="Q30" s="93"/>
      <c r="R30" s="81">
        <v>80</v>
      </c>
      <c r="S30" s="82"/>
      <c r="T30" s="82"/>
      <c r="U30" s="93"/>
      <c r="V30" s="81">
        <f t="shared" si="0"/>
        <v>80</v>
      </c>
      <c r="W30" s="82"/>
      <c r="X30" s="82"/>
      <c r="Y30" s="93"/>
      <c r="Z30" s="97" t="str">
        <f t="shared" si="1"/>
        <v>PASSED</v>
      </c>
      <c r="AA30" s="95"/>
      <c r="AB30" s="99"/>
    </row>
    <row r="31" ht="15" spans="1:28">
      <c r="A31" s="37">
        <v>20</v>
      </c>
      <c r="B31" s="300" t="str">
        <f>'INPUT DATA'!B31:D31</f>
        <v>ZOILO, JOHN LORENCE M.</v>
      </c>
      <c r="C31" s="38"/>
      <c r="D31" s="38"/>
      <c r="E31" s="41"/>
      <c r="F31" s="81">
        <v>80</v>
      </c>
      <c r="G31" s="82"/>
      <c r="H31" s="82"/>
      <c r="I31" s="93"/>
      <c r="J31" s="81">
        <v>83</v>
      </c>
      <c r="K31" s="82"/>
      <c r="L31" s="82"/>
      <c r="M31" s="93"/>
      <c r="N31" s="81">
        <v>81</v>
      </c>
      <c r="O31" s="82"/>
      <c r="P31" s="82"/>
      <c r="Q31" s="93"/>
      <c r="R31" s="81">
        <v>84</v>
      </c>
      <c r="S31" s="82"/>
      <c r="T31" s="82"/>
      <c r="U31" s="93"/>
      <c r="V31" s="81">
        <f t="shared" si="0"/>
        <v>82</v>
      </c>
      <c r="W31" s="82"/>
      <c r="X31" s="82"/>
      <c r="Y31" s="93"/>
      <c r="Z31" s="97" t="str">
        <f t="shared" si="1"/>
        <v>PASSED</v>
      </c>
      <c r="AA31" s="98"/>
      <c r="AB31" s="99"/>
    </row>
    <row r="32" ht="15.75" spans="1:28">
      <c r="A32" s="37">
        <v>21</v>
      </c>
      <c r="B32" s="286" t="s">
        <v>73</v>
      </c>
      <c r="C32" s="289"/>
      <c r="D32" s="38"/>
      <c r="E32" s="41"/>
      <c r="F32" s="81">
        <v>82</v>
      </c>
      <c r="G32" s="82"/>
      <c r="H32" s="82"/>
      <c r="I32" s="93"/>
      <c r="J32" s="81">
        <v>83</v>
      </c>
      <c r="K32" s="82"/>
      <c r="L32" s="82"/>
      <c r="M32" s="93"/>
      <c r="N32" s="81">
        <v>82</v>
      </c>
      <c r="O32" s="82"/>
      <c r="P32" s="82"/>
      <c r="Q32" s="93"/>
      <c r="R32" s="81">
        <v>80</v>
      </c>
      <c r="S32" s="82"/>
      <c r="T32" s="82"/>
      <c r="U32" s="93"/>
      <c r="V32" s="81">
        <f t="shared" si="0"/>
        <v>81.75</v>
      </c>
      <c r="W32" s="82"/>
      <c r="X32" s="82"/>
      <c r="Y32" s="93"/>
      <c r="Z32" s="97" t="str">
        <f t="shared" si="1"/>
        <v>PASSED</v>
      </c>
      <c r="AA32" s="98"/>
      <c r="AB32" s="99"/>
    </row>
    <row r="33" ht="15" hidden="1" spans="1:28">
      <c r="A33" s="37">
        <v>22</v>
      </c>
      <c r="B33" s="300">
        <f>'INPUT DATA'!B33:D33</f>
        <v>0</v>
      </c>
      <c r="C33" s="38"/>
      <c r="D33" s="38"/>
      <c r="E33" s="41"/>
      <c r="F33" s="81"/>
      <c r="G33" s="82"/>
      <c r="H33" s="82"/>
      <c r="I33" s="93"/>
      <c r="J33" s="81"/>
      <c r="K33" s="82"/>
      <c r="L33" s="82"/>
      <c r="M33" s="93"/>
      <c r="N33" s="81"/>
      <c r="O33" s="82"/>
      <c r="P33" s="82"/>
      <c r="Q33" s="93"/>
      <c r="R33" s="81"/>
      <c r="S33" s="82"/>
      <c r="T33" s="82"/>
      <c r="U33" s="93"/>
      <c r="V33" s="81">
        <f t="shared" si="0"/>
        <v>0</v>
      </c>
      <c r="W33" s="82"/>
      <c r="X33" s="82"/>
      <c r="Y33" s="93"/>
      <c r="Z33" s="97" t="str">
        <f t="shared" si="1"/>
        <v>FAILED</v>
      </c>
      <c r="AA33" s="98"/>
      <c r="AB33" s="99"/>
    </row>
    <row r="34" ht="15" hidden="1" spans="1:28">
      <c r="A34" s="37">
        <v>23</v>
      </c>
      <c r="B34" s="300">
        <f>'INPUT DATA'!B34:D34</f>
        <v>0</v>
      </c>
      <c r="C34" s="38"/>
      <c r="D34" s="38"/>
      <c r="E34" s="41"/>
      <c r="F34" s="81"/>
      <c r="G34" s="82"/>
      <c r="H34" s="82"/>
      <c r="I34" s="93"/>
      <c r="J34" s="81"/>
      <c r="K34" s="82"/>
      <c r="L34" s="82"/>
      <c r="M34" s="93"/>
      <c r="N34" s="81"/>
      <c r="O34" s="82"/>
      <c r="P34" s="82"/>
      <c r="Q34" s="93"/>
      <c r="R34" s="81"/>
      <c r="S34" s="82"/>
      <c r="T34" s="82"/>
      <c r="U34" s="93"/>
      <c r="V34" s="81">
        <f t="shared" si="0"/>
        <v>0</v>
      </c>
      <c r="W34" s="82"/>
      <c r="X34" s="82"/>
      <c r="Y34" s="93"/>
      <c r="Z34" s="97" t="str">
        <f t="shared" si="1"/>
        <v>FAILED</v>
      </c>
      <c r="AA34" s="98"/>
      <c r="AB34" s="99"/>
    </row>
    <row r="35" ht="15" hidden="1" spans="1:28">
      <c r="A35" s="37">
        <v>24</v>
      </c>
      <c r="B35" s="300">
        <f>'INPUT DATA'!B35:D35</f>
        <v>0</v>
      </c>
      <c r="C35" s="38"/>
      <c r="D35" s="38"/>
      <c r="E35" s="41"/>
      <c r="F35" s="81"/>
      <c r="G35" s="82"/>
      <c r="H35" s="82"/>
      <c r="I35" s="93"/>
      <c r="J35" s="81"/>
      <c r="K35" s="82"/>
      <c r="L35" s="82"/>
      <c r="M35" s="93"/>
      <c r="N35" s="81"/>
      <c r="O35" s="82"/>
      <c r="P35" s="82"/>
      <c r="Q35" s="93"/>
      <c r="R35" s="81"/>
      <c r="S35" s="82"/>
      <c r="T35" s="82"/>
      <c r="U35" s="93"/>
      <c r="V35" s="81">
        <f t="shared" si="0"/>
        <v>0</v>
      </c>
      <c r="W35" s="82"/>
      <c r="X35" s="82"/>
      <c r="Y35" s="93"/>
      <c r="Z35" s="97" t="str">
        <f t="shared" ref="Z35:Z36" si="3">IF(V35&gt;=75,"PASSED","FAILED")</f>
        <v>FAILED</v>
      </c>
      <c r="AA35" s="98"/>
      <c r="AB35" s="99"/>
    </row>
    <row r="36" ht="15" hidden="1" spans="1:28">
      <c r="A36" s="37">
        <v>25</v>
      </c>
      <c r="B36" s="300">
        <f>'INPUT DATA'!B36:D36</f>
        <v>0</v>
      </c>
      <c r="C36" s="38"/>
      <c r="D36" s="38"/>
      <c r="E36" s="41"/>
      <c r="F36" s="81"/>
      <c r="G36" s="82"/>
      <c r="H36" s="82"/>
      <c r="I36" s="93"/>
      <c r="J36" s="81"/>
      <c r="K36" s="82"/>
      <c r="L36" s="82"/>
      <c r="M36" s="93"/>
      <c r="N36" s="81"/>
      <c r="O36" s="82"/>
      <c r="P36" s="82"/>
      <c r="Q36" s="93"/>
      <c r="R36" s="81"/>
      <c r="S36" s="82"/>
      <c r="T36" s="82"/>
      <c r="U36" s="93"/>
      <c r="V36" s="81">
        <f t="shared" si="0"/>
        <v>0</v>
      </c>
      <c r="W36" s="82"/>
      <c r="X36" s="82"/>
      <c r="Y36" s="93"/>
      <c r="Z36" s="97" t="str">
        <f t="shared" si="3"/>
        <v>FAILED</v>
      </c>
      <c r="AA36" s="98"/>
      <c r="AB36" s="99"/>
    </row>
    <row r="37" ht="15" hidden="1" spans="1:28">
      <c r="A37" s="37">
        <v>26</v>
      </c>
      <c r="B37" s="300">
        <f>'INPUT DATA'!B37:D37</f>
        <v>0</v>
      </c>
      <c r="C37" s="38"/>
      <c r="D37" s="38"/>
      <c r="E37" s="41"/>
      <c r="F37" s="81"/>
      <c r="G37" s="82"/>
      <c r="H37" s="82"/>
      <c r="I37" s="93"/>
      <c r="J37" s="81"/>
      <c r="K37" s="82"/>
      <c r="L37" s="82"/>
      <c r="M37" s="93"/>
      <c r="N37" s="81"/>
      <c r="O37" s="82"/>
      <c r="P37" s="82"/>
      <c r="Q37" s="93"/>
      <c r="R37" s="81"/>
      <c r="S37" s="82"/>
      <c r="T37" s="82"/>
      <c r="U37" s="93"/>
      <c r="V37" s="81">
        <f t="shared" ref="V37" si="4">SUM(F37,J37,N37,R37)/4</f>
        <v>0</v>
      </c>
      <c r="W37" s="82"/>
      <c r="X37" s="82"/>
      <c r="Y37" s="93"/>
      <c r="Z37" s="97" t="str">
        <f t="shared" ref="Z37:Z50" si="5">IF(V37&gt;=75,"PASSED","FAILED")</f>
        <v>FAILED</v>
      </c>
      <c r="AA37" s="98"/>
      <c r="AB37" s="99"/>
    </row>
    <row r="38" ht="15" hidden="1" spans="1:28">
      <c r="A38" s="37">
        <v>27</v>
      </c>
      <c r="B38" s="300">
        <f>'INPUT DATA'!B38:D38</f>
        <v>0</v>
      </c>
      <c r="C38" s="38"/>
      <c r="D38" s="38"/>
      <c r="E38" s="41"/>
      <c r="F38" s="81"/>
      <c r="G38" s="82"/>
      <c r="H38" s="82"/>
      <c r="I38" s="93"/>
      <c r="J38" s="81"/>
      <c r="K38" s="82"/>
      <c r="L38" s="82"/>
      <c r="M38" s="93"/>
      <c r="N38" s="81"/>
      <c r="O38" s="82"/>
      <c r="P38" s="82"/>
      <c r="Q38" s="93"/>
      <c r="R38" s="81"/>
      <c r="S38" s="82"/>
      <c r="T38" s="82"/>
      <c r="U38" s="93"/>
      <c r="V38" s="81">
        <f t="shared" ref="V38" si="6">SUM(F38,J38,N38,R38)/4</f>
        <v>0</v>
      </c>
      <c r="W38" s="82"/>
      <c r="X38" s="82"/>
      <c r="Y38" s="93"/>
      <c r="Z38" s="97" t="str">
        <f t="shared" si="5"/>
        <v>FAILED</v>
      </c>
      <c r="AA38" s="98"/>
      <c r="AB38" s="99"/>
    </row>
    <row r="39" ht="15" hidden="1" spans="1:28">
      <c r="A39" s="37">
        <v>28</v>
      </c>
      <c r="B39" s="300">
        <f>'INPUT DATA'!B39:D39</f>
        <v>0</v>
      </c>
      <c r="C39" s="38"/>
      <c r="D39" s="38"/>
      <c r="E39" s="41"/>
      <c r="F39" s="81"/>
      <c r="G39" s="82"/>
      <c r="H39" s="82"/>
      <c r="I39" s="93"/>
      <c r="J39" s="81"/>
      <c r="K39" s="82"/>
      <c r="L39" s="82"/>
      <c r="M39" s="93"/>
      <c r="N39" s="81"/>
      <c r="O39" s="82"/>
      <c r="P39" s="82"/>
      <c r="Q39" s="93"/>
      <c r="R39" s="81"/>
      <c r="S39" s="82"/>
      <c r="T39" s="82"/>
      <c r="U39" s="93"/>
      <c r="V39" s="81">
        <f t="shared" ref="V39" si="7">SUM(F39,J39,N39,R39)/4</f>
        <v>0</v>
      </c>
      <c r="W39" s="82"/>
      <c r="X39" s="82"/>
      <c r="Y39" s="93"/>
      <c r="Z39" s="97" t="str">
        <f t="shared" si="5"/>
        <v>FAILED</v>
      </c>
      <c r="AA39" s="98"/>
      <c r="AB39" s="99"/>
    </row>
    <row r="40" ht="15" hidden="1" spans="1:28">
      <c r="A40" s="37">
        <v>29</v>
      </c>
      <c r="B40" s="300">
        <f>'INPUT DATA'!B40:D40</f>
        <v>0</v>
      </c>
      <c r="C40" s="38"/>
      <c r="D40" s="38"/>
      <c r="E40" s="41"/>
      <c r="F40" s="81"/>
      <c r="G40" s="82"/>
      <c r="H40" s="82"/>
      <c r="I40" s="93"/>
      <c r="J40" s="81"/>
      <c r="K40" s="82"/>
      <c r="L40" s="82"/>
      <c r="M40" s="93"/>
      <c r="N40" s="81"/>
      <c r="O40" s="82"/>
      <c r="P40" s="82"/>
      <c r="Q40" s="93"/>
      <c r="R40" s="81"/>
      <c r="S40" s="82"/>
      <c r="T40" s="82"/>
      <c r="U40" s="93"/>
      <c r="V40" s="81">
        <f t="shared" ref="V40" si="8">SUM(F40,J40,N40,R40)/4</f>
        <v>0</v>
      </c>
      <c r="W40" s="82"/>
      <c r="X40" s="82"/>
      <c r="Y40" s="93"/>
      <c r="Z40" s="97" t="str">
        <f t="shared" si="5"/>
        <v>FAILED</v>
      </c>
      <c r="AA40" s="98"/>
      <c r="AB40" s="99"/>
    </row>
    <row r="41" ht="15" hidden="1" spans="1:28">
      <c r="A41" s="37">
        <v>30</v>
      </c>
      <c r="B41" s="300">
        <f>'INPUT DATA'!B41:D41</f>
        <v>0</v>
      </c>
      <c r="C41" s="38"/>
      <c r="D41" s="38"/>
      <c r="E41" s="41"/>
      <c r="F41" s="81"/>
      <c r="G41" s="82"/>
      <c r="H41" s="82"/>
      <c r="I41" s="93"/>
      <c r="J41" s="81"/>
      <c r="K41" s="82"/>
      <c r="L41" s="82"/>
      <c r="M41" s="93"/>
      <c r="N41" s="81"/>
      <c r="O41" s="82"/>
      <c r="P41" s="82"/>
      <c r="Q41" s="93"/>
      <c r="R41" s="81"/>
      <c r="S41" s="82"/>
      <c r="T41" s="82"/>
      <c r="U41" s="93"/>
      <c r="V41" s="81">
        <f t="shared" ref="V41" si="9">SUM(F41,J41,N41,R41)/4</f>
        <v>0</v>
      </c>
      <c r="W41" s="82"/>
      <c r="X41" s="82"/>
      <c r="Y41" s="93"/>
      <c r="Z41" s="97" t="str">
        <f t="shared" si="5"/>
        <v>FAILED</v>
      </c>
      <c r="AA41" s="98"/>
      <c r="AB41" s="99"/>
    </row>
    <row r="42" ht="15" hidden="1" spans="1:28">
      <c r="A42" s="37">
        <v>31</v>
      </c>
      <c r="B42" s="300">
        <f>'INPUT DATA'!B42:D42</f>
        <v>0</v>
      </c>
      <c r="C42" s="38"/>
      <c r="D42" s="38"/>
      <c r="E42" s="41"/>
      <c r="F42" s="81"/>
      <c r="G42" s="82"/>
      <c r="H42" s="82"/>
      <c r="I42" s="93"/>
      <c r="J42" s="81"/>
      <c r="K42" s="82"/>
      <c r="L42" s="82"/>
      <c r="M42" s="93"/>
      <c r="N42" s="81"/>
      <c r="O42" s="82"/>
      <c r="P42" s="82"/>
      <c r="Q42" s="93"/>
      <c r="R42" s="81"/>
      <c r="S42" s="82"/>
      <c r="T42" s="82"/>
      <c r="U42" s="93"/>
      <c r="V42" s="81">
        <f t="shared" ref="V42" si="10">SUM(F42,J42,N42,R42)/4</f>
        <v>0</v>
      </c>
      <c r="W42" s="82"/>
      <c r="X42" s="82"/>
      <c r="Y42" s="93"/>
      <c r="Z42" s="97" t="str">
        <f t="shared" si="5"/>
        <v>FAILED</v>
      </c>
      <c r="AA42" s="98"/>
      <c r="AB42" s="99"/>
    </row>
    <row r="43" ht="15" hidden="1" spans="1:28">
      <c r="A43" s="37">
        <v>32</v>
      </c>
      <c r="B43" s="300">
        <f>'INPUT DATA'!B43:D43</f>
        <v>0</v>
      </c>
      <c r="C43" s="38"/>
      <c r="D43" s="38"/>
      <c r="E43" s="41"/>
      <c r="F43" s="81"/>
      <c r="G43" s="82"/>
      <c r="H43" s="82"/>
      <c r="I43" s="93"/>
      <c r="J43" s="81"/>
      <c r="K43" s="82"/>
      <c r="L43" s="82"/>
      <c r="M43" s="93"/>
      <c r="N43" s="81"/>
      <c r="O43" s="82"/>
      <c r="P43" s="82"/>
      <c r="Q43" s="93"/>
      <c r="R43" s="81"/>
      <c r="S43" s="82"/>
      <c r="T43" s="82"/>
      <c r="U43" s="93"/>
      <c r="V43" s="81">
        <f t="shared" ref="V43" si="11">SUM(F43,J43,N43,R43)/4</f>
        <v>0</v>
      </c>
      <c r="W43" s="82"/>
      <c r="X43" s="82"/>
      <c r="Y43" s="93"/>
      <c r="Z43" s="97" t="str">
        <f t="shared" si="5"/>
        <v>FAILED</v>
      </c>
      <c r="AA43" s="98"/>
      <c r="AB43" s="99"/>
    </row>
    <row r="44" ht="15" hidden="1" spans="1:28">
      <c r="A44" s="37">
        <v>33</v>
      </c>
      <c r="B44" s="300">
        <f>'INPUT DATA'!B44:D44</f>
        <v>0</v>
      </c>
      <c r="C44" s="38"/>
      <c r="D44" s="38"/>
      <c r="E44" s="41"/>
      <c r="F44" s="81"/>
      <c r="G44" s="82"/>
      <c r="H44" s="82"/>
      <c r="I44" s="93"/>
      <c r="J44" s="81"/>
      <c r="K44" s="82"/>
      <c r="L44" s="82"/>
      <c r="M44" s="93"/>
      <c r="N44" s="81"/>
      <c r="O44" s="82"/>
      <c r="P44" s="82"/>
      <c r="Q44" s="93"/>
      <c r="R44" s="81"/>
      <c r="S44" s="82"/>
      <c r="T44" s="82"/>
      <c r="U44" s="93"/>
      <c r="V44" s="81">
        <f t="shared" ref="V44" si="12">SUM(F44,J44,N44,R44)/4</f>
        <v>0</v>
      </c>
      <c r="W44" s="82"/>
      <c r="X44" s="82"/>
      <c r="Y44" s="93"/>
      <c r="Z44" s="97" t="str">
        <f t="shared" si="5"/>
        <v>FAILED</v>
      </c>
      <c r="AA44" s="98"/>
      <c r="AB44" s="99"/>
    </row>
    <row r="45" ht="15" hidden="1" spans="1:28">
      <c r="A45" s="37">
        <v>34</v>
      </c>
      <c r="B45" s="300">
        <f>'INPUT DATA'!B45:D45</f>
        <v>0</v>
      </c>
      <c r="C45" s="38"/>
      <c r="D45" s="38"/>
      <c r="E45" s="41"/>
      <c r="F45" s="81"/>
      <c r="G45" s="82"/>
      <c r="H45" s="82"/>
      <c r="I45" s="93"/>
      <c r="J45" s="81"/>
      <c r="K45" s="82"/>
      <c r="L45" s="82"/>
      <c r="M45" s="93"/>
      <c r="N45" s="81"/>
      <c r="O45" s="82"/>
      <c r="P45" s="82"/>
      <c r="Q45" s="93"/>
      <c r="R45" s="81"/>
      <c r="S45" s="82"/>
      <c r="T45" s="82"/>
      <c r="U45" s="93"/>
      <c r="V45" s="81"/>
      <c r="W45" s="82"/>
      <c r="X45" s="82"/>
      <c r="Y45" s="93"/>
      <c r="Z45" s="97" t="str">
        <f t="shared" si="5"/>
        <v>FAILED</v>
      </c>
      <c r="AA45" s="98"/>
      <c r="AB45" s="99"/>
    </row>
    <row r="46" ht="15" hidden="1" spans="1:28">
      <c r="A46" s="37">
        <v>35</v>
      </c>
      <c r="B46" s="300">
        <f>'INPUT DATA'!B46:D46</f>
        <v>0</v>
      </c>
      <c r="C46" s="38"/>
      <c r="D46" s="38"/>
      <c r="E46" s="41"/>
      <c r="F46" s="81"/>
      <c r="G46" s="82"/>
      <c r="H46" s="82"/>
      <c r="I46" s="93"/>
      <c r="J46" s="81"/>
      <c r="K46" s="82"/>
      <c r="L46" s="82"/>
      <c r="M46" s="93"/>
      <c r="N46" s="81"/>
      <c r="O46" s="82"/>
      <c r="P46" s="82"/>
      <c r="Q46" s="93"/>
      <c r="R46" s="81"/>
      <c r="S46" s="82"/>
      <c r="T46" s="82"/>
      <c r="U46" s="93"/>
      <c r="V46" s="81"/>
      <c r="W46" s="82"/>
      <c r="X46" s="82"/>
      <c r="Y46" s="93"/>
      <c r="Z46" s="97" t="str">
        <f t="shared" si="5"/>
        <v>FAILED</v>
      </c>
      <c r="AA46" s="98"/>
      <c r="AB46" s="99"/>
    </row>
    <row r="47" ht="15" hidden="1" spans="1:28">
      <c r="A47" s="37">
        <v>36</v>
      </c>
      <c r="B47" s="300">
        <f>'INPUT DATA'!B47:D47</f>
        <v>0</v>
      </c>
      <c r="C47" s="38"/>
      <c r="D47" s="38"/>
      <c r="E47" s="41"/>
      <c r="F47" s="81"/>
      <c r="G47" s="82"/>
      <c r="H47" s="82"/>
      <c r="I47" s="93"/>
      <c r="J47" s="81"/>
      <c r="K47" s="82"/>
      <c r="L47" s="82"/>
      <c r="M47" s="93"/>
      <c r="N47" s="81"/>
      <c r="O47" s="82"/>
      <c r="P47" s="82"/>
      <c r="Q47" s="93"/>
      <c r="R47" s="81"/>
      <c r="S47" s="82"/>
      <c r="T47" s="82"/>
      <c r="U47" s="93"/>
      <c r="V47" s="81"/>
      <c r="W47" s="82"/>
      <c r="X47" s="82"/>
      <c r="Y47" s="93"/>
      <c r="Z47" s="97" t="str">
        <f t="shared" si="5"/>
        <v>FAILED</v>
      </c>
      <c r="AA47" s="98"/>
      <c r="AB47" s="99"/>
    </row>
    <row r="48" ht="15" hidden="1" spans="1:28">
      <c r="A48" s="37">
        <v>37</v>
      </c>
      <c r="B48" s="300">
        <f>'INPUT DATA'!B48:D48</f>
        <v>0</v>
      </c>
      <c r="C48" s="38"/>
      <c r="D48" s="38"/>
      <c r="E48" s="41"/>
      <c r="F48" s="81"/>
      <c r="G48" s="82"/>
      <c r="H48" s="82"/>
      <c r="I48" s="93"/>
      <c r="J48" s="81"/>
      <c r="K48" s="82"/>
      <c r="L48" s="82"/>
      <c r="M48" s="93"/>
      <c r="N48" s="81"/>
      <c r="O48" s="82"/>
      <c r="P48" s="82"/>
      <c r="Q48" s="93"/>
      <c r="R48" s="81"/>
      <c r="S48" s="82"/>
      <c r="T48" s="82"/>
      <c r="U48" s="93"/>
      <c r="V48" s="81"/>
      <c r="W48" s="82"/>
      <c r="X48" s="82"/>
      <c r="Y48" s="93"/>
      <c r="Z48" s="97" t="str">
        <f t="shared" si="5"/>
        <v>FAILED</v>
      </c>
      <c r="AA48" s="98"/>
      <c r="AB48" s="99"/>
    </row>
    <row r="49" ht="15" hidden="1" spans="1:28">
      <c r="A49" s="37">
        <v>38</v>
      </c>
      <c r="B49" s="300">
        <f>'INPUT DATA'!B49:D49</f>
        <v>0</v>
      </c>
      <c r="C49" s="38"/>
      <c r="D49" s="38"/>
      <c r="E49" s="41"/>
      <c r="F49" s="81"/>
      <c r="G49" s="82"/>
      <c r="H49" s="82"/>
      <c r="I49" s="93"/>
      <c r="J49" s="81"/>
      <c r="K49" s="82"/>
      <c r="L49" s="82"/>
      <c r="M49" s="93"/>
      <c r="N49" s="81"/>
      <c r="O49" s="82"/>
      <c r="P49" s="82"/>
      <c r="Q49" s="93"/>
      <c r="R49" s="81"/>
      <c r="S49" s="82"/>
      <c r="T49" s="82"/>
      <c r="U49" s="93"/>
      <c r="V49" s="81"/>
      <c r="W49" s="82"/>
      <c r="X49" s="82"/>
      <c r="Y49" s="93"/>
      <c r="Z49" s="97" t="str">
        <f t="shared" si="5"/>
        <v>FAILED</v>
      </c>
      <c r="AA49" s="98"/>
      <c r="AB49" s="99"/>
    </row>
    <row r="50" ht="15.75" hidden="1" spans="1:28">
      <c r="A50" s="37">
        <v>39</v>
      </c>
      <c r="B50" s="300">
        <f>'INPUT DATA'!B50:D50</f>
        <v>0</v>
      </c>
      <c r="C50" s="38"/>
      <c r="D50" s="38"/>
      <c r="E50" s="41"/>
      <c r="F50" s="81"/>
      <c r="G50" s="82"/>
      <c r="H50" s="82"/>
      <c r="I50" s="93"/>
      <c r="J50" s="81"/>
      <c r="K50" s="82"/>
      <c r="L50" s="82"/>
      <c r="M50" s="93"/>
      <c r="N50" s="81"/>
      <c r="O50" s="82"/>
      <c r="P50" s="82"/>
      <c r="Q50" s="93"/>
      <c r="R50" s="81"/>
      <c r="S50" s="82"/>
      <c r="T50" s="82"/>
      <c r="U50" s="93"/>
      <c r="V50" s="81"/>
      <c r="W50" s="82"/>
      <c r="X50" s="82"/>
      <c r="Y50" s="93"/>
      <c r="Z50" s="97" t="str">
        <f t="shared" si="5"/>
        <v>FAILED</v>
      </c>
      <c r="AA50" s="98"/>
      <c r="AB50" s="99"/>
    </row>
    <row r="51" ht="15.75" spans="1:28">
      <c r="A51" s="27"/>
      <c r="B51" s="28" t="s">
        <v>39</v>
      </c>
      <c r="C51" s="29"/>
      <c r="D51" s="29"/>
      <c r="E51" s="50"/>
      <c r="F51" s="308"/>
      <c r="G51" s="309"/>
      <c r="H51" s="309"/>
      <c r="I51" s="315"/>
      <c r="J51" s="308"/>
      <c r="K51" s="309"/>
      <c r="L51" s="309"/>
      <c r="M51" s="315"/>
      <c r="N51" s="308"/>
      <c r="O51" s="309"/>
      <c r="P51" s="309"/>
      <c r="Q51" s="315"/>
      <c r="R51" s="363"/>
      <c r="S51" s="364"/>
      <c r="T51" s="364"/>
      <c r="U51" s="365"/>
      <c r="V51" s="366"/>
      <c r="W51" s="367"/>
      <c r="X51" s="367"/>
      <c r="Y51" s="369"/>
      <c r="Z51" s="370" t="s">
        <v>74</v>
      </c>
      <c r="AA51" s="371"/>
      <c r="AB51" s="372"/>
    </row>
    <row r="52" ht="15" spans="1:28">
      <c r="A52" s="32">
        <v>1</v>
      </c>
      <c r="B52" s="300" t="str">
        <f>'INPUT DATA'!B53:D53</f>
        <v>ANGCOY, PRINCESS NAILLE T.</v>
      </c>
      <c r="C52" s="34"/>
      <c r="D52" s="34"/>
      <c r="E52" s="53"/>
      <c r="F52" s="81">
        <v>84</v>
      </c>
      <c r="G52" s="82"/>
      <c r="H52" s="82"/>
      <c r="I52" s="93"/>
      <c r="J52" s="81">
        <v>81</v>
      </c>
      <c r="K52" s="82"/>
      <c r="L52" s="82"/>
      <c r="M52" s="93"/>
      <c r="N52" s="81">
        <v>84</v>
      </c>
      <c r="O52" s="82"/>
      <c r="P52" s="82"/>
      <c r="Q52" s="93"/>
      <c r="R52" s="81">
        <v>86</v>
      </c>
      <c r="S52" s="82"/>
      <c r="T52" s="82"/>
      <c r="U52" s="93"/>
      <c r="V52" s="81">
        <f>SUM(F52,J52,N52,R52)/4</f>
        <v>83.75</v>
      </c>
      <c r="W52" s="82"/>
      <c r="X52" s="82"/>
      <c r="Y52" s="93"/>
      <c r="Z52" s="97" t="str">
        <f>IF(V52&gt;=75,"PASSED","FAILED")</f>
        <v>PASSED</v>
      </c>
      <c r="AA52" s="98"/>
      <c r="AB52" s="99"/>
    </row>
    <row r="53" ht="15" spans="1:28">
      <c r="A53" s="37">
        <v>2</v>
      </c>
      <c r="B53" s="300" t="str">
        <f>'INPUT DATA'!B54:D54</f>
        <v>BIMOS, SHEILLA KATE O.</v>
      </c>
      <c r="C53" s="38"/>
      <c r="D53" s="38"/>
      <c r="E53" s="41"/>
      <c r="F53" s="81">
        <v>82</v>
      </c>
      <c r="G53" s="82"/>
      <c r="H53" s="82"/>
      <c r="I53" s="93"/>
      <c r="J53" s="81">
        <v>86</v>
      </c>
      <c r="K53" s="82"/>
      <c r="L53" s="82"/>
      <c r="M53" s="93"/>
      <c r="N53" s="81">
        <v>86</v>
      </c>
      <c r="O53" s="82"/>
      <c r="P53" s="82"/>
      <c r="Q53" s="93"/>
      <c r="R53" s="81">
        <v>91</v>
      </c>
      <c r="S53" s="82"/>
      <c r="T53" s="82"/>
      <c r="U53" s="93"/>
      <c r="V53" s="81">
        <f t="shared" ref="V53:V76" si="13">SUM(F53,J53,N53,R53)/4</f>
        <v>86.25</v>
      </c>
      <c r="W53" s="82"/>
      <c r="X53" s="82"/>
      <c r="Y53" s="93"/>
      <c r="Z53" s="97" t="str">
        <f t="shared" ref="Z53:Z68" si="14">IF(V53&gt;=75,"PASSED","FAILED")</f>
        <v>PASSED</v>
      </c>
      <c r="AA53" s="98"/>
      <c r="AB53" s="99"/>
    </row>
    <row r="54" ht="15" spans="1:28">
      <c r="A54" s="37">
        <v>3</v>
      </c>
      <c r="B54" s="300" t="str">
        <f>'INPUT DATA'!B55:D55</f>
        <v>BONGABONG, DWEYN ZHAIRA A.</v>
      </c>
      <c r="C54" s="38"/>
      <c r="D54" s="38"/>
      <c r="E54" s="41"/>
      <c r="F54" s="81">
        <v>91</v>
      </c>
      <c r="G54" s="82"/>
      <c r="H54" s="82"/>
      <c r="I54" s="93"/>
      <c r="J54" s="81">
        <v>91</v>
      </c>
      <c r="K54" s="82"/>
      <c r="L54" s="82"/>
      <c r="M54" s="93"/>
      <c r="N54" s="81">
        <v>95</v>
      </c>
      <c r="O54" s="82"/>
      <c r="P54" s="82"/>
      <c r="Q54" s="93"/>
      <c r="R54" s="81">
        <v>96</v>
      </c>
      <c r="S54" s="82"/>
      <c r="T54" s="82"/>
      <c r="U54" s="93"/>
      <c r="V54" s="81">
        <f t="shared" si="13"/>
        <v>93.25</v>
      </c>
      <c r="W54" s="82"/>
      <c r="X54" s="82"/>
      <c r="Y54" s="93"/>
      <c r="Z54" s="97" t="str">
        <f t="shared" si="14"/>
        <v>PASSED</v>
      </c>
      <c r="AA54" s="98"/>
      <c r="AB54" s="99"/>
    </row>
    <row r="55" ht="15" spans="1:28">
      <c r="A55" s="37">
        <v>4</v>
      </c>
      <c r="B55" s="300" t="str">
        <f>'INPUT DATA'!B56:D56</f>
        <v>CABEL, LOURENE A.</v>
      </c>
      <c r="C55" s="38"/>
      <c r="D55" s="38"/>
      <c r="E55" s="41"/>
      <c r="F55" s="81">
        <v>88</v>
      </c>
      <c r="G55" s="82"/>
      <c r="H55" s="82"/>
      <c r="I55" s="93"/>
      <c r="J55" s="81">
        <v>91</v>
      </c>
      <c r="K55" s="82"/>
      <c r="L55" s="82"/>
      <c r="M55" s="93"/>
      <c r="N55" s="81">
        <v>94</v>
      </c>
      <c r="O55" s="82"/>
      <c r="P55" s="82"/>
      <c r="Q55" s="93"/>
      <c r="R55" s="81">
        <v>96</v>
      </c>
      <c r="S55" s="82"/>
      <c r="T55" s="82"/>
      <c r="U55" s="93"/>
      <c r="V55" s="81">
        <f t="shared" si="13"/>
        <v>92.25</v>
      </c>
      <c r="W55" s="82"/>
      <c r="X55" s="82"/>
      <c r="Y55" s="93"/>
      <c r="Z55" s="97" t="str">
        <f t="shared" si="14"/>
        <v>PASSED</v>
      </c>
      <c r="AA55" s="98"/>
      <c r="AB55" s="99"/>
    </row>
    <row r="56" ht="15" spans="1:28">
      <c r="A56" s="37">
        <v>5</v>
      </c>
      <c r="B56" s="300" t="str">
        <f>'INPUT DATA'!B57:D57</f>
        <v>CAMIGAO, DHENISE CLARE V.</v>
      </c>
      <c r="C56" s="38"/>
      <c r="D56" s="38"/>
      <c r="E56" s="41"/>
      <c r="F56" s="81">
        <v>88</v>
      </c>
      <c r="G56" s="82"/>
      <c r="H56" s="82"/>
      <c r="I56" s="93"/>
      <c r="J56" s="81">
        <v>81</v>
      </c>
      <c r="K56" s="82"/>
      <c r="L56" s="82"/>
      <c r="M56" s="93"/>
      <c r="N56" s="81">
        <v>86</v>
      </c>
      <c r="O56" s="82"/>
      <c r="P56" s="82"/>
      <c r="Q56" s="93"/>
      <c r="R56" s="81">
        <v>88</v>
      </c>
      <c r="S56" s="82"/>
      <c r="T56" s="82"/>
      <c r="U56" s="93"/>
      <c r="V56" s="81">
        <f t="shared" si="13"/>
        <v>85.75</v>
      </c>
      <c r="W56" s="82"/>
      <c r="X56" s="82"/>
      <c r="Y56" s="93"/>
      <c r="Z56" s="97" t="str">
        <f t="shared" si="14"/>
        <v>PASSED</v>
      </c>
      <c r="AA56" s="98"/>
      <c r="AB56" s="99"/>
    </row>
    <row r="57" ht="15" spans="1:28">
      <c r="A57" s="37">
        <v>6</v>
      </c>
      <c r="B57" s="300" t="str">
        <f>'INPUT DATA'!B58:D58</f>
        <v>CARISMA, NATHALIA MAE M.</v>
      </c>
      <c r="C57" s="38"/>
      <c r="D57" s="38"/>
      <c r="E57" s="41"/>
      <c r="F57" s="81">
        <v>83</v>
      </c>
      <c r="G57" s="82"/>
      <c r="H57" s="82"/>
      <c r="I57" s="93"/>
      <c r="J57" s="81">
        <v>90</v>
      </c>
      <c r="K57" s="82"/>
      <c r="L57" s="82"/>
      <c r="M57" s="93"/>
      <c r="N57" s="81">
        <v>88</v>
      </c>
      <c r="O57" s="82"/>
      <c r="P57" s="82"/>
      <c r="Q57" s="93"/>
      <c r="R57" s="81">
        <v>88</v>
      </c>
      <c r="S57" s="82"/>
      <c r="T57" s="82"/>
      <c r="U57" s="93"/>
      <c r="V57" s="81">
        <f t="shared" si="13"/>
        <v>87.25</v>
      </c>
      <c r="W57" s="82"/>
      <c r="X57" s="82"/>
      <c r="Y57" s="93"/>
      <c r="Z57" s="97" t="str">
        <f t="shared" si="14"/>
        <v>PASSED</v>
      </c>
      <c r="AA57" s="98"/>
      <c r="AB57" s="99"/>
    </row>
    <row r="58" ht="15" spans="1:28">
      <c r="A58" s="37">
        <v>7</v>
      </c>
      <c r="B58" s="300" t="str">
        <f>'INPUT DATA'!B59:D59</f>
        <v>CLARO, REANZ P.</v>
      </c>
      <c r="C58" s="38"/>
      <c r="D58" s="38"/>
      <c r="E58" s="41"/>
      <c r="F58" s="81">
        <v>81</v>
      </c>
      <c r="G58" s="82"/>
      <c r="H58" s="82"/>
      <c r="I58" s="93"/>
      <c r="J58" s="81">
        <v>87</v>
      </c>
      <c r="K58" s="82"/>
      <c r="L58" s="82"/>
      <c r="M58" s="93"/>
      <c r="N58" s="81">
        <v>87</v>
      </c>
      <c r="O58" s="82"/>
      <c r="P58" s="82"/>
      <c r="Q58" s="93"/>
      <c r="R58" s="81">
        <v>88</v>
      </c>
      <c r="S58" s="82"/>
      <c r="T58" s="82"/>
      <c r="U58" s="93"/>
      <c r="V58" s="81">
        <f t="shared" si="13"/>
        <v>85.75</v>
      </c>
      <c r="W58" s="82"/>
      <c r="X58" s="82"/>
      <c r="Y58" s="93"/>
      <c r="Z58" s="97" t="str">
        <f t="shared" si="14"/>
        <v>PASSED</v>
      </c>
      <c r="AA58" s="98"/>
      <c r="AB58" s="99"/>
    </row>
    <row r="59" ht="15" spans="1:28">
      <c r="A59" s="37">
        <v>8</v>
      </c>
      <c r="B59" s="300" t="str">
        <f>'INPUT DATA'!B60:D60</f>
        <v>FRANCISCO, YSABELLA BEATRICE B.</v>
      </c>
      <c r="C59" s="38"/>
      <c r="D59" s="38"/>
      <c r="E59" s="41"/>
      <c r="F59" s="81">
        <v>89</v>
      </c>
      <c r="G59" s="82"/>
      <c r="H59" s="82"/>
      <c r="I59" s="93"/>
      <c r="J59" s="81">
        <v>92</v>
      </c>
      <c r="K59" s="82"/>
      <c r="L59" s="82"/>
      <c r="M59" s="93"/>
      <c r="N59" s="81">
        <v>97</v>
      </c>
      <c r="O59" s="82"/>
      <c r="P59" s="82"/>
      <c r="Q59" s="93"/>
      <c r="R59" s="81">
        <v>98</v>
      </c>
      <c r="S59" s="82"/>
      <c r="T59" s="82"/>
      <c r="U59" s="93"/>
      <c r="V59" s="81">
        <f t="shared" si="13"/>
        <v>94</v>
      </c>
      <c r="W59" s="82"/>
      <c r="X59" s="82"/>
      <c r="Y59" s="93"/>
      <c r="Z59" s="97" t="str">
        <f t="shared" si="14"/>
        <v>PASSED</v>
      </c>
      <c r="AA59" s="98"/>
      <c r="AB59" s="99"/>
    </row>
    <row r="60" ht="15" spans="1:28">
      <c r="A60" s="37">
        <v>9</v>
      </c>
      <c r="B60" s="300" t="str">
        <f>'INPUT DATA'!B61:D61</f>
        <v>GALDO, ALYSSA RHIAN P.</v>
      </c>
      <c r="C60" s="38"/>
      <c r="D60" s="38"/>
      <c r="E60" s="41"/>
      <c r="F60" s="81">
        <v>80</v>
      </c>
      <c r="G60" s="82"/>
      <c r="H60" s="82"/>
      <c r="I60" s="93"/>
      <c r="J60" s="81"/>
      <c r="K60" s="82"/>
      <c r="L60" s="82"/>
      <c r="M60" s="93"/>
      <c r="N60" s="81"/>
      <c r="O60" s="82"/>
      <c r="P60" s="82"/>
      <c r="Q60" s="93"/>
      <c r="R60" s="81"/>
      <c r="S60" s="82"/>
      <c r="T60" s="82"/>
      <c r="U60" s="93"/>
      <c r="V60" s="81">
        <f t="shared" si="13"/>
        <v>20</v>
      </c>
      <c r="W60" s="82"/>
      <c r="X60" s="82"/>
      <c r="Y60" s="93"/>
      <c r="Z60" s="97" t="str">
        <f t="shared" si="14"/>
        <v>FAILED</v>
      </c>
      <c r="AA60" s="98"/>
      <c r="AB60" s="99"/>
    </row>
    <row r="61" ht="15" spans="1:28">
      <c r="A61" s="37">
        <v>10</v>
      </c>
      <c r="B61" s="300" t="str">
        <f>'INPUT DATA'!B62:D62</f>
        <v>HURAÑO, RIOMI M.</v>
      </c>
      <c r="C61" s="38"/>
      <c r="D61" s="38"/>
      <c r="E61" s="41"/>
      <c r="F61" s="81">
        <v>83</v>
      </c>
      <c r="G61" s="82"/>
      <c r="H61" s="82"/>
      <c r="I61" s="93"/>
      <c r="J61" s="81">
        <v>85</v>
      </c>
      <c r="K61" s="82"/>
      <c r="L61" s="82"/>
      <c r="M61" s="93"/>
      <c r="N61" s="81">
        <v>92</v>
      </c>
      <c r="O61" s="82"/>
      <c r="P61" s="82"/>
      <c r="Q61" s="93"/>
      <c r="R61" s="81">
        <v>93</v>
      </c>
      <c r="S61" s="82"/>
      <c r="T61" s="82"/>
      <c r="U61" s="93"/>
      <c r="V61" s="81">
        <f t="shared" si="13"/>
        <v>88.25</v>
      </c>
      <c r="W61" s="82"/>
      <c r="X61" s="82"/>
      <c r="Y61" s="93"/>
      <c r="Z61" s="97" t="str">
        <f t="shared" si="14"/>
        <v>PASSED</v>
      </c>
      <c r="AA61" s="98"/>
      <c r="AB61" s="99"/>
    </row>
    <row r="62" ht="15" spans="1:28">
      <c r="A62" s="37">
        <v>11</v>
      </c>
      <c r="B62" s="300" t="str">
        <f>'INPUT DATA'!B63:D63</f>
        <v>LAGUNA, WELLAIZA O.</v>
      </c>
      <c r="C62" s="38"/>
      <c r="D62" s="38"/>
      <c r="E62" s="41"/>
      <c r="F62" s="81">
        <v>80</v>
      </c>
      <c r="G62" s="82"/>
      <c r="H62" s="82"/>
      <c r="I62" s="93"/>
      <c r="J62" s="81"/>
      <c r="K62" s="82"/>
      <c r="L62" s="82"/>
      <c r="M62" s="93"/>
      <c r="N62" s="81"/>
      <c r="O62" s="82"/>
      <c r="P62" s="82"/>
      <c r="Q62" s="93"/>
      <c r="R62" s="81"/>
      <c r="S62" s="82"/>
      <c r="T62" s="82"/>
      <c r="U62" s="93"/>
      <c r="V62" s="81">
        <f t="shared" si="13"/>
        <v>20</v>
      </c>
      <c r="W62" s="82"/>
      <c r="X62" s="82"/>
      <c r="Y62" s="93"/>
      <c r="Z62" s="97" t="str">
        <f t="shared" si="14"/>
        <v>FAILED</v>
      </c>
      <c r="AA62" s="98"/>
      <c r="AB62" s="99"/>
    </row>
    <row r="63" ht="15" spans="1:28">
      <c r="A63" s="37">
        <v>12</v>
      </c>
      <c r="B63" s="300" t="str">
        <f>'INPUT DATA'!B64:D64</f>
        <v>LAZAGA, PRINCESS JEAN O.</v>
      </c>
      <c r="C63" s="38"/>
      <c r="D63" s="38"/>
      <c r="E63" s="41"/>
      <c r="F63" s="81">
        <v>84</v>
      </c>
      <c r="G63" s="82"/>
      <c r="H63" s="82"/>
      <c r="I63" s="93"/>
      <c r="J63" s="81">
        <v>84</v>
      </c>
      <c r="K63" s="82"/>
      <c r="L63" s="82"/>
      <c r="M63" s="93"/>
      <c r="N63" s="81">
        <v>90</v>
      </c>
      <c r="O63" s="82"/>
      <c r="P63" s="82"/>
      <c r="Q63" s="93"/>
      <c r="R63" s="81">
        <v>91</v>
      </c>
      <c r="S63" s="82"/>
      <c r="T63" s="82"/>
      <c r="U63" s="93"/>
      <c r="V63" s="81">
        <f t="shared" si="13"/>
        <v>87.25</v>
      </c>
      <c r="W63" s="82"/>
      <c r="X63" s="82"/>
      <c r="Y63" s="93"/>
      <c r="Z63" s="97" t="str">
        <f t="shared" si="14"/>
        <v>PASSED</v>
      </c>
      <c r="AA63" s="98"/>
      <c r="AB63" s="99"/>
    </row>
    <row r="64" ht="15" spans="1:28">
      <c r="A64" s="37">
        <v>13</v>
      </c>
      <c r="B64" s="300" t="str">
        <f>'INPUT DATA'!B65:D65</f>
        <v>LIBRES, MIKYLLA B.</v>
      </c>
      <c r="C64" s="38"/>
      <c r="D64" s="38"/>
      <c r="E64" s="41"/>
      <c r="F64" s="81">
        <v>80</v>
      </c>
      <c r="G64" s="82"/>
      <c r="H64" s="82"/>
      <c r="I64" s="93"/>
      <c r="J64" s="81">
        <v>81</v>
      </c>
      <c r="K64" s="82"/>
      <c r="L64" s="82"/>
      <c r="M64" s="93"/>
      <c r="N64" s="81">
        <v>84</v>
      </c>
      <c r="O64" s="82"/>
      <c r="P64" s="82"/>
      <c r="Q64" s="93"/>
      <c r="R64" s="81">
        <v>86</v>
      </c>
      <c r="S64" s="82"/>
      <c r="T64" s="82"/>
      <c r="U64" s="93"/>
      <c r="V64" s="81">
        <f t="shared" si="13"/>
        <v>82.75</v>
      </c>
      <c r="W64" s="82"/>
      <c r="X64" s="82"/>
      <c r="Y64" s="93"/>
      <c r="Z64" s="97" t="str">
        <f t="shared" si="14"/>
        <v>PASSED</v>
      </c>
      <c r="AA64" s="98"/>
      <c r="AB64" s="99"/>
    </row>
    <row r="65" ht="15" spans="1:28">
      <c r="A65" s="37">
        <v>14</v>
      </c>
      <c r="B65" s="300" t="str">
        <f>'INPUT DATA'!B66:D66</f>
        <v>LIM, LENNIE GRACE S.</v>
      </c>
      <c r="C65" s="38"/>
      <c r="D65" s="38"/>
      <c r="E65" s="41"/>
      <c r="F65" s="81">
        <v>85</v>
      </c>
      <c r="G65" s="82"/>
      <c r="H65" s="82"/>
      <c r="I65" s="93"/>
      <c r="J65" s="81">
        <v>87</v>
      </c>
      <c r="K65" s="82"/>
      <c r="L65" s="82"/>
      <c r="M65" s="93"/>
      <c r="N65" s="81">
        <v>93</v>
      </c>
      <c r="O65" s="82"/>
      <c r="P65" s="82"/>
      <c r="Q65" s="93"/>
      <c r="R65" s="81">
        <v>93</v>
      </c>
      <c r="S65" s="82"/>
      <c r="T65" s="82"/>
      <c r="U65" s="93"/>
      <c r="V65" s="81">
        <f t="shared" si="13"/>
        <v>89.5</v>
      </c>
      <c r="W65" s="82"/>
      <c r="X65" s="82"/>
      <c r="Y65" s="93"/>
      <c r="Z65" s="97" t="str">
        <f t="shared" si="14"/>
        <v>PASSED</v>
      </c>
      <c r="AA65" s="98"/>
      <c r="AB65" s="99"/>
    </row>
    <row r="66" ht="15" spans="1:28">
      <c r="A66" s="37">
        <v>15</v>
      </c>
      <c r="B66" s="300" t="str">
        <f>'INPUT DATA'!B67:D67</f>
        <v>MASAYON, RHEA JANE L.</v>
      </c>
      <c r="C66" s="38"/>
      <c r="D66" s="38"/>
      <c r="E66" s="41"/>
      <c r="F66" s="81">
        <v>80</v>
      </c>
      <c r="G66" s="82"/>
      <c r="H66" s="82"/>
      <c r="I66" s="93"/>
      <c r="J66" s="81">
        <v>75</v>
      </c>
      <c r="K66" s="82"/>
      <c r="L66" s="82"/>
      <c r="M66" s="93"/>
      <c r="N66" s="81">
        <v>75</v>
      </c>
      <c r="O66" s="82"/>
      <c r="P66" s="82"/>
      <c r="Q66" s="93"/>
      <c r="R66" s="81">
        <v>80</v>
      </c>
      <c r="S66" s="82"/>
      <c r="T66" s="82"/>
      <c r="U66" s="93"/>
      <c r="V66" s="81">
        <f t="shared" si="13"/>
        <v>77.5</v>
      </c>
      <c r="W66" s="82"/>
      <c r="X66" s="82"/>
      <c r="Y66" s="93"/>
      <c r="Z66" s="97" t="str">
        <f t="shared" si="14"/>
        <v>PASSED</v>
      </c>
      <c r="AA66" s="98"/>
      <c r="AB66" s="99"/>
    </row>
    <row r="67" ht="15" spans="1:28">
      <c r="A67" s="37">
        <v>16</v>
      </c>
      <c r="B67" s="300" t="str">
        <f>'INPUT DATA'!B68:D68</f>
        <v>MORANCIL, JENEVI A.</v>
      </c>
      <c r="C67" s="38"/>
      <c r="D67" s="38"/>
      <c r="E67" s="41"/>
      <c r="F67" s="81">
        <v>85</v>
      </c>
      <c r="G67" s="82"/>
      <c r="H67" s="82"/>
      <c r="I67" s="93"/>
      <c r="J67" s="81">
        <v>87</v>
      </c>
      <c r="K67" s="82"/>
      <c r="L67" s="82"/>
      <c r="M67" s="93"/>
      <c r="N67" s="81">
        <v>92</v>
      </c>
      <c r="O67" s="82"/>
      <c r="P67" s="82"/>
      <c r="Q67" s="93"/>
      <c r="R67" s="81">
        <v>93</v>
      </c>
      <c r="S67" s="82"/>
      <c r="T67" s="82"/>
      <c r="U67" s="93"/>
      <c r="V67" s="81">
        <f t="shared" si="13"/>
        <v>89.25</v>
      </c>
      <c r="W67" s="82"/>
      <c r="X67" s="82"/>
      <c r="Y67" s="93"/>
      <c r="Z67" s="97" t="str">
        <f t="shared" si="14"/>
        <v>PASSED</v>
      </c>
      <c r="AA67" s="98"/>
      <c r="AB67" s="99"/>
    </row>
    <row r="68" ht="15" spans="1:28">
      <c r="A68" s="37">
        <v>17</v>
      </c>
      <c r="B68" s="300" t="str">
        <f>'INPUT DATA'!B69:D69</f>
        <v>PATRICIO, MICHA ELLA P.</v>
      </c>
      <c r="C68" s="38"/>
      <c r="D68" s="38"/>
      <c r="E68" s="41"/>
      <c r="F68" s="81">
        <v>80</v>
      </c>
      <c r="G68" s="82"/>
      <c r="H68" s="82"/>
      <c r="I68" s="93"/>
      <c r="J68" s="81">
        <v>80</v>
      </c>
      <c r="K68" s="82"/>
      <c r="L68" s="82"/>
      <c r="M68" s="93"/>
      <c r="N68" s="81">
        <v>81</v>
      </c>
      <c r="O68" s="82"/>
      <c r="P68" s="82"/>
      <c r="Q68" s="93"/>
      <c r="R68" s="81">
        <v>81</v>
      </c>
      <c r="S68" s="82"/>
      <c r="T68" s="82"/>
      <c r="U68" s="93"/>
      <c r="V68" s="81">
        <f t="shared" si="13"/>
        <v>80.5</v>
      </c>
      <c r="W68" s="82"/>
      <c r="X68" s="82"/>
      <c r="Y68" s="93"/>
      <c r="Z68" s="97" t="str">
        <f t="shared" si="14"/>
        <v>PASSED</v>
      </c>
      <c r="AA68" s="98"/>
      <c r="AB68" s="99"/>
    </row>
    <row r="69" ht="15" spans="1:28">
      <c r="A69" s="37">
        <v>18</v>
      </c>
      <c r="B69" s="300" t="str">
        <f>'INPUT DATA'!B70:D70</f>
        <v>PELINGON , ASHLEY C.</v>
      </c>
      <c r="C69" s="38"/>
      <c r="D69" s="38"/>
      <c r="E69" s="41"/>
      <c r="F69" s="81">
        <v>86</v>
      </c>
      <c r="G69" s="82"/>
      <c r="H69" s="82"/>
      <c r="I69" s="93"/>
      <c r="J69" s="81">
        <v>87</v>
      </c>
      <c r="K69" s="82"/>
      <c r="L69" s="82"/>
      <c r="M69" s="93"/>
      <c r="N69" s="81">
        <v>90</v>
      </c>
      <c r="O69" s="82"/>
      <c r="P69" s="82"/>
      <c r="Q69" s="93"/>
      <c r="R69" s="81">
        <v>91</v>
      </c>
      <c r="S69" s="82"/>
      <c r="T69" s="82"/>
      <c r="U69" s="93"/>
      <c r="V69" s="81">
        <f t="shared" si="13"/>
        <v>88.5</v>
      </c>
      <c r="W69" s="82"/>
      <c r="X69" s="82"/>
      <c r="Y69" s="93"/>
      <c r="Z69" s="97" t="str">
        <f t="shared" ref="Z69:Z82" si="15">IF(V69&gt;=75,"PASSED","FAILED")</f>
        <v>PASSED</v>
      </c>
      <c r="AA69" s="98"/>
      <c r="AB69" s="99"/>
    </row>
    <row r="70" ht="15" spans="1:28">
      <c r="A70" s="37">
        <v>19</v>
      </c>
      <c r="B70" s="300" t="str">
        <f>'INPUT DATA'!B71:D71</f>
        <v>PEREZ, MERCY JEAN T.</v>
      </c>
      <c r="C70" s="38"/>
      <c r="D70" s="38"/>
      <c r="E70" s="41"/>
      <c r="F70" s="81">
        <v>80</v>
      </c>
      <c r="G70" s="82"/>
      <c r="H70" s="82"/>
      <c r="I70" s="93"/>
      <c r="J70" s="81">
        <v>80</v>
      </c>
      <c r="K70" s="82"/>
      <c r="L70" s="82"/>
      <c r="M70" s="93"/>
      <c r="N70" s="81">
        <v>83</v>
      </c>
      <c r="O70" s="82"/>
      <c r="P70" s="82"/>
      <c r="Q70" s="93"/>
      <c r="R70" s="81">
        <v>83</v>
      </c>
      <c r="S70" s="82"/>
      <c r="T70" s="82"/>
      <c r="U70" s="93"/>
      <c r="V70" s="81">
        <f t="shared" si="13"/>
        <v>81.5</v>
      </c>
      <c r="W70" s="82"/>
      <c r="X70" s="82"/>
      <c r="Y70" s="93"/>
      <c r="Z70" s="97" t="str">
        <f t="shared" si="15"/>
        <v>PASSED</v>
      </c>
      <c r="AA70" s="98"/>
      <c r="AB70" s="99"/>
    </row>
    <row r="71" ht="15" spans="1:28">
      <c r="A71" s="37">
        <v>20</v>
      </c>
      <c r="B71" s="300" t="str">
        <f>'INPUT DATA'!B72:D72</f>
        <v>PINGOT, RHEA L.</v>
      </c>
      <c r="C71" s="38"/>
      <c r="D71" s="38"/>
      <c r="E71" s="41"/>
      <c r="F71" s="81">
        <v>75</v>
      </c>
      <c r="G71" s="82"/>
      <c r="H71" s="82"/>
      <c r="I71" s="93"/>
      <c r="J71" s="81">
        <v>75</v>
      </c>
      <c r="K71" s="82"/>
      <c r="L71" s="82"/>
      <c r="M71" s="93"/>
      <c r="N71" s="81">
        <v>75</v>
      </c>
      <c r="O71" s="82"/>
      <c r="P71" s="82"/>
      <c r="Q71" s="93"/>
      <c r="R71" s="81">
        <v>60</v>
      </c>
      <c r="S71" s="82"/>
      <c r="T71" s="82"/>
      <c r="U71" s="93"/>
      <c r="V71" s="81">
        <f t="shared" si="13"/>
        <v>71.25</v>
      </c>
      <c r="W71" s="82"/>
      <c r="X71" s="82"/>
      <c r="Y71" s="93"/>
      <c r="Z71" s="97" t="str">
        <f t="shared" si="15"/>
        <v>FAILED</v>
      </c>
      <c r="AA71" s="98"/>
      <c r="AB71" s="99"/>
    </row>
    <row r="72" ht="15" spans="1:28">
      <c r="A72" s="37">
        <v>21</v>
      </c>
      <c r="B72" s="300" t="str">
        <f>'INPUT DATA'!B73:D73</f>
        <v>QUILAT, FERRA MAE</v>
      </c>
      <c r="C72" s="38"/>
      <c r="D72" s="38"/>
      <c r="E72" s="41"/>
      <c r="F72" s="81">
        <v>80</v>
      </c>
      <c r="G72" s="82"/>
      <c r="H72" s="82"/>
      <c r="I72" s="93"/>
      <c r="J72" s="81">
        <v>76</v>
      </c>
      <c r="K72" s="82"/>
      <c r="L72" s="82"/>
      <c r="M72" s="93"/>
      <c r="N72" s="81">
        <v>76</v>
      </c>
      <c r="O72" s="82"/>
      <c r="P72" s="82"/>
      <c r="Q72" s="93"/>
      <c r="R72" s="81">
        <v>80</v>
      </c>
      <c r="S72" s="82"/>
      <c r="T72" s="82"/>
      <c r="U72" s="93"/>
      <c r="V72" s="81">
        <f t="shared" si="13"/>
        <v>78</v>
      </c>
      <c r="W72" s="82"/>
      <c r="X72" s="82"/>
      <c r="Y72" s="93"/>
      <c r="Z72" s="97" t="str">
        <f t="shared" si="15"/>
        <v>PASSED</v>
      </c>
      <c r="AA72" s="98"/>
      <c r="AB72" s="99"/>
    </row>
    <row r="73" ht="15" spans="1:28">
      <c r="A73" s="37">
        <v>22</v>
      </c>
      <c r="B73" s="300" t="str">
        <f>'INPUT DATA'!B74:D74</f>
        <v>ROSALES, RYZA MAE C.</v>
      </c>
      <c r="C73" s="38"/>
      <c r="D73" s="38"/>
      <c r="E73" s="41"/>
      <c r="F73" s="81">
        <v>80</v>
      </c>
      <c r="G73" s="82"/>
      <c r="H73" s="82"/>
      <c r="I73" s="93"/>
      <c r="J73" s="81">
        <v>92</v>
      </c>
      <c r="K73" s="82"/>
      <c r="L73" s="82"/>
      <c r="M73" s="93"/>
      <c r="N73" s="81">
        <v>92</v>
      </c>
      <c r="O73" s="82"/>
      <c r="P73" s="82"/>
      <c r="Q73" s="93"/>
      <c r="R73" s="81">
        <v>94</v>
      </c>
      <c r="S73" s="82"/>
      <c r="T73" s="82"/>
      <c r="U73" s="93"/>
      <c r="V73" s="81">
        <f t="shared" si="13"/>
        <v>89.5</v>
      </c>
      <c r="W73" s="82"/>
      <c r="X73" s="82"/>
      <c r="Y73" s="93"/>
      <c r="Z73" s="97" t="str">
        <f t="shared" si="15"/>
        <v>PASSED</v>
      </c>
      <c r="AA73" s="98"/>
      <c r="AB73" s="99"/>
    </row>
    <row r="74" ht="15" spans="1:28">
      <c r="A74" s="37">
        <v>23</v>
      </c>
      <c r="B74" s="300">
        <f>AP!B74</f>
        <v>0</v>
      </c>
      <c r="C74" s="38"/>
      <c r="D74" s="38"/>
      <c r="E74" s="41"/>
      <c r="F74" s="81"/>
      <c r="G74" s="82"/>
      <c r="H74" s="82"/>
      <c r="I74" s="93"/>
      <c r="J74" s="81"/>
      <c r="K74" s="82"/>
      <c r="L74" s="82"/>
      <c r="M74" s="93"/>
      <c r="N74" s="81"/>
      <c r="O74" s="82"/>
      <c r="P74" s="82"/>
      <c r="Q74" s="93"/>
      <c r="R74" s="81"/>
      <c r="S74" s="82"/>
      <c r="T74" s="82"/>
      <c r="U74" s="93"/>
      <c r="V74" s="81">
        <f t="shared" si="13"/>
        <v>0</v>
      </c>
      <c r="W74" s="82"/>
      <c r="X74" s="82"/>
      <c r="Y74" s="93"/>
      <c r="Z74" s="97" t="str">
        <f t="shared" si="15"/>
        <v>FAILED</v>
      </c>
      <c r="AA74" s="98"/>
      <c r="AB74" s="99"/>
    </row>
    <row r="75" ht="15" spans="1:28">
      <c r="A75" s="37">
        <v>24</v>
      </c>
      <c r="B75" s="300">
        <f>AP!B75</f>
        <v>0</v>
      </c>
      <c r="C75" s="38"/>
      <c r="D75" s="38"/>
      <c r="E75" s="41"/>
      <c r="F75" s="81"/>
      <c r="G75" s="82"/>
      <c r="H75" s="82"/>
      <c r="I75" s="93"/>
      <c r="J75" s="81"/>
      <c r="K75" s="82"/>
      <c r="L75" s="82"/>
      <c r="M75" s="93"/>
      <c r="N75" s="81"/>
      <c r="O75" s="82"/>
      <c r="P75" s="82"/>
      <c r="Q75" s="93"/>
      <c r="R75" s="81"/>
      <c r="S75" s="82"/>
      <c r="T75" s="82"/>
      <c r="U75" s="93"/>
      <c r="V75" s="81">
        <f t="shared" si="13"/>
        <v>0</v>
      </c>
      <c r="W75" s="82"/>
      <c r="X75" s="82"/>
      <c r="Y75" s="93"/>
      <c r="Z75" s="97" t="str">
        <f t="shared" si="15"/>
        <v>FAILED</v>
      </c>
      <c r="AA75" s="98"/>
      <c r="AB75" s="99"/>
    </row>
    <row r="76" ht="15" spans="1:28">
      <c r="A76" s="37">
        <v>25</v>
      </c>
      <c r="B76" s="300">
        <f>AP!B76</f>
        <v>0</v>
      </c>
      <c r="C76" s="38"/>
      <c r="D76" s="38"/>
      <c r="E76" s="41"/>
      <c r="F76" s="81"/>
      <c r="G76" s="82"/>
      <c r="H76" s="82"/>
      <c r="I76" s="93"/>
      <c r="J76" s="81"/>
      <c r="K76" s="82"/>
      <c r="L76" s="82"/>
      <c r="M76" s="93"/>
      <c r="N76" s="81"/>
      <c r="O76" s="82"/>
      <c r="P76" s="82"/>
      <c r="Q76" s="93"/>
      <c r="R76" s="81"/>
      <c r="S76" s="82"/>
      <c r="T76" s="82"/>
      <c r="U76" s="93"/>
      <c r="V76" s="81">
        <f t="shared" si="13"/>
        <v>0</v>
      </c>
      <c r="W76" s="82"/>
      <c r="X76" s="82"/>
      <c r="Y76" s="93"/>
      <c r="Z76" s="97" t="str">
        <f t="shared" si="15"/>
        <v>FAILED</v>
      </c>
      <c r="AA76" s="98"/>
      <c r="AB76" s="99"/>
    </row>
    <row r="77" ht="15" hidden="1" spans="1:28">
      <c r="A77" s="42">
        <v>26</v>
      </c>
      <c r="B77" s="336">
        <f>AP!B77</f>
        <v>0</v>
      </c>
      <c r="C77" s="107"/>
      <c r="D77" s="107"/>
      <c r="E77" s="108"/>
      <c r="F77" s="81"/>
      <c r="G77" s="82"/>
      <c r="H77" s="82"/>
      <c r="I77" s="93"/>
      <c r="J77" s="81"/>
      <c r="K77" s="82"/>
      <c r="L77" s="82"/>
      <c r="M77" s="93"/>
      <c r="N77" s="81"/>
      <c r="O77" s="82"/>
      <c r="P77" s="82"/>
      <c r="Q77" s="93"/>
      <c r="R77" s="81"/>
      <c r="S77" s="82"/>
      <c r="T77" s="82"/>
      <c r="U77" s="93"/>
      <c r="V77" s="81">
        <f t="shared" ref="V77:V86" si="16">SUM(F77,J77,N77,R77)/4</f>
        <v>0</v>
      </c>
      <c r="W77" s="82"/>
      <c r="X77" s="82"/>
      <c r="Y77" s="93"/>
      <c r="Z77" s="97" t="str">
        <f t="shared" si="15"/>
        <v>FAILED</v>
      </c>
      <c r="AA77" s="98"/>
      <c r="AB77" s="99"/>
    </row>
    <row r="78" ht="15" hidden="1" spans="1:28">
      <c r="A78" s="42">
        <v>27</v>
      </c>
      <c r="B78" s="300">
        <f>AP!B78</f>
        <v>0</v>
      </c>
      <c r="C78" s="109"/>
      <c r="D78" s="109"/>
      <c r="E78" s="110"/>
      <c r="F78" s="81"/>
      <c r="G78" s="82"/>
      <c r="H78" s="82"/>
      <c r="I78" s="93"/>
      <c r="J78" s="81"/>
      <c r="K78" s="82"/>
      <c r="L78" s="82"/>
      <c r="M78" s="93"/>
      <c r="N78" s="81"/>
      <c r="O78" s="82"/>
      <c r="P78" s="82"/>
      <c r="Q78" s="93"/>
      <c r="R78" s="81"/>
      <c r="S78" s="82"/>
      <c r="T78" s="82"/>
      <c r="U78" s="93"/>
      <c r="V78" s="81">
        <f t="shared" si="16"/>
        <v>0</v>
      </c>
      <c r="W78" s="82"/>
      <c r="X78" s="82"/>
      <c r="Y78" s="93"/>
      <c r="Z78" s="97" t="str">
        <f t="shared" si="15"/>
        <v>FAILED</v>
      </c>
      <c r="AA78" s="98"/>
      <c r="AB78" s="99"/>
    </row>
    <row r="79" ht="15" hidden="1" spans="1:28">
      <c r="A79" s="42">
        <v>28</v>
      </c>
      <c r="B79" s="300">
        <f>AP!B79</f>
        <v>0</v>
      </c>
      <c r="C79" s="109"/>
      <c r="D79" s="109"/>
      <c r="E79" s="110"/>
      <c r="F79" s="81"/>
      <c r="G79" s="82"/>
      <c r="H79" s="82"/>
      <c r="I79" s="93"/>
      <c r="J79" s="81"/>
      <c r="K79" s="82"/>
      <c r="L79" s="82"/>
      <c r="M79" s="93"/>
      <c r="N79" s="81"/>
      <c r="O79" s="82"/>
      <c r="P79" s="82"/>
      <c r="Q79" s="93"/>
      <c r="R79" s="81"/>
      <c r="S79" s="82"/>
      <c r="T79" s="82"/>
      <c r="U79" s="93"/>
      <c r="V79" s="81">
        <f t="shared" si="16"/>
        <v>0</v>
      </c>
      <c r="W79" s="82"/>
      <c r="X79" s="82"/>
      <c r="Y79" s="93"/>
      <c r="Z79" s="97" t="str">
        <f t="shared" si="15"/>
        <v>FAILED</v>
      </c>
      <c r="AA79" s="98"/>
      <c r="AB79" s="99"/>
    </row>
    <row r="80" ht="15" hidden="1" spans="1:28">
      <c r="A80" s="42">
        <v>29</v>
      </c>
      <c r="B80" s="300">
        <f>AP!B80</f>
        <v>0</v>
      </c>
      <c r="C80" s="109"/>
      <c r="D80" s="109"/>
      <c r="E80" s="110"/>
      <c r="F80" s="81"/>
      <c r="G80" s="82"/>
      <c r="H80" s="82"/>
      <c r="I80" s="93"/>
      <c r="J80" s="81"/>
      <c r="K80" s="82"/>
      <c r="L80" s="82"/>
      <c r="M80" s="93"/>
      <c r="N80" s="81"/>
      <c r="O80" s="82"/>
      <c r="P80" s="82"/>
      <c r="Q80" s="93"/>
      <c r="R80" s="81"/>
      <c r="S80" s="82"/>
      <c r="T80" s="82"/>
      <c r="U80" s="93"/>
      <c r="V80" s="81">
        <f t="shared" si="16"/>
        <v>0</v>
      </c>
      <c r="W80" s="82"/>
      <c r="X80" s="82"/>
      <c r="Y80" s="93"/>
      <c r="Z80" s="97" t="str">
        <f t="shared" si="15"/>
        <v>FAILED</v>
      </c>
      <c r="AA80" s="98"/>
      <c r="AB80" s="99"/>
    </row>
    <row r="81" ht="15" hidden="1" spans="1:28">
      <c r="A81" s="42">
        <v>30</v>
      </c>
      <c r="B81" s="300">
        <f>AP!B81</f>
        <v>0</v>
      </c>
      <c r="C81" s="109"/>
      <c r="D81" s="109"/>
      <c r="E81" s="110"/>
      <c r="F81" s="81"/>
      <c r="G81" s="82"/>
      <c r="H81" s="82"/>
      <c r="I81" s="93"/>
      <c r="J81" s="81"/>
      <c r="K81" s="82"/>
      <c r="L81" s="82"/>
      <c r="M81" s="93"/>
      <c r="N81" s="81"/>
      <c r="O81" s="82"/>
      <c r="P81" s="82"/>
      <c r="Q81" s="93"/>
      <c r="R81" s="81"/>
      <c r="S81" s="82"/>
      <c r="T81" s="82"/>
      <c r="U81" s="93"/>
      <c r="V81" s="81">
        <f t="shared" si="16"/>
        <v>0</v>
      </c>
      <c r="W81" s="82"/>
      <c r="X81" s="82"/>
      <c r="Y81" s="93"/>
      <c r="Z81" s="97" t="str">
        <f t="shared" si="15"/>
        <v>FAILED</v>
      </c>
      <c r="AA81" s="98"/>
      <c r="AB81" s="99"/>
    </row>
    <row r="82" ht="15" hidden="1" spans="1:28">
      <c r="A82" s="42">
        <v>31</v>
      </c>
      <c r="B82" s="300">
        <f>AP!B82</f>
        <v>0</v>
      </c>
      <c r="C82" s="109"/>
      <c r="D82" s="109"/>
      <c r="E82" s="110"/>
      <c r="F82" s="81"/>
      <c r="G82" s="82"/>
      <c r="H82" s="82"/>
      <c r="I82" s="93"/>
      <c r="J82" s="81"/>
      <c r="K82" s="82"/>
      <c r="L82" s="82"/>
      <c r="M82" s="93"/>
      <c r="N82" s="81"/>
      <c r="O82" s="82"/>
      <c r="P82" s="82"/>
      <c r="Q82" s="93"/>
      <c r="R82" s="81"/>
      <c r="S82" s="82"/>
      <c r="T82" s="82"/>
      <c r="U82" s="93"/>
      <c r="V82" s="81">
        <f t="shared" si="16"/>
        <v>0</v>
      </c>
      <c r="W82" s="82"/>
      <c r="X82" s="82"/>
      <c r="Y82" s="93"/>
      <c r="Z82" s="97" t="str">
        <f t="shared" si="15"/>
        <v>FAILED</v>
      </c>
      <c r="AA82" s="98"/>
      <c r="AB82" s="99"/>
    </row>
    <row r="83" ht="15" hidden="1" spans="1:28">
      <c r="A83" s="42">
        <v>32</v>
      </c>
      <c r="B83" s="300">
        <f>AP!B83</f>
        <v>0</v>
      </c>
      <c r="C83" s="109"/>
      <c r="D83" s="109"/>
      <c r="E83" s="110"/>
      <c r="F83" s="81"/>
      <c r="G83" s="82"/>
      <c r="H83" s="82"/>
      <c r="I83" s="93"/>
      <c r="J83" s="81"/>
      <c r="K83" s="82"/>
      <c r="L83" s="82"/>
      <c r="M83" s="93"/>
      <c r="N83" s="81"/>
      <c r="O83" s="82"/>
      <c r="P83" s="82"/>
      <c r="Q83" s="93"/>
      <c r="R83" s="81"/>
      <c r="S83" s="82"/>
      <c r="T83" s="82"/>
      <c r="U83" s="93"/>
      <c r="V83" s="81">
        <f t="shared" si="16"/>
        <v>0</v>
      </c>
      <c r="W83" s="82"/>
      <c r="X83" s="82"/>
      <c r="Y83" s="93"/>
      <c r="Z83" s="97"/>
      <c r="AA83" s="98"/>
      <c r="AB83" s="99"/>
    </row>
    <row r="84" ht="15" hidden="1" spans="1:28">
      <c r="A84" s="42">
        <v>33</v>
      </c>
      <c r="B84" s="300">
        <f>AP!B84</f>
        <v>0</v>
      </c>
      <c r="C84" s="109"/>
      <c r="D84" s="109"/>
      <c r="E84" s="109"/>
      <c r="F84" s="81"/>
      <c r="G84" s="82"/>
      <c r="H84" s="82"/>
      <c r="I84" s="93"/>
      <c r="J84" s="81"/>
      <c r="K84" s="82"/>
      <c r="L84" s="82"/>
      <c r="M84" s="93"/>
      <c r="N84" s="81"/>
      <c r="O84" s="82"/>
      <c r="P84" s="82"/>
      <c r="Q84" s="93"/>
      <c r="R84" s="81"/>
      <c r="S84" s="82"/>
      <c r="T84" s="82"/>
      <c r="U84" s="93"/>
      <c r="V84" s="81">
        <f t="shared" si="16"/>
        <v>0</v>
      </c>
      <c r="W84" s="82"/>
      <c r="X84" s="82"/>
      <c r="Y84" s="93"/>
      <c r="Z84" s="97"/>
      <c r="AA84" s="98"/>
      <c r="AB84" s="99"/>
    </row>
    <row r="85" ht="15" hidden="1" spans="1:28">
      <c r="A85" s="42">
        <v>34</v>
      </c>
      <c r="B85" s="300">
        <f>AP!B85</f>
        <v>0</v>
      </c>
      <c r="C85" s="109"/>
      <c r="D85" s="109"/>
      <c r="E85" s="110"/>
      <c r="F85" s="81"/>
      <c r="G85" s="82"/>
      <c r="H85" s="82"/>
      <c r="I85" s="93"/>
      <c r="J85" s="81"/>
      <c r="K85" s="82"/>
      <c r="L85" s="82"/>
      <c r="M85" s="93"/>
      <c r="N85" s="81"/>
      <c r="O85" s="82"/>
      <c r="P85" s="82"/>
      <c r="Q85" s="93"/>
      <c r="R85" s="81"/>
      <c r="S85" s="82"/>
      <c r="T85" s="82"/>
      <c r="U85" s="93"/>
      <c r="V85" s="81">
        <f t="shared" si="16"/>
        <v>0</v>
      </c>
      <c r="W85" s="82"/>
      <c r="X85" s="82"/>
      <c r="Y85" s="93"/>
      <c r="Z85" s="97"/>
      <c r="AA85" s="98"/>
      <c r="AB85" s="99"/>
    </row>
    <row r="86" ht="15" hidden="1" spans="1:28">
      <c r="A86" s="42">
        <v>35</v>
      </c>
      <c r="B86" s="300">
        <f>AP!B86</f>
        <v>0</v>
      </c>
      <c r="C86" s="109"/>
      <c r="D86" s="109"/>
      <c r="E86" s="110"/>
      <c r="F86" s="81"/>
      <c r="G86" s="82"/>
      <c r="H86" s="82"/>
      <c r="I86" s="93"/>
      <c r="J86" s="81"/>
      <c r="K86" s="82"/>
      <c r="L86" s="82"/>
      <c r="M86" s="93"/>
      <c r="N86" s="81"/>
      <c r="O86" s="82"/>
      <c r="P86" s="82"/>
      <c r="Q86" s="93"/>
      <c r="R86" s="81"/>
      <c r="S86" s="82"/>
      <c r="T86" s="82"/>
      <c r="U86" s="93"/>
      <c r="V86" s="81">
        <f t="shared" si="16"/>
        <v>0</v>
      </c>
      <c r="W86" s="82"/>
      <c r="X86" s="82"/>
      <c r="Y86" s="93"/>
      <c r="Z86" s="97"/>
      <c r="AA86" s="98"/>
      <c r="AB86" s="99"/>
    </row>
    <row r="87" hidden="1"/>
  </sheetData>
  <mergeCells count="491">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B7:E10"/>
    <mergeCell ref="A1:AB2"/>
    <mergeCell ref="Z9:AB10"/>
  </mergeCells>
  <dataValidations count="3">
    <dataValidation allowBlank="1" showErrorMessage="1" sqref="A11:AB11 F16:U16 V16:Y16 Z16:AB16 A51:AB51 F12:AB15 F52:AB86 F17:AB50"/>
    <dataValidation allowBlank="1" showInputMessage="1" showErrorMessage="1" prompt="Do not type name of learners here. Go to INPUT DATA sheet." sqref="B12:B31 B33:B50 B52:B86"/>
    <dataValidation allowBlank="1" showErrorMessage="1" prompt="EITHER WRITE YOUR OWN HPS OR EMPTY" sqref="F9:AB10"/>
  </dataValidations>
  <pageMargins left="0.2" right="0.2" top="0.25" bottom="0.25" header="0.3" footer="0.3"/>
  <pageSetup paperSize="1" scale="70"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B90"/>
  <sheetViews>
    <sheetView zoomScale="87" zoomScaleNormal="87" topLeftCell="A21" workbookViewId="0">
      <selection activeCell="R73" sqref="R73:U73"/>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62</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349" t="s">
        <v>2</v>
      </c>
      <c r="H5" s="350"/>
      <c r="I5" s="350"/>
      <c r="J5" s="357"/>
      <c r="K5" s="56"/>
      <c r="L5" s="57" t="s">
        <v>3</v>
      </c>
      <c r="M5" s="57"/>
      <c r="N5" s="58"/>
      <c r="O5" s="349" t="s">
        <v>63</v>
      </c>
      <c r="P5" s="350"/>
      <c r="Q5" s="350"/>
      <c r="R5" s="357"/>
      <c r="S5" s="317"/>
      <c r="T5" s="317"/>
      <c r="U5" s="317"/>
      <c r="V5" s="317"/>
      <c r="W5" s="318"/>
      <c r="X5" s="318"/>
      <c r="Y5" s="318"/>
      <c r="Z5" s="318"/>
      <c r="AA5" s="318"/>
      <c r="AB5" s="318"/>
    </row>
    <row r="6" ht="18.15" spans="1:28">
      <c r="A6" s="3"/>
      <c r="B6" s="5" t="s">
        <v>5</v>
      </c>
      <c r="C6" s="5"/>
      <c r="D6" s="5"/>
      <c r="E6" s="5"/>
      <c r="F6" s="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87</v>
      </c>
      <c r="L8" s="60"/>
      <c r="M8" s="60"/>
      <c r="N8" s="60"/>
      <c r="O8" s="60"/>
      <c r="P8" s="60"/>
      <c r="Q8" s="60"/>
      <c r="R8" s="79"/>
      <c r="S8" s="18" t="s">
        <v>15</v>
      </c>
      <c r="T8" s="19"/>
      <c r="U8" s="19"/>
      <c r="V8" s="19"/>
      <c r="W8" s="362" t="s">
        <v>88</v>
      </c>
      <c r="X8" s="362"/>
      <c r="Y8" s="362"/>
      <c r="Z8" s="362"/>
      <c r="AA8" s="362"/>
      <c r="AB8" s="368"/>
    </row>
    <row r="9" ht="15.6" spans="1:28">
      <c r="A9" s="15"/>
      <c r="B9" s="16"/>
      <c r="C9" s="16"/>
      <c r="D9" s="16"/>
      <c r="E9" s="17"/>
      <c r="F9" s="20" t="s">
        <v>89</v>
      </c>
      <c r="G9" s="21"/>
      <c r="H9" s="21"/>
      <c r="I9" s="61"/>
      <c r="J9" s="20" t="s">
        <v>89</v>
      </c>
      <c r="K9" s="21"/>
      <c r="L9" s="21"/>
      <c r="M9" s="61"/>
      <c r="N9" s="20" t="s">
        <v>89</v>
      </c>
      <c r="O9" s="21"/>
      <c r="P9" s="21"/>
      <c r="Q9" s="61"/>
      <c r="R9" s="20" t="s">
        <v>89</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75" spans="1:28">
      <c r="A12" s="32">
        <v>1</v>
      </c>
      <c r="B12" s="300" t="str">
        <f>'INPUT DATA'!B12:D12</f>
        <v>ANUBLING, REGIE C.</v>
      </c>
      <c r="C12" s="34"/>
      <c r="D12" s="34"/>
      <c r="E12" s="34"/>
      <c r="F12" s="346">
        <v>76</v>
      </c>
      <c r="G12" s="347"/>
      <c r="H12" s="347"/>
      <c r="I12" s="348"/>
      <c r="J12" s="358">
        <v>74</v>
      </c>
      <c r="K12" s="82"/>
      <c r="L12" s="82"/>
      <c r="M12" s="93"/>
      <c r="N12" s="81">
        <v>73</v>
      </c>
      <c r="O12" s="82"/>
      <c r="P12" s="82"/>
      <c r="Q12" s="93"/>
      <c r="R12" s="81">
        <v>80</v>
      </c>
      <c r="S12" s="82"/>
      <c r="T12" s="82"/>
      <c r="U12" s="93"/>
      <c r="V12" s="81">
        <f t="shared" ref="V12:V37" si="0">SUM(F12,J12,N12,R12)/4</f>
        <v>75.75</v>
      </c>
      <c r="W12" s="82"/>
      <c r="X12" s="82"/>
      <c r="Y12" s="93"/>
      <c r="Z12" s="94" t="str">
        <f>IF(V12&gt;=75,"PASSED","FAILED")</f>
        <v>PASSED</v>
      </c>
      <c r="AA12" s="95"/>
      <c r="AB12" s="96"/>
    </row>
    <row r="13" ht="15.75" spans="1:28">
      <c r="A13" s="37">
        <v>2</v>
      </c>
      <c r="B13" s="300" t="str">
        <f>'INPUT DATA'!B13:D13</f>
        <v>BANGCOY, JOHN PAUL P.</v>
      </c>
      <c r="C13" s="38"/>
      <c r="D13" s="38"/>
      <c r="E13" s="38"/>
      <c r="F13" s="81"/>
      <c r="G13" s="82"/>
      <c r="H13" s="82"/>
      <c r="I13" s="93"/>
      <c r="J13" s="358"/>
      <c r="K13" s="82"/>
      <c r="L13" s="82"/>
      <c r="M13" s="93"/>
      <c r="N13" s="81"/>
      <c r="O13" s="82"/>
      <c r="P13" s="82"/>
      <c r="Q13" s="93"/>
      <c r="R13" s="81"/>
      <c r="S13" s="82"/>
      <c r="T13" s="82"/>
      <c r="U13" s="93"/>
      <c r="V13" s="81">
        <f t="shared" si="0"/>
        <v>0</v>
      </c>
      <c r="W13" s="82"/>
      <c r="X13" s="82"/>
      <c r="Y13" s="93"/>
      <c r="Z13" s="97" t="str">
        <f t="shared" ref="Z13:Z34" si="1">IF(V13&gt;=75,"PASSED","FAILED")</f>
        <v>FAILED</v>
      </c>
      <c r="AA13" s="95"/>
      <c r="AB13" s="99"/>
    </row>
    <row r="14" ht="15.75" spans="1:28">
      <c r="A14" s="37">
        <v>3</v>
      </c>
      <c r="B14" s="300" t="str">
        <f>'INPUT DATA'!B14:D14</f>
        <v>BARRIENTOS, JOHN PAUL M.</v>
      </c>
      <c r="C14" s="38"/>
      <c r="D14" s="38"/>
      <c r="E14" s="38"/>
      <c r="F14" s="81">
        <v>81</v>
      </c>
      <c r="G14" s="82"/>
      <c r="H14" s="82"/>
      <c r="I14" s="93"/>
      <c r="J14" s="358">
        <v>86</v>
      </c>
      <c r="K14" s="82"/>
      <c r="L14" s="82"/>
      <c r="M14" s="93"/>
      <c r="N14" s="81">
        <v>90</v>
      </c>
      <c r="O14" s="82"/>
      <c r="P14" s="82"/>
      <c r="Q14" s="93"/>
      <c r="R14" s="81">
        <v>92</v>
      </c>
      <c r="S14" s="82"/>
      <c r="T14" s="82"/>
      <c r="U14" s="93"/>
      <c r="V14" s="81">
        <f t="shared" si="0"/>
        <v>87.25</v>
      </c>
      <c r="W14" s="82"/>
      <c r="X14" s="82"/>
      <c r="Y14" s="93"/>
      <c r="Z14" s="97" t="str">
        <f t="shared" si="1"/>
        <v>PASSED</v>
      </c>
      <c r="AA14" s="95"/>
      <c r="AB14" s="99"/>
    </row>
    <row r="15" ht="15.75" spans="1:28">
      <c r="A15" s="37">
        <v>4</v>
      </c>
      <c r="B15" s="300" t="str">
        <f>'INPUT DATA'!B15:D15</f>
        <v>BRIGOLE, ROMEL</v>
      </c>
      <c r="C15" s="38"/>
      <c r="D15" s="38"/>
      <c r="E15" s="38"/>
      <c r="F15" s="81">
        <v>70</v>
      </c>
      <c r="G15" s="82"/>
      <c r="H15" s="82"/>
      <c r="I15" s="93"/>
      <c r="J15" s="358">
        <v>70</v>
      </c>
      <c r="K15" s="82"/>
      <c r="L15" s="82"/>
      <c r="M15" s="93"/>
      <c r="N15" s="81">
        <v>70</v>
      </c>
      <c r="O15" s="82"/>
      <c r="P15" s="82"/>
      <c r="Q15" s="93"/>
      <c r="R15" s="81">
        <v>70</v>
      </c>
      <c r="S15" s="82"/>
      <c r="T15" s="82"/>
      <c r="U15" s="93"/>
      <c r="V15" s="81">
        <f t="shared" si="0"/>
        <v>70</v>
      </c>
      <c r="W15" s="82"/>
      <c r="X15" s="82"/>
      <c r="Y15" s="93"/>
      <c r="Z15" s="97" t="str">
        <f t="shared" si="1"/>
        <v>FAILED</v>
      </c>
      <c r="AA15" s="95"/>
      <c r="AB15" s="99"/>
    </row>
    <row r="16" ht="15.75" spans="1:28">
      <c r="A16" s="37">
        <v>5</v>
      </c>
      <c r="B16" s="300" t="str">
        <f>'INPUT DATA'!B16:D16</f>
        <v>BULAHAN,ROVIC L.</v>
      </c>
      <c r="C16" s="38"/>
      <c r="D16" s="38"/>
      <c r="E16" s="38"/>
      <c r="F16" s="81">
        <v>82</v>
      </c>
      <c r="G16" s="82"/>
      <c r="H16" s="82"/>
      <c r="I16" s="93"/>
      <c r="J16" s="358">
        <v>86</v>
      </c>
      <c r="K16" s="82"/>
      <c r="L16" s="82"/>
      <c r="M16" s="93"/>
      <c r="N16" s="81">
        <v>90</v>
      </c>
      <c r="O16" s="82"/>
      <c r="P16" s="82"/>
      <c r="Q16" s="93"/>
      <c r="R16" s="81">
        <v>92</v>
      </c>
      <c r="S16" s="82"/>
      <c r="T16" s="82"/>
      <c r="U16" s="93"/>
      <c r="V16" s="81">
        <f t="shared" si="0"/>
        <v>87.5</v>
      </c>
      <c r="W16" s="82"/>
      <c r="X16" s="82"/>
      <c r="Y16" s="93"/>
      <c r="Z16" s="97" t="str">
        <f t="shared" ref="Z16" si="2">IF(V16&gt;=75,"PASSED","FAILED")</f>
        <v>PASSED</v>
      </c>
      <c r="AA16" s="95"/>
      <c r="AB16" s="99"/>
    </row>
    <row r="17" ht="15.75" spans="1:28">
      <c r="A17" s="37">
        <v>6</v>
      </c>
      <c r="B17" s="300" t="str">
        <f>'INPUT DATA'!B17:D17</f>
        <v>CIJAS, ROLIE JR. A.</v>
      </c>
      <c r="C17" s="38"/>
      <c r="D17" s="38"/>
      <c r="E17" s="38"/>
      <c r="F17" s="81">
        <v>86</v>
      </c>
      <c r="G17" s="82"/>
      <c r="H17" s="82"/>
      <c r="I17" s="93"/>
      <c r="J17" s="358">
        <v>89</v>
      </c>
      <c r="K17" s="82"/>
      <c r="L17" s="82"/>
      <c r="M17" s="93"/>
      <c r="N17" s="81">
        <v>90</v>
      </c>
      <c r="O17" s="82"/>
      <c r="P17" s="82"/>
      <c r="Q17" s="93"/>
      <c r="R17" s="81">
        <v>92</v>
      </c>
      <c r="S17" s="82"/>
      <c r="T17" s="82"/>
      <c r="U17" s="93"/>
      <c r="V17" s="81">
        <f t="shared" si="0"/>
        <v>89.25</v>
      </c>
      <c r="W17" s="82"/>
      <c r="X17" s="82"/>
      <c r="Y17" s="93"/>
      <c r="Z17" s="97" t="str">
        <f t="shared" si="1"/>
        <v>PASSED</v>
      </c>
      <c r="AA17" s="95"/>
      <c r="AB17" s="99"/>
    </row>
    <row r="18" ht="15.75" spans="1:28">
      <c r="A18" s="37">
        <v>7</v>
      </c>
      <c r="B18" s="300" t="str">
        <f>'INPUT DATA'!B18:D18</f>
        <v>GARCIA, DAVE P.</v>
      </c>
      <c r="C18" s="38"/>
      <c r="D18" s="38"/>
      <c r="E18" s="38"/>
      <c r="F18" s="81">
        <v>74</v>
      </c>
      <c r="G18" s="82"/>
      <c r="H18" s="82"/>
      <c r="I18" s="93"/>
      <c r="J18" s="358">
        <v>76</v>
      </c>
      <c r="K18" s="82"/>
      <c r="L18" s="82"/>
      <c r="M18" s="93"/>
      <c r="N18" s="81">
        <v>81</v>
      </c>
      <c r="O18" s="82"/>
      <c r="P18" s="82"/>
      <c r="Q18" s="93"/>
      <c r="R18" s="81">
        <v>81</v>
      </c>
      <c r="S18" s="82"/>
      <c r="T18" s="82"/>
      <c r="U18" s="93"/>
      <c r="V18" s="81">
        <f t="shared" si="0"/>
        <v>78</v>
      </c>
      <c r="W18" s="82"/>
      <c r="X18" s="82"/>
      <c r="Y18" s="93"/>
      <c r="Z18" s="97" t="str">
        <f t="shared" si="1"/>
        <v>PASSED</v>
      </c>
      <c r="AA18" s="95"/>
      <c r="AB18" s="99"/>
    </row>
    <row r="19" ht="15.75" spans="1:28">
      <c r="A19" s="37">
        <v>8</v>
      </c>
      <c r="B19" s="300" t="str">
        <f>'INPUT DATA'!B19:D19</f>
        <v>GONZALES, JAMES A.</v>
      </c>
      <c r="C19" s="38"/>
      <c r="D19" s="38">
        <v>0</v>
      </c>
      <c r="E19" s="38"/>
      <c r="F19" s="351">
        <v>85</v>
      </c>
      <c r="G19" s="352"/>
      <c r="H19" s="352"/>
      <c r="I19" s="359"/>
      <c r="J19" s="358">
        <v>86</v>
      </c>
      <c r="K19" s="82"/>
      <c r="L19" s="82"/>
      <c r="M19" s="93"/>
      <c r="N19" s="81">
        <v>81</v>
      </c>
      <c r="O19" s="82"/>
      <c r="P19" s="82"/>
      <c r="Q19" s="93"/>
      <c r="R19" s="81">
        <v>83</v>
      </c>
      <c r="S19" s="82"/>
      <c r="T19" s="82"/>
      <c r="U19" s="93"/>
      <c r="V19" s="81">
        <f t="shared" si="0"/>
        <v>83.75</v>
      </c>
      <c r="W19" s="82"/>
      <c r="X19" s="82"/>
      <c r="Y19" s="93"/>
      <c r="Z19" s="97" t="str">
        <f t="shared" si="1"/>
        <v>PASSED</v>
      </c>
      <c r="AA19" s="95"/>
      <c r="AB19" s="99"/>
    </row>
    <row r="20" ht="15.75" spans="1:28">
      <c r="A20" s="37">
        <v>9</v>
      </c>
      <c r="B20" s="300" t="str">
        <f>'INPUT DATA'!B20:D20</f>
        <v>LAGUNA, J.B. B.</v>
      </c>
      <c r="C20" s="38"/>
      <c r="D20" s="38"/>
      <c r="E20" s="38"/>
      <c r="F20" s="353">
        <v>86</v>
      </c>
      <c r="G20" s="354"/>
      <c r="H20" s="354"/>
      <c r="I20" s="360"/>
      <c r="J20" s="354">
        <v>79</v>
      </c>
      <c r="K20" s="354"/>
      <c r="L20" s="354"/>
      <c r="M20" s="360"/>
      <c r="N20" s="353">
        <v>87</v>
      </c>
      <c r="O20" s="354"/>
      <c r="P20" s="354"/>
      <c r="Q20" s="360"/>
      <c r="R20" s="353">
        <v>85</v>
      </c>
      <c r="S20" s="354"/>
      <c r="T20" s="354"/>
      <c r="U20" s="360"/>
      <c r="V20" s="81">
        <f t="shared" si="0"/>
        <v>84.25</v>
      </c>
      <c r="W20" s="82"/>
      <c r="X20" s="82"/>
      <c r="Y20" s="93"/>
      <c r="Z20" s="97" t="str">
        <f t="shared" si="1"/>
        <v>PASSED</v>
      </c>
      <c r="AA20" s="95"/>
      <c r="AB20" s="99"/>
    </row>
    <row r="21" ht="15.75" spans="1:28">
      <c r="A21" s="37">
        <v>10</v>
      </c>
      <c r="B21" s="300" t="str">
        <f>'INPUT DATA'!B21:D21</f>
        <v>LARODA, STEVEN S.</v>
      </c>
      <c r="C21" s="38"/>
      <c r="D21" s="38"/>
      <c r="E21" s="38"/>
      <c r="F21" s="353">
        <v>76</v>
      </c>
      <c r="G21" s="354"/>
      <c r="H21" s="354"/>
      <c r="I21" s="360"/>
      <c r="J21" s="354">
        <v>77</v>
      </c>
      <c r="K21" s="354"/>
      <c r="L21" s="354"/>
      <c r="M21" s="360"/>
      <c r="N21" s="353">
        <v>75</v>
      </c>
      <c r="O21" s="354"/>
      <c r="P21" s="354"/>
      <c r="Q21" s="360"/>
      <c r="R21" s="353">
        <v>80</v>
      </c>
      <c r="S21" s="354"/>
      <c r="T21" s="354"/>
      <c r="U21" s="360"/>
      <c r="V21" s="81">
        <f t="shared" si="0"/>
        <v>77</v>
      </c>
      <c r="W21" s="82"/>
      <c r="X21" s="82"/>
      <c r="Y21" s="93"/>
      <c r="Z21" s="97" t="str">
        <f t="shared" si="1"/>
        <v>PASSED</v>
      </c>
      <c r="AA21" s="95"/>
      <c r="AB21" s="99"/>
    </row>
    <row r="22" ht="15.75" spans="1:28">
      <c r="A22" s="37">
        <v>11</v>
      </c>
      <c r="B22" s="300" t="str">
        <f>'INPUT DATA'!B22:D22</f>
        <v>MERINO, SEDRIK R.</v>
      </c>
      <c r="C22" s="38"/>
      <c r="D22" s="38">
        <v>0</v>
      </c>
      <c r="E22" s="38"/>
      <c r="F22" s="353">
        <v>76</v>
      </c>
      <c r="G22" s="354"/>
      <c r="H22" s="354"/>
      <c r="I22" s="360"/>
      <c r="J22" s="354">
        <v>70</v>
      </c>
      <c r="K22" s="354"/>
      <c r="L22" s="354"/>
      <c r="M22" s="360"/>
      <c r="N22" s="353">
        <v>70</v>
      </c>
      <c r="O22" s="354"/>
      <c r="P22" s="354"/>
      <c r="Q22" s="360"/>
      <c r="R22" s="353">
        <v>70</v>
      </c>
      <c r="S22" s="354"/>
      <c r="T22" s="354"/>
      <c r="U22" s="360"/>
      <c r="V22" s="81">
        <f t="shared" si="0"/>
        <v>71.5</v>
      </c>
      <c r="W22" s="82"/>
      <c r="X22" s="82"/>
      <c r="Y22" s="93"/>
      <c r="Z22" s="97" t="str">
        <f t="shared" si="1"/>
        <v>FAILED</v>
      </c>
      <c r="AA22" s="95"/>
      <c r="AB22" s="99"/>
    </row>
    <row r="23" ht="15.75" spans="1:28">
      <c r="A23" s="37">
        <v>12</v>
      </c>
      <c r="B23" s="300" t="str">
        <f>'INPUT DATA'!B23:D23</f>
        <v>MONTERAS, VINCENT S.</v>
      </c>
      <c r="C23" s="38"/>
      <c r="D23" s="38"/>
      <c r="E23" s="38"/>
      <c r="F23" s="353">
        <v>84</v>
      </c>
      <c r="G23" s="354"/>
      <c r="H23" s="354"/>
      <c r="I23" s="360"/>
      <c r="J23" s="354">
        <v>73</v>
      </c>
      <c r="K23" s="354"/>
      <c r="L23" s="354"/>
      <c r="M23" s="360"/>
      <c r="N23" s="353">
        <v>76</v>
      </c>
      <c r="O23" s="354"/>
      <c r="P23" s="354"/>
      <c r="Q23" s="360"/>
      <c r="R23" s="353">
        <v>83</v>
      </c>
      <c r="S23" s="354"/>
      <c r="T23" s="354"/>
      <c r="U23" s="360"/>
      <c r="V23" s="81">
        <f t="shared" si="0"/>
        <v>79</v>
      </c>
      <c r="W23" s="82"/>
      <c r="X23" s="82"/>
      <c r="Y23" s="93"/>
      <c r="Z23" s="97" t="str">
        <f t="shared" si="1"/>
        <v>PASSED</v>
      </c>
      <c r="AA23" s="95"/>
      <c r="AB23" s="99"/>
    </row>
    <row r="24" ht="15.75" spans="1:28">
      <c r="A24" s="37">
        <v>13</v>
      </c>
      <c r="B24" s="300" t="str">
        <f>'INPUT DATA'!B24:D24</f>
        <v>NACAWILI, ANDRIE L.</v>
      </c>
      <c r="C24" s="38"/>
      <c r="D24" s="38"/>
      <c r="E24" s="38"/>
      <c r="F24" s="353">
        <v>76</v>
      </c>
      <c r="G24" s="354"/>
      <c r="H24" s="354"/>
      <c r="I24" s="360"/>
      <c r="J24" s="354">
        <v>87</v>
      </c>
      <c r="K24" s="354"/>
      <c r="L24" s="354"/>
      <c r="M24" s="360"/>
      <c r="N24" s="353">
        <v>79</v>
      </c>
      <c r="O24" s="354"/>
      <c r="P24" s="354"/>
      <c r="Q24" s="360"/>
      <c r="R24" s="353">
        <v>85</v>
      </c>
      <c r="S24" s="354"/>
      <c r="T24" s="354"/>
      <c r="U24" s="360"/>
      <c r="V24" s="81">
        <f t="shared" si="0"/>
        <v>81.75</v>
      </c>
      <c r="W24" s="82"/>
      <c r="X24" s="82"/>
      <c r="Y24" s="93"/>
      <c r="Z24" s="97" t="str">
        <f t="shared" si="1"/>
        <v>PASSED</v>
      </c>
      <c r="AA24" s="95"/>
      <c r="AB24" s="99"/>
    </row>
    <row r="25" ht="15.75" spans="1:28">
      <c r="A25" s="37">
        <v>14</v>
      </c>
      <c r="B25" s="300" t="str">
        <f>'INPUT DATA'!B25:D25</f>
        <v>OLIVERIO, CYREL JAY G.</v>
      </c>
      <c r="C25" s="38"/>
      <c r="D25" s="38"/>
      <c r="E25" s="38"/>
      <c r="F25" s="353">
        <v>70</v>
      </c>
      <c r="G25" s="354"/>
      <c r="H25" s="354"/>
      <c r="I25" s="360"/>
      <c r="J25" s="354">
        <v>70</v>
      </c>
      <c r="K25" s="354"/>
      <c r="L25" s="354"/>
      <c r="M25" s="360"/>
      <c r="N25" s="353">
        <v>70</v>
      </c>
      <c r="O25" s="354"/>
      <c r="P25" s="354"/>
      <c r="Q25" s="360"/>
      <c r="R25" s="353">
        <v>70</v>
      </c>
      <c r="S25" s="354"/>
      <c r="T25" s="354"/>
      <c r="U25" s="360"/>
      <c r="V25" s="81">
        <f t="shared" si="0"/>
        <v>70</v>
      </c>
      <c r="W25" s="82"/>
      <c r="X25" s="82"/>
      <c r="Y25" s="93"/>
      <c r="Z25" s="97" t="str">
        <f t="shared" si="1"/>
        <v>FAILED</v>
      </c>
      <c r="AA25" s="95"/>
      <c r="AB25" s="99"/>
    </row>
    <row r="26" ht="15.75" spans="1:28">
      <c r="A26" s="37">
        <v>15</v>
      </c>
      <c r="B26" s="300" t="str">
        <f>'INPUT DATA'!B26:D26</f>
        <v>ORBITA,BRENN JOHN A.</v>
      </c>
      <c r="C26" s="38"/>
      <c r="D26" s="38"/>
      <c r="E26" s="38"/>
      <c r="F26" s="353">
        <v>76</v>
      </c>
      <c r="G26" s="354"/>
      <c r="H26" s="354"/>
      <c r="I26" s="360"/>
      <c r="J26" s="354">
        <v>82</v>
      </c>
      <c r="K26" s="354"/>
      <c r="L26" s="354"/>
      <c r="M26" s="360"/>
      <c r="N26" s="353">
        <v>81</v>
      </c>
      <c r="O26" s="354"/>
      <c r="P26" s="354"/>
      <c r="Q26" s="360"/>
      <c r="R26" s="353">
        <v>85</v>
      </c>
      <c r="S26" s="354"/>
      <c r="T26" s="354"/>
      <c r="U26" s="360"/>
      <c r="V26" s="81">
        <f t="shared" si="0"/>
        <v>81</v>
      </c>
      <c r="W26" s="82"/>
      <c r="X26" s="82"/>
      <c r="Y26" s="93"/>
      <c r="Z26" s="97" t="str">
        <f t="shared" si="1"/>
        <v>PASSED</v>
      </c>
      <c r="AA26" s="95"/>
      <c r="AB26" s="99"/>
    </row>
    <row r="27" ht="15.75" spans="1:28">
      <c r="A27" s="37">
        <v>16</v>
      </c>
      <c r="B27" s="300" t="str">
        <f>'INPUT DATA'!B27:D27</f>
        <v>PAINLO,SHERWIN V.</v>
      </c>
      <c r="C27" s="38"/>
      <c r="D27" s="38"/>
      <c r="E27" s="38"/>
      <c r="F27" s="353">
        <v>84</v>
      </c>
      <c r="G27" s="354"/>
      <c r="H27" s="354"/>
      <c r="I27" s="360"/>
      <c r="J27" s="354">
        <v>89</v>
      </c>
      <c r="K27" s="354"/>
      <c r="L27" s="354"/>
      <c r="M27" s="360"/>
      <c r="N27" s="353">
        <v>89</v>
      </c>
      <c r="O27" s="354"/>
      <c r="P27" s="354"/>
      <c r="Q27" s="360"/>
      <c r="R27" s="353">
        <v>92</v>
      </c>
      <c r="S27" s="354"/>
      <c r="T27" s="354"/>
      <c r="U27" s="360"/>
      <c r="V27" s="81">
        <f t="shared" si="0"/>
        <v>88.5</v>
      </c>
      <c r="W27" s="82"/>
      <c r="X27" s="82"/>
      <c r="Y27" s="93"/>
      <c r="Z27" s="97" t="str">
        <f t="shared" si="1"/>
        <v>PASSED</v>
      </c>
      <c r="AA27" s="95"/>
      <c r="AB27" s="99"/>
    </row>
    <row r="28" ht="15.75" spans="1:28">
      <c r="A28" s="37">
        <v>17</v>
      </c>
      <c r="B28" s="300" t="str">
        <f>'INPUT DATA'!B28:D28</f>
        <v>RAMIREZ, MATTEO JOHN DAVE D.</v>
      </c>
      <c r="C28" s="38"/>
      <c r="D28" s="38"/>
      <c r="E28" s="38"/>
      <c r="F28" s="353"/>
      <c r="G28" s="354"/>
      <c r="H28" s="354"/>
      <c r="I28" s="360"/>
      <c r="J28" s="354"/>
      <c r="K28" s="354"/>
      <c r="L28" s="354"/>
      <c r="M28" s="360"/>
      <c r="N28" s="353"/>
      <c r="O28" s="354"/>
      <c r="P28" s="354"/>
      <c r="Q28" s="360"/>
      <c r="R28" s="353"/>
      <c r="S28" s="354"/>
      <c r="T28" s="354"/>
      <c r="U28" s="360"/>
      <c r="V28" s="81">
        <f t="shared" si="0"/>
        <v>0</v>
      </c>
      <c r="W28" s="82"/>
      <c r="X28" s="82"/>
      <c r="Y28" s="93"/>
      <c r="Z28" s="97" t="str">
        <f t="shared" si="1"/>
        <v>FAILED</v>
      </c>
      <c r="AA28" s="95"/>
      <c r="AB28" s="99"/>
    </row>
    <row r="29" ht="15.75" spans="1:28">
      <c r="A29" s="37">
        <v>18</v>
      </c>
      <c r="B29" s="300" t="str">
        <f>'INPUT DATA'!B29:D29</f>
        <v>SIGUIRA, JASTINE B.</v>
      </c>
      <c r="C29" s="38"/>
      <c r="D29" s="38"/>
      <c r="E29" s="38"/>
      <c r="F29" s="81"/>
      <c r="G29" s="82"/>
      <c r="H29" s="82"/>
      <c r="I29" s="93"/>
      <c r="J29" s="358"/>
      <c r="K29" s="82"/>
      <c r="L29" s="82"/>
      <c r="M29" s="93"/>
      <c r="N29" s="81"/>
      <c r="O29" s="82"/>
      <c r="P29" s="82"/>
      <c r="Q29" s="93"/>
      <c r="R29" s="81"/>
      <c r="S29" s="82"/>
      <c r="T29" s="82"/>
      <c r="U29" s="93"/>
      <c r="V29" s="81">
        <f t="shared" si="0"/>
        <v>0</v>
      </c>
      <c r="W29" s="82"/>
      <c r="X29" s="82"/>
      <c r="Y29" s="93"/>
      <c r="Z29" s="97" t="str">
        <f t="shared" si="1"/>
        <v>FAILED</v>
      </c>
      <c r="AA29" s="95"/>
      <c r="AB29" s="99"/>
    </row>
    <row r="30" ht="15" spans="1:28">
      <c r="A30" s="37">
        <v>19</v>
      </c>
      <c r="B30" s="300" t="str">
        <f>'INPUT DATA'!B30:D30</f>
        <v>TAA, JHONVINZ Y.</v>
      </c>
      <c r="C30" s="38"/>
      <c r="D30" s="38"/>
      <c r="E30" s="38"/>
      <c r="F30" s="81">
        <v>76</v>
      </c>
      <c r="G30" s="82"/>
      <c r="H30" s="82"/>
      <c r="I30" s="93"/>
      <c r="J30" s="358">
        <v>73</v>
      </c>
      <c r="K30" s="82"/>
      <c r="L30" s="82"/>
      <c r="M30" s="93"/>
      <c r="N30" s="81">
        <v>75</v>
      </c>
      <c r="O30" s="82"/>
      <c r="P30" s="82"/>
      <c r="Q30" s="93"/>
      <c r="R30" s="81">
        <v>78</v>
      </c>
      <c r="S30" s="82"/>
      <c r="T30" s="82"/>
      <c r="U30" s="93"/>
      <c r="V30" s="81">
        <f t="shared" si="0"/>
        <v>75.5</v>
      </c>
      <c r="W30" s="82"/>
      <c r="X30" s="82"/>
      <c r="Y30" s="93"/>
      <c r="Z30" s="97" t="str">
        <f t="shared" si="1"/>
        <v>PASSED</v>
      </c>
      <c r="AA30" s="95"/>
      <c r="AB30" s="99"/>
    </row>
    <row r="31" ht="15" spans="1:28">
      <c r="A31" s="37">
        <v>20</v>
      </c>
      <c r="B31" s="300" t="str">
        <f>'INPUT DATA'!B31:D31</f>
        <v>ZOILO, JOHN LORENCE M.</v>
      </c>
      <c r="C31" s="38"/>
      <c r="D31" s="38"/>
      <c r="E31" s="38"/>
      <c r="F31" s="81">
        <v>79</v>
      </c>
      <c r="G31" s="82"/>
      <c r="H31" s="82"/>
      <c r="I31" s="93"/>
      <c r="J31" s="358">
        <v>80</v>
      </c>
      <c r="K31" s="82"/>
      <c r="L31" s="82"/>
      <c r="M31" s="93"/>
      <c r="N31" s="81">
        <v>82</v>
      </c>
      <c r="O31" s="82"/>
      <c r="P31" s="82"/>
      <c r="Q31" s="93"/>
      <c r="R31" s="81">
        <v>85</v>
      </c>
      <c r="S31" s="82"/>
      <c r="T31" s="82"/>
      <c r="U31" s="93"/>
      <c r="V31" s="81">
        <f t="shared" si="0"/>
        <v>81.5</v>
      </c>
      <c r="W31" s="82"/>
      <c r="X31" s="82"/>
      <c r="Y31" s="93"/>
      <c r="Z31" s="97" t="str">
        <f t="shared" si="1"/>
        <v>PASSED</v>
      </c>
      <c r="AA31" s="98"/>
      <c r="AB31" s="99"/>
    </row>
    <row r="32" ht="15.75" spans="1:28">
      <c r="A32" s="37">
        <v>21</v>
      </c>
      <c r="B32" s="286" t="s">
        <v>73</v>
      </c>
      <c r="C32" s="289"/>
      <c r="D32" s="38"/>
      <c r="E32" s="38"/>
      <c r="F32" s="81">
        <v>77</v>
      </c>
      <c r="G32" s="82"/>
      <c r="H32" s="82"/>
      <c r="I32" s="93"/>
      <c r="J32" s="358">
        <v>75</v>
      </c>
      <c r="K32" s="82"/>
      <c r="L32" s="82"/>
      <c r="M32" s="93"/>
      <c r="N32" s="81">
        <v>75</v>
      </c>
      <c r="O32" s="82"/>
      <c r="P32" s="82"/>
      <c r="Q32" s="93"/>
      <c r="R32" s="81">
        <v>78</v>
      </c>
      <c r="S32" s="82"/>
      <c r="T32" s="82"/>
      <c r="U32" s="93"/>
      <c r="V32" s="81">
        <f t="shared" si="0"/>
        <v>76.25</v>
      </c>
      <c r="W32" s="82"/>
      <c r="X32" s="82"/>
      <c r="Y32" s="93"/>
      <c r="Z32" s="97" t="str">
        <f t="shared" si="1"/>
        <v>PASSED</v>
      </c>
      <c r="AA32" s="98"/>
      <c r="AB32" s="99"/>
    </row>
    <row r="33" ht="15" hidden="1" spans="1:28">
      <c r="A33" s="37">
        <v>22</v>
      </c>
      <c r="B33" s="300">
        <f>'INPUT DATA'!B33:D33</f>
        <v>0</v>
      </c>
      <c r="C33" s="38"/>
      <c r="D33" s="38"/>
      <c r="E33" s="38"/>
      <c r="F33" s="81"/>
      <c r="G33" s="82"/>
      <c r="H33" s="82"/>
      <c r="I33" s="93"/>
      <c r="J33" s="358"/>
      <c r="K33" s="82"/>
      <c r="L33" s="82"/>
      <c r="M33" s="93"/>
      <c r="N33" s="81"/>
      <c r="O33" s="82"/>
      <c r="P33" s="82"/>
      <c r="Q33" s="93"/>
      <c r="R33" s="81"/>
      <c r="S33" s="82"/>
      <c r="T33" s="82"/>
      <c r="U33" s="93"/>
      <c r="V33" s="81">
        <f t="shared" si="0"/>
        <v>0</v>
      </c>
      <c r="W33" s="82"/>
      <c r="X33" s="82"/>
      <c r="Y33" s="93"/>
      <c r="Z33" s="97" t="str">
        <f t="shared" si="1"/>
        <v>FAILED</v>
      </c>
      <c r="AA33" s="98"/>
      <c r="AB33" s="99"/>
    </row>
    <row r="34" ht="15" hidden="1" spans="1:28">
      <c r="A34" s="37">
        <v>23</v>
      </c>
      <c r="B34" s="300">
        <f>'INPUT DATA'!B34:D34</f>
        <v>0</v>
      </c>
      <c r="C34" s="38"/>
      <c r="D34" s="38"/>
      <c r="E34" s="38"/>
      <c r="F34" s="81"/>
      <c r="G34" s="82"/>
      <c r="H34" s="82"/>
      <c r="I34" s="93"/>
      <c r="J34" s="358"/>
      <c r="K34" s="82"/>
      <c r="L34" s="82"/>
      <c r="M34" s="93"/>
      <c r="N34" s="81"/>
      <c r="O34" s="82"/>
      <c r="P34" s="82"/>
      <c r="Q34" s="93"/>
      <c r="R34" s="81"/>
      <c r="S34" s="82"/>
      <c r="T34" s="82"/>
      <c r="U34" s="93"/>
      <c r="V34" s="81">
        <f t="shared" si="0"/>
        <v>0</v>
      </c>
      <c r="W34" s="82"/>
      <c r="X34" s="82"/>
      <c r="Y34" s="93"/>
      <c r="Z34" s="97" t="str">
        <f t="shared" si="1"/>
        <v>FAILED</v>
      </c>
      <c r="AA34" s="98"/>
      <c r="AB34" s="99"/>
    </row>
    <row r="35" ht="15" hidden="1" spans="1:28">
      <c r="A35" s="37">
        <v>24</v>
      </c>
      <c r="B35" s="300">
        <f>'INPUT DATA'!B35:D35</f>
        <v>0</v>
      </c>
      <c r="C35" s="38"/>
      <c r="D35" s="38"/>
      <c r="E35" s="38"/>
      <c r="F35" s="81"/>
      <c r="G35" s="82"/>
      <c r="H35" s="82"/>
      <c r="I35" s="93"/>
      <c r="J35" s="358"/>
      <c r="K35" s="82"/>
      <c r="L35" s="82"/>
      <c r="M35" s="93"/>
      <c r="N35" s="81"/>
      <c r="O35" s="82"/>
      <c r="P35" s="82"/>
      <c r="Q35" s="93"/>
      <c r="R35" s="81"/>
      <c r="S35" s="82"/>
      <c r="T35" s="82"/>
      <c r="U35" s="93"/>
      <c r="V35" s="81">
        <f t="shared" si="0"/>
        <v>0</v>
      </c>
      <c r="W35" s="82"/>
      <c r="X35" s="82"/>
      <c r="Y35" s="93"/>
      <c r="Z35" s="97" t="str">
        <f t="shared" ref="Z35:Z36" si="3">IF(V35&gt;=75,"PASSED","FAILED")</f>
        <v>FAILED</v>
      </c>
      <c r="AA35" s="98"/>
      <c r="AB35" s="99"/>
    </row>
    <row r="36" ht="15" hidden="1" spans="1:28">
      <c r="A36" s="37">
        <v>25</v>
      </c>
      <c r="B36" s="300">
        <f>'INPUT DATA'!B36:D36</f>
        <v>0</v>
      </c>
      <c r="C36" s="38"/>
      <c r="D36" s="38"/>
      <c r="E36" s="38"/>
      <c r="F36" s="81"/>
      <c r="G36" s="82"/>
      <c r="H36" s="82"/>
      <c r="I36" s="93"/>
      <c r="J36" s="358"/>
      <c r="K36" s="82"/>
      <c r="L36" s="82"/>
      <c r="M36" s="93"/>
      <c r="N36" s="81"/>
      <c r="O36" s="82"/>
      <c r="P36" s="82"/>
      <c r="Q36" s="93"/>
      <c r="R36" s="81"/>
      <c r="S36" s="82"/>
      <c r="T36" s="82"/>
      <c r="U36" s="93"/>
      <c r="V36" s="81">
        <f t="shared" si="0"/>
        <v>0</v>
      </c>
      <c r="W36" s="82"/>
      <c r="X36" s="82"/>
      <c r="Y36" s="93"/>
      <c r="Z36" s="97" t="str">
        <f t="shared" si="3"/>
        <v>FAILED</v>
      </c>
      <c r="AA36" s="98"/>
      <c r="AB36" s="99"/>
    </row>
    <row r="37" ht="15" hidden="1" spans="1:28">
      <c r="A37" s="37">
        <v>26</v>
      </c>
      <c r="B37" s="300">
        <f>'INPUT DATA'!B37:D37</f>
        <v>0</v>
      </c>
      <c r="C37" s="38"/>
      <c r="D37" s="38"/>
      <c r="E37" s="38"/>
      <c r="F37" s="81"/>
      <c r="G37" s="82"/>
      <c r="H37" s="82"/>
      <c r="I37" s="93"/>
      <c r="J37" s="358"/>
      <c r="K37" s="82"/>
      <c r="L37" s="82"/>
      <c r="M37" s="93"/>
      <c r="N37" s="81"/>
      <c r="O37" s="82"/>
      <c r="P37" s="82"/>
      <c r="Q37" s="93"/>
      <c r="R37" s="81"/>
      <c r="S37" s="82"/>
      <c r="T37" s="82"/>
      <c r="U37" s="93"/>
      <c r="V37" s="81">
        <f t="shared" si="0"/>
        <v>0</v>
      </c>
      <c r="W37" s="82"/>
      <c r="X37" s="82"/>
      <c r="Y37" s="93"/>
      <c r="Z37" s="97" t="str">
        <f t="shared" ref="Z37:Z50" si="4">IF(V37&gt;=75,"PASSED","FAILED")</f>
        <v>FAILED</v>
      </c>
      <c r="AA37" s="98"/>
      <c r="AB37" s="99"/>
    </row>
    <row r="38" ht="15" hidden="1" spans="1:28">
      <c r="A38" s="37">
        <v>27</v>
      </c>
      <c r="B38" s="300">
        <f>'INPUT DATA'!B38:D38</f>
        <v>0</v>
      </c>
      <c r="C38" s="38"/>
      <c r="D38" s="38"/>
      <c r="E38" s="38"/>
      <c r="F38" s="81"/>
      <c r="G38" s="82"/>
      <c r="H38" s="82"/>
      <c r="I38" s="93"/>
      <c r="J38" s="358"/>
      <c r="K38" s="82"/>
      <c r="L38" s="82"/>
      <c r="M38" s="93"/>
      <c r="N38" s="81"/>
      <c r="O38" s="82"/>
      <c r="P38" s="82"/>
      <c r="Q38" s="93"/>
      <c r="R38" s="81"/>
      <c r="S38" s="82"/>
      <c r="T38" s="82"/>
      <c r="U38" s="93"/>
      <c r="V38" s="81">
        <f t="shared" ref="V38" si="5">SUM(F38,J38,N38,R38)/4</f>
        <v>0</v>
      </c>
      <c r="W38" s="82"/>
      <c r="X38" s="82"/>
      <c r="Y38" s="93"/>
      <c r="Z38" s="97" t="str">
        <f t="shared" si="4"/>
        <v>FAILED</v>
      </c>
      <c r="AA38" s="98"/>
      <c r="AB38" s="99"/>
    </row>
    <row r="39" ht="15" hidden="1" spans="1:28">
      <c r="A39" s="37">
        <v>28</v>
      </c>
      <c r="B39" s="300">
        <f>'INPUT DATA'!B39:D39</f>
        <v>0</v>
      </c>
      <c r="C39" s="38"/>
      <c r="D39" s="38"/>
      <c r="E39" s="38"/>
      <c r="F39" s="81"/>
      <c r="G39" s="82"/>
      <c r="H39" s="82"/>
      <c r="I39" s="93"/>
      <c r="J39" s="358"/>
      <c r="K39" s="82"/>
      <c r="L39" s="82"/>
      <c r="M39" s="93"/>
      <c r="N39" s="81"/>
      <c r="O39" s="82"/>
      <c r="P39" s="82"/>
      <c r="Q39" s="93"/>
      <c r="R39" s="81"/>
      <c r="S39" s="82"/>
      <c r="T39" s="82"/>
      <c r="U39" s="93"/>
      <c r="V39" s="81">
        <f t="shared" ref="V39" si="6">SUM(F39,J39,N39,R39)/4</f>
        <v>0</v>
      </c>
      <c r="W39" s="82"/>
      <c r="X39" s="82"/>
      <c r="Y39" s="93"/>
      <c r="Z39" s="97" t="str">
        <f t="shared" si="4"/>
        <v>FAILED</v>
      </c>
      <c r="AA39" s="98"/>
      <c r="AB39" s="99"/>
    </row>
    <row r="40" ht="15" hidden="1" spans="1:28">
      <c r="A40" s="37">
        <v>29</v>
      </c>
      <c r="B40" s="300">
        <f>'INPUT DATA'!B40:D40</f>
        <v>0</v>
      </c>
      <c r="C40" s="38"/>
      <c r="D40" s="38"/>
      <c r="E40" s="38"/>
      <c r="F40" s="81"/>
      <c r="G40" s="82"/>
      <c r="H40" s="82"/>
      <c r="I40" s="93"/>
      <c r="J40" s="358"/>
      <c r="K40" s="82"/>
      <c r="L40" s="82"/>
      <c r="M40" s="93"/>
      <c r="N40" s="81"/>
      <c r="O40" s="82"/>
      <c r="P40" s="82"/>
      <c r="Q40" s="93"/>
      <c r="R40" s="81"/>
      <c r="S40" s="82"/>
      <c r="T40" s="82"/>
      <c r="U40" s="93"/>
      <c r="V40" s="81">
        <f t="shared" ref="V40" si="7">SUM(F40,J40,N40,R40)/4</f>
        <v>0</v>
      </c>
      <c r="W40" s="82"/>
      <c r="X40" s="82"/>
      <c r="Y40" s="93"/>
      <c r="Z40" s="97" t="str">
        <f t="shared" si="4"/>
        <v>FAILED</v>
      </c>
      <c r="AA40" s="98"/>
      <c r="AB40" s="99"/>
    </row>
    <row r="41" ht="15" hidden="1" spans="1:28">
      <c r="A41" s="37">
        <v>30</v>
      </c>
      <c r="B41" s="300">
        <f>'INPUT DATA'!B41:D41</f>
        <v>0</v>
      </c>
      <c r="C41" s="38"/>
      <c r="D41" s="38"/>
      <c r="E41" s="38"/>
      <c r="F41" s="81"/>
      <c r="G41" s="82"/>
      <c r="H41" s="82"/>
      <c r="I41" s="93"/>
      <c r="J41" s="358"/>
      <c r="K41" s="82"/>
      <c r="L41" s="82"/>
      <c r="M41" s="93"/>
      <c r="N41" s="81"/>
      <c r="O41" s="82"/>
      <c r="P41" s="82"/>
      <c r="Q41" s="93"/>
      <c r="R41" s="81"/>
      <c r="S41" s="82"/>
      <c r="T41" s="82"/>
      <c r="U41" s="93"/>
      <c r="V41" s="81">
        <f t="shared" ref="V41" si="8">SUM(F41,J41,N41,R41)/4</f>
        <v>0</v>
      </c>
      <c r="W41" s="82"/>
      <c r="X41" s="82"/>
      <c r="Y41" s="93"/>
      <c r="Z41" s="97" t="str">
        <f t="shared" si="4"/>
        <v>FAILED</v>
      </c>
      <c r="AA41" s="98"/>
      <c r="AB41" s="99"/>
    </row>
    <row r="42" ht="15" hidden="1" spans="1:28">
      <c r="A42" s="37">
        <v>31</v>
      </c>
      <c r="B42" s="300">
        <f>'INPUT DATA'!B42:D42</f>
        <v>0</v>
      </c>
      <c r="C42" s="38"/>
      <c r="D42" s="38"/>
      <c r="E42" s="38"/>
      <c r="F42" s="81"/>
      <c r="G42" s="82"/>
      <c r="H42" s="82"/>
      <c r="I42" s="93"/>
      <c r="J42" s="358"/>
      <c r="K42" s="82"/>
      <c r="L42" s="82"/>
      <c r="M42" s="93"/>
      <c r="N42" s="81"/>
      <c r="O42" s="82"/>
      <c r="P42" s="82"/>
      <c r="Q42" s="93"/>
      <c r="R42" s="81"/>
      <c r="S42" s="82"/>
      <c r="T42" s="82"/>
      <c r="U42" s="93"/>
      <c r="V42" s="81">
        <f t="shared" ref="V42" si="9">SUM(F42,J42,N42,R42)/4</f>
        <v>0</v>
      </c>
      <c r="W42" s="82"/>
      <c r="X42" s="82"/>
      <c r="Y42" s="93"/>
      <c r="Z42" s="97" t="str">
        <f t="shared" si="4"/>
        <v>FAILED</v>
      </c>
      <c r="AA42" s="98"/>
      <c r="AB42" s="99"/>
    </row>
    <row r="43" ht="15" hidden="1" spans="1:28">
      <c r="A43" s="37">
        <v>32</v>
      </c>
      <c r="B43" s="300">
        <f>'INPUT DATA'!B43:D43</f>
        <v>0</v>
      </c>
      <c r="C43" s="38"/>
      <c r="D43" s="38"/>
      <c r="E43" s="38"/>
      <c r="F43" s="81"/>
      <c r="G43" s="82"/>
      <c r="H43" s="82"/>
      <c r="I43" s="93"/>
      <c r="J43" s="358"/>
      <c r="K43" s="82"/>
      <c r="L43" s="82"/>
      <c r="M43" s="93"/>
      <c r="N43" s="81"/>
      <c r="O43" s="82"/>
      <c r="P43" s="82"/>
      <c r="Q43" s="93"/>
      <c r="R43" s="81"/>
      <c r="S43" s="82"/>
      <c r="T43" s="82"/>
      <c r="U43" s="93"/>
      <c r="V43" s="81">
        <f t="shared" ref="V43" si="10">SUM(F43,J43,N43,R43)/4</f>
        <v>0</v>
      </c>
      <c r="W43" s="82"/>
      <c r="X43" s="82"/>
      <c r="Y43" s="93"/>
      <c r="Z43" s="97" t="str">
        <f t="shared" si="4"/>
        <v>FAILED</v>
      </c>
      <c r="AA43" s="98"/>
      <c r="AB43" s="99"/>
    </row>
    <row r="44" ht="15" hidden="1" spans="1:28">
      <c r="A44" s="37">
        <v>33</v>
      </c>
      <c r="B44" s="300">
        <f>'INPUT DATA'!B44:D44</f>
        <v>0</v>
      </c>
      <c r="C44" s="38"/>
      <c r="D44" s="38"/>
      <c r="E44" s="38"/>
      <c r="F44" s="81"/>
      <c r="G44" s="82"/>
      <c r="H44" s="82"/>
      <c r="I44" s="93"/>
      <c r="J44" s="358"/>
      <c r="K44" s="82"/>
      <c r="L44" s="82"/>
      <c r="M44" s="93"/>
      <c r="N44" s="81"/>
      <c r="O44" s="82"/>
      <c r="P44" s="82"/>
      <c r="Q44" s="93"/>
      <c r="R44" s="81"/>
      <c r="S44" s="82"/>
      <c r="T44" s="82"/>
      <c r="U44" s="93"/>
      <c r="V44" s="81">
        <f t="shared" ref="V44" si="11">SUM(F44,J44,N44,R44)/4</f>
        <v>0</v>
      </c>
      <c r="W44" s="82"/>
      <c r="X44" s="82"/>
      <c r="Y44" s="93"/>
      <c r="Z44" s="97" t="str">
        <f t="shared" si="4"/>
        <v>FAILED</v>
      </c>
      <c r="AA44" s="98"/>
      <c r="AB44" s="99"/>
    </row>
    <row r="45" ht="15" hidden="1" spans="1:28">
      <c r="A45" s="37">
        <v>34</v>
      </c>
      <c r="B45" s="300">
        <f>'INPUT DATA'!B45:D45</f>
        <v>0</v>
      </c>
      <c r="C45" s="38"/>
      <c r="D45" s="38"/>
      <c r="E45" s="38"/>
      <c r="F45" s="81"/>
      <c r="G45" s="82"/>
      <c r="H45" s="82"/>
      <c r="I45" s="93"/>
      <c r="J45" s="358"/>
      <c r="K45" s="82"/>
      <c r="L45" s="82"/>
      <c r="M45" s="93"/>
      <c r="N45" s="81"/>
      <c r="O45" s="82"/>
      <c r="P45" s="82"/>
      <c r="Q45" s="93"/>
      <c r="R45" s="81"/>
      <c r="S45" s="82"/>
      <c r="T45" s="82"/>
      <c r="U45" s="93"/>
      <c r="V45" s="81"/>
      <c r="W45" s="82"/>
      <c r="X45" s="82"/>
      <c r="Y45" s="93"/>
      <c r="Z45" s="97" t="str">
        <f t="shared" si="4"/>
        <v>FAILED</v>
      </c>
      <c r="AA45" s="98"/>
      <c r="AB45" s="99"/>
    </row>
    <row r="46" ht="15" hidden="1" spans="1:28">
      <c r="A46" s="37">
        <v>35</v>
      </c>
      <c r="B46" s="300">
        <f>'INPUT DATA'!B46:D46</f>
        <v>0</v>
      </c>
      <c r="C46" s="38"/>
      <c r="D46" s="38"/>
      <c r="E46" s="38"/>
      <c r="F46" s="81"/>
      <c r="G46" s="82"/>
      <c r="H46" s="82"/>
      <c r="I46" s="93"/>
      <c r="J46" s="358"/>
      <c r="K46" s="82"/>
      <c r="L46" s="82"/>
      <c r="M46" s="93"/>
      <c r="N46" s="81"/>
      <c r="O46" s="82"/>
      <c r="P46" s="82"/>
      <c r="Q46" s="93"/>
      <c r="R46" s="81"/>
      <c r="S46" s="82"/>
      <c r="T46" s="82"/>
      <c r="U46" s="93"/>
      <c r="V46" s="81"/>
      <c r="W46" s="82"/>
      <c r="X46" s="82"/>
      <c r="Y46" s="93"/>
      <c r="Z46" s="97" t="str">
        <f t="shared" si="4"/>
        <v>FAILED</v>
      </c>
      <c r="AA46" s="98"/>
      <c r="AB46" s="99"/>
    </row>
    <row r="47" ht="15" hidden="1" spans="1:28">
      <c r="A47" s="37">
        <v>36</v>
      </c>
      <c r="B47" s="300">
        <f>'INPUT DATA'!B47:D47</f>
        <v>0</v>
      </c>
      <c r="C47" s="38"/>
      <c r="D47" s="38"/>
      <c r="E47" s="38"/>
      <c r="F47" s="81"/>
      <c r="G47" s="82"/>
      <c r="H47" s="82"/>
      <c r="I47" s="93"/>
      <c r="J47" s="358"/>
      <c r="K47" s="82"/>
      <c r="L47" s="82"/>
      <c r="M47" s="93"/>
      <c r="N47" s="81"/>
      <c r="O47" s="82"/>
      <c r="P47" s="82"/>
      <c r="Q47" s="93"/>
      <c r="R47" s="81"/>
      <c r="S47" s="82"/>
      <c r="T47" s="82"/>
      <c r="U47" s="93"/>
      <c r="V47" s="81"/>
      <c r="W47" s="82"/>
      <c r="X47" s="82"/>
      <c r="Y47" s="93"/>
      <c r="Z47" s="97" t="str">
        <f t="shared" si="4"/>
        <v>FAILED</v>
      </c>
      <c r="AA47" s="98"/>
      <c r="AB47" s="99"/>
    </row>
    <row r="48" ht="15" hidden="1" spans="1:28">
      <c r="A48" s="37">
        <v>37</v>
      </c>
      <c r="B48" s="300">
        <f>'INPUT DATA'!B48:D48</f>
        <v>0</v>
      </c>
      <c r="C48" s="38"/>
      <c r="D48" s="38"/>
      <c r="E48" s="38"/>
      <c r="F48" s="81"/>
      <c r="G48" s="82"/>
      <c r="H48" s="82"/>
      <c r="I48" s="93"/>
      <c r="J48" s="358"/>
      <c r="K48" s="82"/>
      <c r="L48" s="82"/>
      <c r="M48" s="93"/>
      <c r="N48" s="81"/>
      <c r="O48" s="82"/>
      <c r="P48" s="82"/>
      <c r="Q48" s="93"/>
      <c r="R48" s="81"/>
      <c r="S48" s="82"/>
      <c r="T48" s="82"/>
      <c r="U48" s="93"/>
      <c r="V48" s="81"/>
      <c r="W48" s="82"/>
      <c r="X48" s="82"/>
      <c r="Y48" s="93"/>
      <c r="Z48" s="97" t="str">
        <f t="shared" si="4"/>
        <v>FAILED</v>
      </c>
      <c r="AA48" s="98"/>
      <c r="AB48" s="99"/>
    </row>
    <row r="49" ht="15" hidden="1" spans="1:28">
      <c r="A49" s="37">
        <v>38</v>
      </c>
      <c r="B49" s="300">
        <f>'INPUT DATA'!B49:D49</f>
        <v>0</v>
      </c>
      <c r="C49" s="38"/>
      <c r="D49" s="38"/>
      <c r="E49" s="38"/>
      <c r="F49" s="81"/>
      <c r="G49" s="82"/>
      <c r="H49" s="82"/>
      <c r="I49" s="93"/>
      <c r="J49" s="358"/>
      <c r="K49" s="82"/>
      <c r="L49" s="82"/>
      <c r="M49" s="93"/>
      <c r="N49" s="81"/>
      <c r="O49" s="82"/>
      <c r="P49" s="82"/>
      <c r="Q49" s="93"/>
      <c r="R49" s="81"/>
      <c r="S49" s="82"/>
      <c r="T49" s="82"/>
      <c r="U49" s="93"/>
      <c r="V49" s="81"/>
      <c r="W49" s="82"/>
      <c r="X49" s="82"/>
      <c r="Y49" s="93"/>
      <c r="Z49" s="97" t="str">
        <f t="shared" si="4"/>
        <v>FAILED</v>
      </c>
      <c r="AA49" s="98"/>
      <c r="AB49" s="99"/>
    </row>
    <row r="50" ht="15.75" hidden="1" spans="1:28">
      <c r="A50" s="37">
        <v>39</v>
      </c>
      <c r="B50" s="300">
        <f>'INPUT DATA'!B50:D50</f>
        <v>0</v>
      </c>
      <c r="C50" s="38"/>
      <c r="D50" s="38"/>
      <c r="E50" s="38"/>
      <c r="F50" s="355"/>
      <c r="G50" s="356"/>
      <c r="H50" s="356"/>
      <c r="I50" s="361"/>
      <c r="J50" s="358"/>
      <c r="K50" s="82"/>
      <c r="L50" s="82"/>
      <c r="M50" s="93"/>
      <c r="N50" s="81"/>
      <c r="O50" s="82"/>
      <c r="P50" s="82"/>
      <c r="Q50" s="93"/>
      <c r="R50" s="81"/>
      <c r="S50" s="82"/>
      <c r="T50" s="82"/>
      <c r="U50" s="93"/>
      <c r="V50" s="81"/>
      <c r="W50" s="82"/>
      <c r="X50" s="82"/>
      <c r="Y50" s="93"/>
      <c r="Z50" s="97" t="str">
        <f t="shared" si="4"/>
        <v>FAILED</v>
      </c>
      <c r="AA50" s="98"/>
      <c r="AB50" s="99"/>
    </row>
    <row r="51" ht="15.75" spans="1:28">
      <c r="A51" s="27"/>
      <c r="B51" s="28" t="s">
        <v>39</v>
      </c>
      <c r="C51" s="29"/>
      <c r="D51" s="29"/>
      <c r="E51" s="50"/>
      <c r="F51" s="308"/>
      <c r="G51" s="309"/>
      <c r="H51" s="309"/>
      <c r="I51" s="315"/>
      <c r="J51" s="308"/>
      <c r="K51" s="309"/>
      <c r="L51" s="309"/>
      <c r="M51" s="315"/>
      <c r="N51" s="308"/>
      <c r="O51" s="309"/>
      <c r="P51" s="309"/>
      <c r="Q51" s="315"/>
      <c r="R51" s="363"/>
      <c r="S51" s="364"/>
      <c r="T51" s="364"/>
      <c r="U51" s="365"/>
      <c r="V51" s="366"/>
      <c r="W51" s="367"/>
      <c r="X51" s="367"/>
      <c r="Y51" s="369"/>
      <c r="Z51" s="370" t="s">
        <v>74</v>
      </c>
      <c r="AA51" s="371"/>
      <c r="AB51" s="372"/>
    </row>
    <row r="52" ht="15" spans="1:28">
      <c r="A52" s="32">
        <v>1</v>
      </c>
      <c r="B52" s="300" t="str">
        <f>'INPUT DATA'!B53:D53</f>
        <v>ANGCOY, PRINCESS NAILLE T.</v>
      </c>
      <c r="C52" s="34"/>
      <c r="D52" s="34"/>
      <c r="E52" s="53"/>
      <c r="F52" s="81">
        <v>87</v>
      </c>
      <c r="G52" s="82"/>
      <c r="H52" s="82"/>
      <c r="I52" s="93"/>
      <c r="J52" s="81">
        <v>80</v>
      </c>
      <c r="K52" s="82"/>
      <c r="L52" s="82"/>
      <c r="M52" s="93"/>
      <c r="N52" s="81">
        <v>85</v>
      </c>
      <c r="O52" s="82"/>
      <c r="P52" s="82"/>
      <c r="Q52" s="93"/>
      <c r="R52" s="81">
        <v>90</v>
      </c>
      <c r="S52" s="82"/>
      <c r="T52" s="82"/>
      <c r="U52" s="93"/>
      <c r="V52" s="81">
        <f>SUM(F52,J52,N52,R52)/4</f>
        <v>85.5</v>
      </c>
      <c r="W52" s="82"/>
      <c r="X52" s="82"/>
      <c r="Y52" s="93"/>
      <c r="Z52" s="97" t="str">
        <f>IF(V52&gt;=75,"PASSED","FAILED")</f>
        <v>PASSED</v>
      </c>
      <c r="AA52" s="98"/>
      <c r="AB52" s="99"/>
    </row>
    <row r="53" ht="15" spans="1:28">
      <c r="A53" s="37">
        <v>2</v>
      </c>
      <c r="B53" s="300" t="str">
        <f>'INPUT DATA'!B54:D54</f>
        <v>BIMOS, SHEILLA KATE O.</v>
      </c>
      <c r="C53" s="38"/>
      <c r="D53" s="38"/>
      <c r="E53" s="41"/>
      <c r="F53" s="81">
        <v>85</v>
      </c>
      <c r="G53" s="82"/>
      <c r="H53" s="82"/>
      <c r="I53" s="93"/>
      <c r="J53" s="81">
        <v>86</v>
      </c>
      <c r="K53" s="82"/>
      <c r="L53" s="82"/>
      <c r="M53" s="93"/>
      <c r="N53" s="81">
        <v>90</v>
      </c>
      <c r="O53" s="82"/>
      <c r="P53" s="82"/>
      <c r="Q53" s="93"/>
      <c r="R53" s="81">
        <v>92</v>
      </c>
      <c r="S53" s="82"/>
      <c r="T53" s="82"/>
      <c r="U53" s="93"/>
      <c r="V53" s="81">
        <f t="shared" ref="V53:V76" si="12">SUM(F53,J53,N53,R53)/4</f>
        <v>88.25</v>
      </c>
      <c r="W53" s="82"/>
      <c r="X53" s="82"/>
      <c r="Y53" s="93"/>
      <c r="Z53" s="97" t="str">
        <f t="shared" ref="Z53:Z68" si="13">IF(V53&gt;=75,"PASSED","FAILED")</f>
        <v>PASSED</v>
      </c>
      <c r="AA53" s="98"/>
      <c r="AB53" s="99"/>
    </row>
    <row r="54" ht="15" spans="1:28">
      <c r="A54" s="37">
        <v>3</v>
      </c>
      <c r="B54" s="300" t="str">
        <f>'INPUT DATA'!B55:D55</f>
        <v>BONGABONG, DWEYN ZHAIRA A.</v>
      </c>
      <c r="C54" s="38"/>
      <c r="D54" s="38"/>
      <c r="E54" s="41"/>
      <c r="F54" s="81">
        <v>92</v>
      </c>
      <c r="G54" s="82"/>
      <c r="H54" s="82"/>
      <c r="I54" s="93"/>
      <c r="J54" s="81">
        <v>92</v>
      </c>
      <c r="K54" s="82"/>
      <c r="L54" s="82"/>
      <c r="M54" s="93"/>
      <c r="N54" s="81">
        <v>89</v>
      </c>
      <c r="O54" s="82"/>
      <c r="P54" s="82"/>
      <c r="Q54" s="93"/>
      <c r="R54" s="81">
        <v>91</v>
      </c>
      <c r="S54" s="82"/>
      <c r="T54" s="82"/>
      <c r="U54" s="93"/>
      <c r="V54" s="81">
        <f t="shared" si="12"/>
        <v>91</v>
      </c>
      <c r="W54" s="82"/>
      <c r="X54" s="82"/>
      <c r="Y54" s="93"/>
      <c r="Z54" s="97" t="str">
        <f t="shared" si="13"/>
        <v>PASSED</v>
      </c>
      <c r="AA54" s="98"/>
      <c r="AB54" s="99"/>
    </row>
    <row r="55" ht="15" spans="1:28">
      <c r="A55" s="37">
        <v>4</v>
      </c>
      <c r="B55" s="300" t="str">
        <f>'INPUT DATA'!B56:D56</f>
        <v>CABEL, LOURENE A.</v>
      </c>
      <c r="C55" s="38"/>
      <c r="D55" s="38"/>
      <c r="E55" s="41"/>
      <c r="F55" s="81">
        <v>90</v>
      </c>
      <c r="G55" s="82"/>
      <c r="H55" s="82"/>
      <c r="I55" s="93"/>
      <c r="J55" s="81">
        <v>93</v>
      </c>
      <c r="K55" s="82"/>
      <c r="L55" s="82"/>
      <c r="M55" s="93"/>
      <c r="N55" s="81">
        <v>89</v>
      </c>
      <c r="O55" s="82"/>
      <c r="P55" s="82"/>
      <c r="Q55" s="93"/>
      <c r="R55" s="81">
        <v>93</v>
      </c>
      <c r="S55" s="82"/>
      <c r="T55" s="82"/>
      <c r="U55" s="93"/>
      <c r="V55" s="81">
        <f t="shared" si="12"/>
        <v>91.25</v>
      </c>
      <c r="W55" s="82"/>
      <c r="X55" s="82"/>
      <c r="Y55" s="93"/>
      <c r="Z55" s="97" t="str">
        <f t="shared" si="13"/>
        <v>PASSED</v>
      </c>
      <c r="AA55" s="98"/>
      <c r="AB55" s="99"/>
    </row>
    <row r="56" ht="15" spans="1:28">
      <c r="A56" s="37">
        <v>5</v>
      </c>
      <c r="B56" s="300" t="str">
        <f>'INPUT DATA'!B57:D57</f>
        <v>CAMIGAO, DHENISE CLARE V.</v>
      </c>
      <c r="C56" s="38"/>
      <c r="D56" s="38"/>
      <c r="E56" s="41"/>
      <c r="F56" s="81">
        <v>84</v>
      </c>
      <c r="G56" s="82"/>
      <c r="H56" s="82"/>
      <c r="I56" s="93"/>
      <c r="J56" s="81">
        <v>78</v>
      </c>
      <c r="K56" s="82"/>
      <c r="L56" s="82"/>
      <c r="M56" s="93"/>
      <c r="N56" s="81">
        <v>78</v>
      </c>
      <c r="O56" s="82"/>
      <c r="P56" s="82"/>
      <c r="Q56" s="93"/>
      <c r="R56" s="81">
        <v>83</v>
      </c>
      <c r="S56" s="82"/>
      <c r="T56" s="82"/>
      <c r="U56" s="93"/>
      <c r="V56" s="81">
        <f t="shared" si="12"/>
        <v>80.75</v>
      </c>
      <c r="W56" s="82"/>
      <c r="X56" s="82"/>
      <c r="Y56" s="93"/>
      <c r="Z56" s="97" t="str">
        <f t="shared" si="13"/>
        <v>PASSED</v>
      </c>
      <c r="AA56" s="98"/>
      <c r="AB56" s="99"/>
    </row>
    <row r="57" ht="15" spans="1:28">
      <c r="A57" s="37">
        <v>6</v>
      </c>
      <c r="B57" s="300" t="str">
        <f>'INPUT DATA'!B58:D58</f>
        <v>CARISMA, NATHALIA MAE M.</v>
      </c>
      <c r="C57" s="38"/>
      <c r="D57" s="38"/>
      <c r="E57" s="41"/>
      <c r="F57" s="81">
        <v>85</v>
      </c>
      <c r="G57" s="82"/>
      <c r="H57" s="82"/>
      <c r="I57" s="93"/>
      <c r="J57" s="81">
        <v>87</v>
      </c>
      <c r="K57" s="82"/>
      <c r="L57" s="82"/>
      <c r="M57" s="93"/>
      <c r="N57" s="81">
        <v>84</v>
      </c>
      <c r="O57" s="82"/>
      <c r="P57" s="82"/>
      <c r="Q57" s="93"/>
      <c r="R57" s="81">
        <v>86</v>
      </c>
      <c r="S57" s="82"/>
      <c r="T57" s="82"/>
      <c r="U57" s="93"/>
      <c r="V57" s="81">
        <f t="shared" si="12"/>
        <v>85.5</v>
      </c>
      <c r="W57" s="82"/>
      <c r="X57" s="82"/>
      <c r="Y57" s="93"/>
      <c r="Z57" s="97" t="str">
        <f t="shared" si="13"/>
        <v>PASSED</v>
      </c>
      <c r="AA57" s="98"/>
      <c r="AB57" s="99"/>
    </row>
    <row r="58" ht="15" spans="1:28">
      <c r="A58" s="37">
        <v>7</v>
      </c>
      <c r="B58" s="300" t="str">
        <f>'INPUT DATA'!B59:D59</f>
        <v>CLARO, REANZ P.</v>
      </c>
      <c r="C58" s="38"/>
      <c r="D58" s="38"/>
      <c r="E58" s="41"/>
      <c r="F58" s="81">
        <v>84</v>
      </c>
      <c r="G58" s="82"/>
      <c r="H58" s="82"/>
      <c r="I58" s="93"/>
      <c r="J58" s="81">
        <v>78</v>
      </c>
      <c r="K58" s="82"/>
      <c r="L58" s="82"/>
      <c r="M58" s="93"/>
      <c r="N58" s="81">
        <v>81</v>
      </c>
      <c r="O58" s="82"/>
      <c r="P58" s="82"/>
      <c r="Q58" s="93"/>
      <c r="R58" s="81">
        <v>87</v>
      </c>
      <c r="S58" s="82"/>
      <c r="T58" s="82"/>
      <c r="U58" s="93"/>
      <c r="V58" s="81">
        <f t="shared" si="12"/>
        <v>82.5</v>
      </c>
      <c r="W58" s="82"/>
      <c r="X58" s="82"/>
      <c r="Y58" s="93"/>
      <c r="Z58" s="97" t="str">
        <f t="shared" si="13"/>
        <v>PASSED</v>
      </c>
      <c r="AA58" s="98"/>
      <c r="AB58" s="99"/>
    </row>
    <row r="59" ht="15" spans="1:28">
      <c r="A59" s="37">
        <v>8</v>
      </c>
      <c r="B59" s="300" t="str">
        <f>'INPUT DATA'!B60:D60</f>
        <v>FRANCISCO, YSABELLA BEATRICE B.</v>
      </c>
      <c r="C59" s="38"/>
      <c r="D59" s="38"/>
      <c r="E59" s="41"/>
      <c r="F59" s="81">
        <v>92</v>
      </c>
      <c r="G59" s="82"/>
      <c r="H59" s="82"/>
      <c r="I59" s="93"/>
      <c r="J59" s="81">
        <v>93</v>
      </c>
      <c r="K59" s="82"/>
      <c r="L59" s="82"/>
      <c r="M59" s="93"/>
      <c r="N59" s="81">
        <v>92</v>
      </c>
      <c r="O59" s="82"/>
      <c r="P59" s="82"/>
      <c r="Q59" s="93"/>
      <c r="R59" s="81">
        <v>94</v>
      </c>
      <c r="S59" s="82"/>
      <c r="T59" s="82"/>
      <c r="U59" s="93"/>
      <c r="V59" s="81">
        <f t="shared" si="12"/>
        <v>92.75</v>
      </c>
      <c r="W59" s="82"/>
      <c r="X59" s="82"/>
      <c r="Y59" s="93"/>
      <c r="Z59" s="97" t="str">
        <f t="shared" si="13"/>
        <v>PASSED</v>
      </c>
      <c r="AA59" s="98"/>
      <c r="AB59" s="99"/>
    </row>
    <row r="60" ht="15" spans="1:28">
      <c r="A60" s="37">
        <v>9</v>
      </c>
      <c r="B60" s="300" t="str">
        <f>'INPUT DATA'!B61:D61</f>
        <v>GALDO, ALYSSA RHIAN P.</v>
      </c>
      <c r="C60" s="38"/>
      <c r="D60" s="38"/>
      <c r="E60" s="41"/>
      <c r="F60" s="81"/>
      <c r="G60" s="82"/>
      <c r="H60" s="82"/>
      <c r="I60" s="93"/>
      <c r="J60" s="81"/>
      <c r="K60" s="82"/>
      <c r="L60" s="82"/>
      <c r="M60" s="93"/>
      <c r="N60" s="81"/>
      <c r="O60" s="82"/>
      <c r="P60" s="82"/>
      <c r="Q60" s="93"/>
      <c r="R60" s="81"/>
      <c r="S60" s="82"/>
      <c r="T60" s="82"/>
      <c r="U60" s="93"/>
      <c r="V60" s="81">
        <f t="shared" si="12"/>
        <v>0</v>
      </c>
      <c r="W60" s="82"/>
      <c r="X60" s="82"/>
      <c r="Y60" s="93"/>
      <c r="Z60" s="97" t="str">
        <f t="shared" si="13"/>
        <v>FAILED</v>
      </c>
      <c r="AA60" s="98"/>
      <c r="AB60" s="99"/>
    </row>
    <row r="61" ht="15" spans="1:28">
      <c r="A61" s="37">
        <v>10</v>
      </c>
      <c r="B61" s="300" t="str">
        <f>'INPUT DATA'!B62:D62</f>
        <v>HURAÑO, RIOMI M.</v>
      </c>
      <c r="C61" s="38"/>
      <c r="D61" s="38"/>
      <c r="E61" s="41"/>
      <c r="F61" s="81">
        <v>83</v>
      </c>
      <c r="G61" s="82"/>
      <c r="H61" s="82"/>
      <c r="I61" s="93"/>
      <c r="J61" s="81">
        <v>81</v>
      </c>
      <c r="K61" s="82"/>
      <c r="L61" s="82"/>
      <c r="M61" s="93"/>
      <c r="N61" s="81">
        <v>84</v>
      </c>
      <c r="O61" s="82"/>
      <c r="P61" s="82"/>
      <c r="Q61" s="93"/>
      <c r="R61" s="81">
        <v>87</v>
      </c>
      <c r="S61" s="82"/>
      <c r="T61" s="82"/>
      <c r="U61" s="93"/>
      <c r="V61" s="81">
        <f t="shared" si="12"/>
        <v>83.75</v>
      </c>
      <c r="W61" s="82"/>
      <c r="X61" s="82"/>
      <c r="Y61" s="93"/>
      <c r="Z61" s="97" t="str">
        <f t="shared" si="13"/>
        <v>PASSED</v>
      </c>
      <c r="AA61" s="98"/>
      <c r="AB61" s="99"/>
    </row>
    <row r="62" ht="15" spans="1:28">
      <c r="A62" s="37">
        <v>11</v>
      </c>
      <c r="B62" s="300" t="str">
        <f>'INPUT DATA'!B63:D63</f>
        <v>LAGUNA, WELLAIZA O.</v>
      </c>
      <c r="C62" s="38"/>
      <c r="D62" s="38"/>
      <c r="E62" s="41"/>
      <c r="F62" s="81"/>
      <c r="G62" s="82"/>
      <c r="H62" s="82"/>
      <c r="I62" s="93"/>
      <c r="J62" s="81"/>
      <c r="K62" s="82"/>
      <c r="L62" s="82"/>
      <c r="M62" s="93"/>
      <c r="N62" s="81"/>
      <c r="O62" s="82"/>
      <c r="P62" s="82"/>
      <c r="Q62" s="93"/>
      <c r="R62" s="81"/>
      <c r="S62" s="82"/>
      <c r="T62" s="82"/>
      <c r="U62" s="93"/>
      <c r="V62" s="81">
        <f t="shared" si="12"/>
        <v>0</v>
      </c>
      <c r="W62" s="82"/>
      <c r="X62" s="82"/>
      <c r="Y62" s="93"/>
      <c r="Z62" s="97" t="str">
        <f t="shared" si="13"/>
        <v>FAILED</v>
      </c>
      <c r="AA62" s="98"/>
      <c r="AB62" s="99"/>
    </row>
    <row r="63" ht="15" spans="1:28">
      <c r="A63" s="37">
        <v>12</v>
      </c>
      <c r="B63" s="300" t="str">
        <f>'INPUT DATA'!B64:D64</f>
        <v>LAZAGA, PRINCESS JEAN O.</v>
      </c>
      <c r="C63" s="38"/>
      <c r="D63" s="38"/>
      <c r="E63" s="41"/>
      <c r="F63" s="81">
        <v>83</v>
      </c>
      <c r="G63" s="82"/>
      <c r="H63" s="82"/>
      <c r="I63" s="93"/>
      <c r="J63" s="81">
        <v>84</v>
      </c>
      <c r="K63" s="82"/>
      <c r="L63" s="82"/>
      <c r="M63" s="93"/>
      <c r="N63" s="81">
        <v>88</v>
      </c>
      <c r="O63" s="82"/>
      <c r="P63" s="82"/>
      <c r="Q63" s="93"/>
      <c r="R63" s="81">
        <v>89</v>
      </c>
      <c r="S63" s="82"/>
      <c r="T63" s="82"/>
      <c r="U63" s="93"/>
      <c r="V63" s="81">
        <f t="shared" si="12"/>
        <v>86</v>
      </c>
      <c r="W63" s="82"/>
      <c r="X63" s="82"/>
      <c r="Y63" s="93"/>
      <c r="Z63" s="97" t="str">
        <f t="shared" si="13"/>
        <v>PASSED</v>
      </c>
      <c r="AA63" s="98"/>
      <c r="AB63" s="99"/>
    </row>
    <row r="64" ht="15" spans="1:28">
      <c r="A64" s="37">
        <v>13</v>
      </c>
      <c r="B64" s="300" t="str">
        <f>'INPUT DATA'!B65:D65</f>
        <v>LIBRES, MIKYLLA B.</v>
      </c>
      <c r="C64" s="38"/>
      <c r="D64" s="38"/>
      <c r="E64" s="41"/>
      <c r="F64" s="81">
        <v>81</v>
      </c>
      <c r="G64" s="82"/>
      <c r="H64" s="82"/>
      <c r="I64" s="93"/>
      <c r="J64" s="81">
        <v>77</v>
      </c>
      <c r="K64" s="82"/>
      <c r="L64" s="82"/>
      <c r="M64" s="93"/>
      <c r="N64" s="81">
        <v>75</v>
      </c>
      <c r="O64" s="82"/>
      <c r="P64" s="82"/>
      <c r="Q64" s="93"/>
      <c r="R64" s="81">
        <v>85</v>
      </c>
      <c r="S64" s="82"/>
      <c r="T64" s="82"/>
      <c r="U64" s="93"/>
      <c r="V64" s="81">
        <f t="shared" si="12"/>
        <v>79.5</v>
      </c>
      <c r="W64" s="82"/>
      <c r="X64" s="82"/>
      <c r="Y64" s="93"/>
      <c r="Z64" s="97" t="str">
        <f t="shared" si="13"/>
        <v>PASSED</v>
      </c>
      <c r="AA64" s="98"/>
      <c r="AB64" s="99"/>
    </row>
    <row r="65" ht="15" spans="1:28">
      <c r="A65" s="37">
        <v>14</v>
      </c>
      <c r="B65" s="300" t="str">
        <f>'INPUT DATA'!B66:D66</f>
        <v>LIM, LENNIE GRACE S.</v>
      </c>
      <c r="C65" s="38"/>
      <c r="D65" s="38"/>
      <c r="E65" s="41"/>
      <c r="F65" s="81">
        <v>86</v>
      </c>
      <c r="G65" s="82"/>
      <c r="H65" s="82"/>
      <c r="I65" s="93"/>
      <c r="J65" s="81">
        <v>82</v>
      </c>
      <c r="K65" s="82"/>
      <c r="L65" s="82"/>
      <c r="M65" s="93"/>
      <c r="N65" s="81">
        <v>87</v>
      </c>
      <c r="O65" s="82"/>
      <c r="P65" s="82"/>
      <c r="Q65" s="93"/>
      <c r="R65" s="81">
        <v>88</v>
      </c>
      <c r="S65" s="82"/>
      <c r="T65" s="82"/>
      <c r="U65" s="93"/>
      <c r="V65" s="81">
        <f t="shared" si="12"/>
        <v>85.75</v>
      </c>
      <c r="W65" s="82"/>
      <c r="X65" s="82"/>
      <c r="Y65" s="93"/>
      <c r="Z65" s="97" t="str">
        <f t="shared" si="13"/>
        <v>PASSED</v>
      </c>
      <c r="AA65" s="98"/>
      <c r="AB65" s="99"/>
    </row>
    <row r="66" ht="15" spans="1:28">
      <c r="A66" s="37">
        <v>15</v>
      </c>
      <c r="B66" s="300" t="str">
        <f>'INPUT DATA'!B67:D67</f>
        <v>MASAYON, RHEA JANE L.</v>
      </c>
      <c r="C66" s="38"/>
      <c r="D66" s="38"/>
      <c r="E66" s="41"/>
      <c r="F66" s="81">
        <v>78</v>
      </c>
      <c r="G66" s="82"/>
      <c r="H66" s="82"/>
      <c r="I66" s="93"/>
      <c r="J66" s="81">
        <v>73</v>
      </c>
      <c r="K66" s="82"/>
      <c r="L66" s="82"/>
      <c r="M66" s="93"/>
      <c r="N66" s="81">
        <v>75</v>
      </c>
      <c r="O66" s="82"/>
      <c r="P66" s="82"/>
      <c r="Q66" s="93"/>
      <c r="R66" s="81">
        <v>81</v>
      </c>
      <c r="S66" s="82"/>
      <c r="T66" s="82"/>
      <c r="U66" s="93"/>
      <c r="V66" s="81">
        <f t="shared" si="12"/>
        <v>76.75</v>
      </c>
      <c r="W66" s="82"/>
      <c r="X66" s="82"/>
      <c r="Y66" s="93"/>
      <c r="Z66" s="97" t="str">
        <f t="shared" si="13"/>
        <v>PASSED</v>
      </c>
      <c r="AA66" s="98"/>
      <c r="AB66" s="99"/>
    </row>
    <row r="67" ht="15" spans="1:28">
      <c r="A67" s="37">
        <v>16</v>
      </c>
      <c r="B67" s="300" t="str">
        <f>'INPUT DATA'!B68:D68</f>
        <v>MORANCIL, JENEVI A.</v>
      </c>
      <c r="C67" s="38"/>
      <c r="D67" s="38"/>
      <c r="E67" s="41"/>
      <c r="F67" s="81">
        <v>85</v>
      </c>
      <c r="G67" s="82"/>
      <c r="H67" s="82"/>
      <c r="I67" s="93"/>
      <c r="J67" s="81">
        <v>89</v>
      </c>
      <c r="K67" s="82"/>
      <c r="L67" s="82"/>
      <c r="M67" s="93"/>
      <c r="N67" s="81">
        <v>86</v>
      </c>
      <c r="O67" s="82"/>
      <c r="P67" s="82"/>
      <c r="Q67" s="93"/>
      <c r="R67" s="81">
        <v>89</v>
      </c>
      <c r="S67" s="82"/>
      <c r="T67" s="82"/>
      <c r="U67" s="93"/>
      <c r="V67" s="81">
        <f t="shared" si="12"/>
        <v>87.25</v>
      </c>
      <c r="W67" s="82"/>
      <c r="X67" s="82"/>
      <c r="Y67" s="93"/>
      <c r="Z67" s="97" t="str">
        <f t="shared" si="13"/>
        <v>PASSED</v>
      </c>
      <c r="AA67" s="98"/>
      <c r="AB67" s="99"/>
    </row>
    <row r="68" ht="15" spans="1:28">
      <c r="A68" s="37">
        <v>17</v>
      </c>
      <c r="B68" s="300" t="str">
        <f>'INPUT DATA'!B69:D69</f>
        <v>PATRICIO, MICHA ELLA P.</v>
      </c>
      <c r="C68" s="38"/>
      <c r="D68" s="38"/>
      <c r="E68" s="41"/>
      <c r="F68" s="81">
        <v>74</v>
      </c>
      <c r="G68" s="82"/>
      <c r="H68" s="82"/>
      <c r="I68" s="93"/>
      <c r="J68" s="81">
        <v>72</v>
      </c>
      <c r="K68" s="82"/>
      <c r="L68" s="82"/>
      <c r="M68" s="93"/>
      <c r="N68" s="81">
        <v>77</v>
      </c>
      <c r="O68" s="82"/>
      <c r="P68" s="82"/>
      <c r="Q68" s="93"/>
      <c r="R68" s="81">
        <v>81</v>
      </c>
      <c r="S68" s="82"/>
      <c r="T68" s="82"/>
      <c r="U68" s="93"/>
      <c r="V68" s="81">
        <f t="shared" si="12"/>
        <v>76</v>
      </c>
      <c r="W68" s="82"/>
      <c r="X68" s="82"/>
      <c r="Y68" s="93"/>
      <c r="Z68" s="97" t="str">
        <f t="shared" si="13"/>
        <v>PASSED</v>
      </c>
      <c r="AA68" s="98"/>
      <c r="AB68" s="99"/>
    </row>
    <row r="69" ht="15" spans="1:28">
      <c r="A69" s="37">
        <v>18</v>
      </c>
      <c r="B69" s="300" t="str">
        <f>'INPUT DATA'!B70:D70</f>
        <v>PELINGON , ASHLEY C.</v>
      </c>
      <c r="C69" s="38"/>
      <c r="D69" s="38"/>
      <c r="E69" s="41"/>
      <c r="F69" s="81">
        <v>81</v>
      </c>
      <c r="G69" s="82"/>
      <c r="H69" s="82"/>
      <c r="I69" s="93"/>
      <c r="J69" s="81">
        <v>80</v>
      </c>
      <c r="K69" s="82"/>
      <c r="L69" s="82"/>
      <c r="M69" s="93"/>
      <c r="N69" s="81">
        <v>76</v>
      </c>
      <c r="O69" s="82"/>
      <c r="P69" s="82"/>
      <c r="Q69" s="93"/>
      <c r="R69" s="81">
        <v>83</v>
      </c>
      <c r="S69" s="82"/>
      <c r="T69" s="82"/>
      <c r="U69" s="93"/>
      <c r="V69" s="81">
        <f t="shared" si="12"/>
        <v>80</v>
      </c>
      <c r="W69" s="82"/>
      <c r="X69" s="82"/>
      <c r="Y69" s="93"/>
      <c r="Z69" s="97" t="str">
        <f t="shared" ref="Z69:Z81" si="14">IF(V69&gt;=75,"PASSED","FAILED")</f>
        <v>PASSED</v>
      </c>
      <c r="AA69" s="98"/>
      <c r="AB69" s="99"/>
    </row>
    <row r="70" ht="15" spans="1:28">
      <c r="A70" s="37">
        <v>19</v>
      </c>
      <c r="B70" s="300" t="str">
        <f>'INPUT DATA'!B71:D71</f>
        <v>PEREZ, MERCY JEAN T.</v>
      </c>
      <c r="C70" s="38"/>
      <c r="D70" s="38"/>
      <c r="E70" s="41"/>
      <c r="F70" s="81">
        <v>75</v>
      </c>
      <c r="G70" s="82"/>
      <c r="H70" s="82"/>
      <c r="I70" s="93"/>
      <c r="J70" s="81">
        <v>73</v>
      </c>
      <c r="K70" s="82"/>
      <c r="L70" s="82"/>
      <c r="M70" s="93"/>
      <c r="N70" s="81">
        <v>74</v>
      </c>
      <c r="O70" s="82"/>
      <c r="P70" s="82"/>
      <c r="Q70" s="93"/>
      <c r="R70" s="81">
        <v>81</v>
      </c>
      <c r="S70" s="82"/>
      <c r="T70" s="82"/>
      <c r="U70" s="93"/>
      <c r="V70" s="81">
        <f t="shared" si="12"/>
        <v>75.75</v>
      </c>
      <c r="W70" s="82"/>
      <c r="X70" s="82"/>
      <c r="Y70" s="93"/>
      <c r="Z70" s="97" t="str">
        <f t="shared" si="14"/>
        <v>PASSED</v>
      </c>
      <c r="AA70" s="98"/>
      <c r="AB70" s="99"/>
    </row>
    <row r="71" ht="15" spans="1:28">
      <c r="A71" s="37">
        <v>20</v>
      </c>
      <c r="B71" s="300" t="str">
        <f>'INPUT DATA'!B72:D72</f>
        <v>PINGOT, RHEA L.</v>
      </c>
      <c r="C71" s="38"/>
      <c r="D71" s="38"/>
      <c r="E71" s="41"/>
      <c r="F71" s="81">
        <v>70</v>
      </c>
      <c r="G71" s="82"/>
      <c r="H71" s="82"/>
      <c r="I71" s="93"/>
      <c r="J71" s="81">
        <v>70</v>
      </c>
      <c r="K71" s="82"/>
      <c r="L71" s="82"/>
      <c r="M71" s="93"/>
      <c r="N71" s="81">
        <v>70</v>
      </c>
      <c r="O71" s="82"/>
      <c r="P71" s="82"/>
      <c r="Q71" s="93"/>
      <c r="R71" s="81">
        <v>70</v>
      </c>
      <c r="S71" s="82"/>
      <c r="T71" s="82"/>
      <c r="U71" s="93"/>
      <c r="V71" s="81">
        <f t="shared" si="12"/>
        <v>70</v>
      </c>
      <c r="W71" s="82"/>
      <c r="X71" s="82"/>
      <c r="Y71" s="93"/>
      <c r="Z71" s="97" t="str">
        <f t="shared" si="14"/>
        <v>FAILED</v>
      </c>
      <c r="AA71" s="98"/>
      <c r="AB71" s="99"/>
    </row>
    <row r="72" ht="15" spans="1:28">
      <c r="A72" s="37">
        <v>21</v>
      </c>
      <c r="B72" s="300" t="str">
        <f>'INPUT DATA'!B73:D73</f>
        <v>QUILAT, FERRA MAE</v>
      </c>
      <c r="C72" s="38"/>
      <c r="D72" s="38"/>
      <c r="E72" s="41"/>
      <c r="F72" s="81">
        <v>74</v>
      </c>
      <c r="G72" s="82"/>
      <c r="H72" s="82"/>
      <c r="I72" s="93"/>
      <c r="J72" s="81">
        <v>75</v>
      </c>
      <c r="K72" s="82"/>
      <c r="L72" s="82"/>
      <c r="M72" s="93"/>
      <c r="N72" s="81">
        <v>77</v>
      </c>
      <c r="O72" s="82"/>
      <c r="P72" s="82"/>
      <c r="Q72" s="93"/>
      <c r="R72" s="81">
        <v>78</v>
      </c>
      <c r="S72" s="82"/>
      <c r="T72" s="82"/>
      <c r="U72" s="93"/>
      <c r="V72" s="81">
        <f t="shared" si="12"/>
        <v>76</v>
      </c>
      <c r="W72" s="82"/>
      <c r="X72" s="82"/>
      <c r="Y72" s="93"/>
      <c r="Z72" s="97" t="str">
        <f t="shared" si="14"/>
        <v>PASSED</v>
      </c>
      <c r="AA72" s="98"/>
      <c r="AB72" s="99"/>
    </row>
    <row r="73" ht="15" spans="1:28">
      <c r="A73" s="37">
        <v>22</v>
      </c>
      <c r="B73" s="300" t="str">
        <f>'INPUT DATA'!B74:D74</f>
        <v>ROSALES, RYZA MAE C.</v>
      </c>
      <c r="C73" s="38"/>
      <c r="D73" s="38"/>
      <c r="E73" s="41"/>
      <c r="F73" s="81">
        <v>88</v>
      </c>
      <c r="G73" s="82"/>
      <c r="H73" s="82"/>
      <c r="I73" s="93"/>
      <c r="J73" s="81">
        <v>91</v>
      </c>
      <c r="K73" s="82"/>
      <c r="L73" s="82"/>
      <c r="M73" s="93"/>
      <c r="N73" s="81">
        <v>87</v>
      </c>
      <c r="O73" s="82"/>
      <c r="P73" s="82"/>
      <c r="Q73" s="93"/>
      <c r="R73" s="81">
        <v>90</v>
      </c>
      <c r="S73" s="82"/>
      <c r="T73" s="82"/>
      <c r="U73" s="93"/>
      <c r="V73" s="81">
        <f t="shared" si="12"/>
        <v>89</v>
      </c>
      <c r="W73" s="82"/>
      <c r="X73" s="82"/>
      <c r="Y73" s="93"/>
      <c r="Z73" s="97" t="str">
        <f t="shared" si="14"/>
        <v>PASSED</v>
      </c>
      <c r="AA73" s="98"/>
      <c r="AB73" s="99"/>
    </row>
    <row r="74" ht="15" spans="1:28">
      <c r="A74" s="37">
        <v>23</v>
      </c>
      <c r="B74" s="300">
        <f>VALED!B74</f>
        <v>0</v>
      </c>
      <c r="C74" s="38"/>
      <c r="D74" s="38"/>
      <c r="E74" s="41"/>
      <c r="F74" s="81"/>
      <c r="G74" s="82"/>
      <c r="H74" s="82"/>
      <c r="I74" s="93"/>
      <c r="J74" s="81"/>
      <c r="K74" s="82"/>
      <c r="L74" s="82"/>
      <c r="M74" s="93"/>
      <c r="N74" s="81"/>
      <c r="O74" s="82"/>
      <c r="P74" s="82"/>
      <c r="Q74" s="93"/>
      <c r="R74" s="81"/>
      <c r="S74" s="82"/>
      <c r="T74" s="82"/>
      <c r="U74" s="93"/>
      <c r="V74" s="81">
        <f t="shared" si="12"/>
        <v>0</v>
      </c>
      <c r="W74" s="82"/>
      <c r="X74" s="82"/>
      <c r="Y74" s="93"/>
      <c r="Z74" s="97" t="str">
        <f t="shared" si="14"/>
        <v>FAILED</v>
      </c>
      <c r="AA74" s="98"/>
      <c r="AB74" s="99"/>
    </row>
    <row r="75" ht="15" spans="1:28">
      <c r="A75" s="37">
        <v>24</v>
      </c>
      <c r="B75" s="300">
        <f>VALED!B75</f>
        <v>0</v>
      </c>
      <c r="C75" s="38"/>
      <c r="D75" s="38"/>
      <c r="E75" s="41"/>
      <c r="F75" s="81"/>
      <c r="G75" s="82"/>
      <c r="H75" s="82"/>
      <c r="I75" s="93"/>
      <c r="J75" s="81"/>
      <c r="K75" s="82"/>
      <c r="L75" s="82"/>
      <c r="M75" s="93"/>
      <c r="N75" s="81"/>
      <c r="O75" s="82"/>
      <c r="P75" s="82"/>
      <c r="Q75" s="93"/>
      <c r="R75" s="81"/>
      <c r="S75" s="82"/>
      <c r="T75" s="82"/>
      <c r="U75" s="93"/>
      <c r="V75" s="81">
        <f t="shared" si="12"/>
        <v>0</v>
      </c>
      <c r="W75" s="82"/>
      <c r="X75" s="82"/>
      <c r="Y75" s="93"/>
      <c r="Z75" s="97" t="str">
        <f t="shared" si="14"/>
        <v>FAILED</v>
      </c>
      <c r="AA75" s="98"/>
      <c r="AB75" s="99"/>
    </row>
    <row r="76" ht="15" spans="1:28">
      <c r="A76" s="37">
        <v>25</v>
      </c>
      <c r="B76" s="300">
        <f>VALED!B76</f>
        <v>0</v>
      </c>
      <c r="C76" s="38"/>
      <c r="D76" s="38"/>
      <c r="E76" s="41"/>
      <c r="F76" s="81"/>
      <c r="G76" s="82"/>
      <c r="H76" s="82"/>
      <c r="I76" s="93"/>
      <c r="J76" s="81"/>
      <c r="K76" s="82"/>
      <c r="L76" s="82"/>
      <c r="M76" s="93"/>
      <c r="N76" s="81"/>
      <c r="O76" s="82"/>
      <c r="P76" s="82"/>
      <c r="Q76" s="93"/>
      <c r="R76" s="81"/>
      <c r="S76" s="82"/>
      <c r="T76" s="82"/>
      <c r="U76" s="93"/>
      <c r="V76" s="81">
        <f t="shared" si="12"/>
        <v>0</v>
      </c>
      <c r="W76" s="82"/>
      <c r="X76" s="82"/>
      <c r="Y76" s="93"/>
      <c r="Z76" s="97" t="str">
        <f t="shared" si="14"/>
        <v>FAILED</v>
      </c>
      <c r="AA76" s="98"/>
      <c r="AB76" s="99"/>
    </row>
    <row r="77" ht="15" hidden="1" spans="1:28">
      <c r="A77" s="42">
        <v>26</v>
      </c>
      <c r="B77" s="336">
        <f>VALED!B77</f>
        <v>0</v>
      </c>
      <c r="C77" s="107"/>
      <c r="D77" s="107"/>
      <c r="E77" s="108"/>
      <c r="F77" s="81"/>
      <c r="G77" s="82"/>
      <c r="H77" s="82"/>
      <c r="I77" s="93"/>
      <c r="J77" s="81"/>
      <c r="K77" s="82"/>
      <c r="L77" s="82"/>
      <c r="M77" s="93"/>
      <c r="N77" s="81"/>
      <c r="O77" s="82"/>
      <c r="P77" s="82"/>
      <c r="Q77" s="93"/>
      <c r="R77" s="81"/>
      <c r="S77" s="82"/>
      <c r="T77" s="82"/>
      <c r="U77" s="93"/>
      <c r="V77" s="81">
        <f t="shared" ref="V77:V86" si="15">SUM(F77,J77,N77,R77)/4</f>
        <v>0</v>
      </c>
      <c r="W77" s="82"/>
      <c r="X77" s="82"/>
      <c r="Y77" s="93"/>
      <c r="Z77" s="97" t="str">
        <f t="shared" si="14"/>
        <v>FAILED</v>
      </c>
      <c r="AA77" s="98"/>
      <c r="AB77" s="99"/>
    </row>
    <row r="78" ht="15" hidden="1" spans="1:28">
      <c r="A78" s="42">
        <v>27</v>
      </c>
      <c r="B78" s="300">
        <f>VALED!B78</f>
        <v>0</v>
      </c>
      <c r="C78" s="109"/>
      <c r="D78" s="109"/>
      <c r="E78" s="110"/>
      <c r="F78" s="81"/>
      <c r="G78" s="82"/>
      <c r="H78" s="82"/>
      <c r="I78" s="93"/>
      <c r="J78" s="81"/>
      <c r="K78" s="82"/>
      <c r="L78" s="82"/>
      <c r="M78" s="93"/>
      <c r="N78" s="81"/>
      <c r="O78" s="82"/>
      <c r="P78" s="82"/>
      <c r="Q78" s="93"/>
      <c r="R78" s="81"/>
      <c r="S78" s="82"/>
      <c r="T78" s="82"/>
      <c r="U78" s="93"/>
      <c r="V78" s="81">
        <f t="shared" si="15"/>
        <v>0</v>
      </c>
      <c r="W78" s="82"/>
      <c r="X78" s="82"/>
      <c r="Y78" s="93"/>
      <c r="Z78" s="97" t="str">
        <f t="shared" si="14"/>
        <v>FAILED</v>
      </c>
      <c r="AA78" s="98"/>
      <c r="AB78" s="99"/>
    </row>
    <row r="79" ht="15" hidden="1" spans="1:28">
      <c r="A79" s="42">
        <v>28</v>
      </c>
      <c r="B79" s="300">
        <f>VALED!B79</f>
        <v>0</v>
      </c>
      <c r="C79" s="109"/>
      <c r="D79" s="109"/>
      <c r="E79" s="110"/>
      <c r="F79" s="81"/>
      <c r="G79" s="82"/>
      <c r="H79" s="82"/>
      <c r="I79" s="93"/>
      <c r="J79" s="81"/>
      <c r="K79" s="82"/>
      <c r="L79" s="82"/>
      <c r="M79" s="93"/>
      <c r="N79" s="81"/>
      <c r="O79" s="82"/>
      <c r="P79" s="82"/>
      <c r="Q79" s="93"/>
      <c r="R79" s="81"/>
      <c r="S79" s="82"/>
      <c r="T79" s="82"/>
      <c r="U79" s="93"/>
      <c r="V79" s="81">
        <f t="shared" si="15"/>
        <v>0</v>
      </c>
      <c r="W79" s="82"/>
      <c r="X79" s="82"/>
      <c r="Y79" s="93"/>
      <c r="Z79" s="97" t="str">
        <f t="shared" si="14"/>
        <v>FAILED</v>
      </c>
      <c r="AA79" s="98"/>
      <c r="AB79" s="99"/>
    </row>
    <row r="80" ht="15" hidden="1" spans="1:28">
      <c r="A80" s="42">
        <v>29</v>
      </c>
      <c r="B80" s="300">
        <f>VALED!B80</f>
        <v>0</v>
      </c>
      <c r="C80" s="109"/>
      <c r="D80" s="109"/>
      <c r="E80" s="110"/>
      <c r="F80" s="81"/>
      <c r="G80" s="82"/>
      <c r="H80" s="82"/>
      <c r="I80" s="93"/>
      <c r="J80" s="81"/>
      <c r="K80" s="82"/>
      <c r="L80" s="82"/>
      <c r="M80" s="93"/>
      <c r="N80" s="81"/>
      <c r="O80" s="82"/>
      <c r="P80" s="82"/>
      <c r="Q80" s="93"/>
      <c r="R80" s="81"/>
      <c r="S80" s="82"/>
      <c r="T80" s="82"/>
      <c r="U80" s="93"/>
      <c r="V80" s="81">
        <f t="shared" si="15"/>
        <v>0</v>
      </c>
      <c r="W80" s="82"/>
      <c r="X80" s="82"/>
      <c r="Y80" s="93"/>
      <c r="Z80" s="97" t="str">
        <f t="shared" si="14"/>
        <v>FAILED</v>
      </c>
      <c r="AA80" s="98"/>
      <c r="AB80" s="99"/>
    </row>
    <row r="81" ht="15" hidden="1" spans="1:28">
      <c r="A81" s="42">
        <v>30</v>
      </c>
      <c r="B81" s="300">
        <f>VALED!B81</f>
        <v>0</v>
      </c>
      <c r="C81" s="109"/>
      <c r="D81" s="109"/>
      <c r="E81" s="110"/>
      <c r="F81" s="81"/>
      <c r="G81" s="82"/>
      <c r="H81" s="82"/>
      <c r="I81" s="93"/>
      <c r="J81" s="81"/>
      <c r="K81" s="82"/>
      <c r="L81" s="82"/>
      <c r="M81" s="93"/>
      <c r="N81" s="81"/>
      <c r="O81" s="82"/>
      <c r="P81" s="82"/>
      <c r="Q81" s="93"/>
      <c r="R81" s="81"/>
      <c r="S81" s="82"/>
      <c r="T81" s="82"/>
      <c r="U81" s="93"/>
      <c r="V81" s="81">
        <f t="shared" si="15"/>
        <v>0</v>
      </c>
      <c r="W81" s="82"/>
      <c r="X81" s="82"/>
      <c r="Y81" s="93"/>
      <c r="Z81" s="97" t="str">
        <f t="shared" si="14"/>
        <v>FAILED</v>
      </c>
      <c r="AA81" s="98"/>
      <c r="AB81" s="99"/>
    </row>
    <row r="82" ht="15" hidden="1" spans="1:28">
      <c r="A82" s="42">
        <v>31</v>
      </c>
      <c r="B82" s="300">
        <f>VALED!B82</f>
        <v>0</v>
      </c>
      <c r="C82" s="109"/>
      <c r="D82" s="109"/>
      <c r="E82" s="110"/>
      <c r="F82" s="81"/>
      <c r="G82" s="82"/>
      <c r="H82" s="82"/>
      <c r="I82" s="93"/>
      <c r="J82" s="81"/>
      <c r="K82" s="82"/>
      <c r="L82" s="82"/>
      <c r="M82" s="93"/>
      <c r="N82" s="81"/>
      <c r="O82" s="82"/>
      <c r="P82" s="82"/>
      <c r="Q82" s="93"/>
      <c r="R82" s="81"/>
      <c r="S82" s="82"/>
      <c r="T82" s="82"/>
      <c r="U82" s="93"/>
      <c r="V82" s="81">
        <f t="shared" si="15"/>
        <v>0</v>
      </c>
      <c r="W82" s="82"/>
      <c r="X82" s="82"/>
      <c r="Y82" s="93"/>
      <c r="Z82" s="97"/>
      <c r="AA82" s="98"/>
      <c r="AB82" s="99"/>
    </row>
    <row r="83" ht="15" hidden="1" spans="1:28">
      <c r="A83" s="42">
        <v>32</v>
      </c>
      <c r="B83" s="300">
        <f>VALED!B83</f>
        <v>0</v>
      </c>
      <c r="C83" s="109"/>
      <c r="D83" s="109"/>
      <c r="E83" s="110"/>
      <c r="F83" s="81"/>
      <c r="G83" s="82"/>
      <c r="H83" s="82"/>
      <c r="I83" s="93"/>
      <c r="J83" s="81"/>
      <c r="K83" s="82"/>
      <c r="L83" s="82"/>
      <c r="M83" s="93"/>
      <c r="N83" s="81"/>
      <c r="O83" s="82"/>
      <c r="P83" s="82"/>
      <c r="Q83" s="93"/>
      <c r="R83" s="81"/>
      <c r="S83" s="82"/>
      <c r="T83" s="82"/>
      <c r="U83" s="93"/>
      <c r="V83" s="81">
        <f t="shared" si="15"/>
        <v>0</v>
      </c>
      <c r="W83" s="82"/>
      <c r="X83" s="82"/>
      <c r="Y83" s="93"/>
      <c r="Z83" s="97"/>
      <c r="AA83" s="98"/>
      <c r="AB83" s="99"/>
    </row>
    <row r="84" ht="15" hidden="1" spans="1:28">
      <c r="A84" s="42">
        <v>33</v>
      </c>
      <c r="B84" s="300">
        <f>VALED!B84</f>
        <v>0</v>
      </c>
      <c r="C84" s="109"/>
      <c r="D84" s="109"/>
      <c r="E84" s="110"/>
      <c r="F84" s="81"/>
      <c r="G84" s="82"/>
      <c r="H84" s="82"/>
      <c r="I84" s="93"/>
      <c r="J84" s="81"/>
      <c r="K84" s="82"/>
      <c r="L84" s="82"/>
      <c r="M84" s="93"/>
      <c r="N84" s="81"/>
      <c r="O84" s="82"/>
      <c r="P84" s="82"/>
      <c r="Q84" s="93"/>
      <c r="R84" s="81"/>
      <c r="S84" s="82"/>
      <c r="T84" s="82"/>
      <c r="U84" s="93"/>
      <c r="V84" s="81">
        <f t="shared" si="15"/>
        <v>0</v>
      </c>
      <c r="W84" s="82"/>
      <c r="X84" s="82"/>
      <c r="Y84" s="93"/>
      <c r="Z84" s="97"/>
      <c r="AA84" s="98"/>
      <c r="AB84" s="99"/>
    </row>
    <row r="85" ht="15" hidden="1" spans="1:28">
      <c r="A85" s="42">
        <v>34</v>
      </c>
      <c r="B85" s="300">
        <f>VALED!B85</f>
        <v>0</v>
      </c>
      <c r="C85" s="109"/>
      <c r="D85" s="109"/>
      <c r="E85" s="110"/>
      <c r="F85" s="81"/>
      <c r="G85" s="82"/>
      <c r="H85" s="82"/>
      <c r="I85" s="93"/>
      <c r="J85" s="81"/>
      <c r="K85" s="82"/>
      <c r="L85" s="82"/>
      <c r="M85" s="93"/>
      <c r="N85" s="81"/>
      <c r="O85" s="82"/>
      <c r="P85" s="82"/>
      <c r="Q85" s="93"/>
      <c r="R85" s="81"/>
      <c r="S85" s="82"/>
      <c r="T85" s="82"/>
      <c r="U85" s="93"/>
      <c r="V85" s="81">
        <f t="shared" si="15"/>
        <v>0</v>
      </c>
      <c r="W85" s="82"/>
      <c r="X85" s="82"/>
      <c r="Y85" s="93"/>
      <c r="Z85" s="97"/>
      <c r="AA85" s="98"/>
      <c r="AB85" s="99"/>
    </row>
    <row r="86" ht="15" hidden="1" spans="1:28">
      <c r="A86" s="42">
        <v>35</v>
      </c>
      <c r="B86" s="300">
        <f>VALED!B86</f>
        <v>0</v>
      </c>
      <c r="C86" s="109"/>
      <c r="D86" s="109"/>
      <c r="E86" s="109"/>
      <c r="F86" s="81"/>
      <c r="G86" s="82"/>
      <c r="H86" s="82"/>
      <c r="I86" s="93"/>
      <c r="J86" s="81"/>
      <c r="K86" s="82"/>
      <c r="L86" s="82"/>
      <c r="M86" s="93"/>
      <c r="N86" s="81"/>
      <c r="O86" s="82"/>
      <c r="P86" s="82"/>
      <c r="Q86" s="93"/>
      <c r="R86" s="81"/>
      <c r="S86" s="82"/>
      <c r="T86" s="82"/>
      <c r="U86" s="93"/>
      <c r="V86" s="81">
        <f t="shared" si="15"/>
        <v>0</v>
      </c>
      <c r="W86" s="82"/>
      <c r="X86" s="82"/>
      <c r="Y86" s="93"/>
      <c r="Z86" s="97"/>
      <c r="AA86" s="98"/>
      <c r="AB86" s="99"/>
    </row>
    <row r="87" hidden="1"/>
    <row r="88" hidden="1"/>
    <row r="89" hidden="1"/>
    <row r="90" hidden="1"/>
  </sheetData>
  <mergeCells count="491">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B7:E10"/>
    <mergeCell ref="A1:AB2"/>
    <mergeCell ref="Z9:AB10"/>
  </mergeCells>
  <dataValidations count="3">
    <dataValidation allowBlank="1" showErrorMessage="1" sqref="A11:AB11 A51:AB51 F12:F50 J12:J50 N12:N50 R12:R50 F52:AB86 G12:I19 S12:U19 G29:I50 S29:U50 K12:M19 O12:Q19 K29:M50 O29:Q50 V12:AB15 Z16:AB37 V38:AB50 V16:Y37"/>
    <dataValidation allowBlank="1" showInputMessage="1" showErrorMessage="1" prompt="Do not type name of learners here. Go to INPUT DATA sheet." sqref="B12:B31 B33:B50 B52:B86"/>
    <dataValidation allowBlank="1" showErrorMessage="1" prompt="EITHER WRITE YOUR OWN HPS OR EMPTY" sqref="F9:AB10"/>
  </dataValidations>
  <pageMargins left="0.2" right="0.2" top="0.25" bottom="0.25" header="0.3" footer="0.3"/>
  <pageSetup paperSize="9" scale="70"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AB86"/>
  <sheetViews>
    <sheetView zoomScale="120" zoomScaleNormal="120" topLeftCell="A58" workbookViewId="0">
      <selection activeCell="F72" sqref="F72:I72"/>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293" t="s">
        <v>62</v>
      </c>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row>
    <row r="2" spans="1:28">
      <c r="A2" s="293"/>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row>
    <row r="3" ht="27" spans="1:28">
      <c r="A3" s="293"/>
      <c r="B3" s="293"/>
      <c r="C3" s="293"/>
      <c r="D3" s="293"/>
      <c r="E3" s="293"/>
      <c r="F3" s="293"/>
      <c r="G3" s="293"/>
      <c r="H3" s="293"/>
      <c r="I3" s="293"/>
      <c r="J3" s="293"/>
      <c r="K3" s="293"/>
      <c r="L3" s="293"/>
      <c r="M3" s="293"/>
      <c r="N3" s="293"/>
      <c r="O3" s="293"/>
      <c r="P3" s="293"/>
      <c r="Q3" s="293"/>
      <c r="R3" s="293"/>
      <c r="S3" s="293"/>
      <c r="T3" s="293"/>
      <c r="U3" s="293"/>
      <c r="V3" s="293"/>
      <c r="W3" s="293"/>
      <c r="X3" s="293"/>
      <c r="Y3" s="293"/>
      <c r="Z3" s="293"/>
      <c r="AA3" s="293"/>
      <c r="AB3" s="293"/>
    </row>
    <row r="4" spans="1:28">
      <c r="A4" s="294"/>
      <c r="B4" s="294"/>
      <c r="C4" s="294"/>
      <c r="D4" s="294"/>
      <c r="E4" s="294"/>
      <c r="F4" s="294"/>
      <c r="G4" s="294"/>
      <c r="H4" s="294"/>
      <c r="I4" s="294"/>
      <c r="J4" s="294"/>
      <c r="K4" s="294"/>
      <c r="L4" s="294"/>
      <c r="M4" s="294"/>
      <c r="N4" s="294"/>
      <c r="O4" s="294"/>
      <c r="P4" s="294"/>
      <c r="Q4" s="294"/>
      <c r="R4" s="294"/>
      <c r="S4" s="294"/>
      <c r="T4" s="294"/>
      <c r="U4" s="294"/>
      <c r="V4" s="294"/>
      <c r="W4" s="294"/>
      <c r="X4" s="294"/>
      <c r="Y4" s="294"/>
      <c r="Z4" s="294"/>
      <c r="AA4" s="294"/>
      <c r="AB4" s="294"/>
    </row>
    <row r="5" ht="17.4" spans="1:28">
      <c r="A5" s="3"/>
      <c r="B5" s="4"/>
      <c r="C5" s="295" t="s">
        <v>1</v>
      </c>
      <c r="D5" s="295"/>
      <c r="E5" s="295"/>
      <c r="F5" s="296"/>
      <c r="G5" s="297" t="s">
        <v>2</v>
      </c>
      <c r="H5" s="297"/>
      <c r="I5" s="297"/>
      <c r="J5" s="297"/>
      <c r="K5" s="56"/>
      <c r="L5" s="312" t="s">
        <v>3</v>
      </c>
      <c r="M5" s="312"/>
      <c r="N5" s="313"/>
      <c r="O5" s="298" t="s">
        <v>4</v>
      </c>
      <c r="P5" s="299"/>
      <c r="Q5" s="299"/>
      <c r="R5" s="316"/>
      <c r="S5" s="317"/>
      <c r="T5" s="317"/>
      <c r="U5" s="317"/>
      <c r="V5" s="317"/>
      <c r="W5" s="318"/>
      <c r="X5" s="318"/>
      <c r="Y5" s="318"/>
      <c r="Z5" s="318"/>
      <c r="AA5" s="318"/>
      <c r="AB5" s="318"/>
    </row>
    <row r="6" ht="18.15" spans="1:28">
      <c r="A6" s="3"/>
      <c r="B6" s="295" t="s">
        <v>5</v>
      </c>
      <c r="C6" s="295"/>
      <c r="D6" s="295"/>
      <c r="E6" s="295"/>
      <c r="F6" s="29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90</v>
      </c>
      <c r="L8" s="60"/>
      <c r="M8" s="60"/>
      <c r="N8" s="60"/>
      <c r="O8" s="60"/>
      <c r="P8" s="60"/>
      <c r="Q8" s="60"/>
      <c r="R8" s="79"/>
      <c r="S8" s="18" t="s">
        <v>15</v>
      </c>
      <c r="T8" s="19"/>
      <c r="U8" s="19"/>
      <c r="V8" s="19"/>
      <c r="W8" s="59" t="s">
        <v>91</v>
      </c>
      <c r="X8" s="59"/>
      <c r="Y8" s="59"/>
      <c r="Z8" s="59"/>
      <c r="AA8" s="59"/>
      <c r="AB8" s="78"/>
    </row>
    <row r="9" ht="15.6" spans="1:28">
      <c r="A9" s="15"/>
      <c r="B9" s="16"/>
      <c r="C9" s="16"/>
      <c r="D9" s="16"/>
      <c r="E9" s="17"/>
      <c r="F9" s="327" t="s">
        <v>91</v>
      </c>
      <c r="G9" s="328"/>
      <c r="H9" s="328"/>
      <c r="I9" s="331"/>
      <c r="J9" s="327" t="s">
        <v>91</v>
      </c>
      <c r="K9" s="328"/>
      <c r="L9" s="328"/>
      <c r="M9" s="331"/>
      <c r="N9" s="327" t="s">
        <v>91</v>
      </c>
      <c r="O9" s="328"/>
      <c r="P9" s="328"/>
      <c r="Q9" s="331"/>
      <c r="R9" s="327" t="s">
        <v>91</v>
      </c>
      <c r="S9" s="328"/>
      <c r="T9" s="328"/>
      <c r="U9" s="331"/>
      <c r="V9" s="20" t="s">
        <v>91</v>
      </c>
      <c r="W9" s="21"/>
      <c r="X9" s="21"/>
      <c r="Y9" s="21"/>
      <c r="Z9" s="21"/>
      <c r="AA9" s="21"/>
      <c r="AB9" s="61"/>
    </row>
    <row r="10" ht="16.35" spans="1:28">
      <c r="A10" s="22"/>
      <c r="B10" s="23"/>
      <c r="C10" s="23"/>
      <c r="D10" s="23"/>
      <c r="E10" s="24"/>
      <c r="F10" s="329" t="s">
        <v>68</v>
      </c>
      <c r="G10" s="330"/>
      <c r="H10" s="330"/>
      <c r="I10" s="332"/>
      <c r="J10" s="25" t="s">
        <v>69</v>
      </c>
      <c r="K10" s="26"/>
      <c r="L10" s="26"/>
      <c r="M10" s="62"/>
      <c r="N10" s="25" t="s">
        <v>70</v>
      </c>
      <c r="O10" s="26"/>
      <c r="P10" s="26"/>
      <c r="Q10" s="62"/>
      <c r="R10" s="25" t="s">
        <v>71</v>
      </c>
      <c r="S10" s="26"/>
      <c r="T10" s="26"/>
      <c r="U10" s="62"/>
      <c r="V10" s="25" t="s">
        <v>92</v>
      </c>
      <c r="W10" s="26"/>
      <c r="X10" s="26"/>
      <c r="Y10" s="26"/>
      <c r="Z10" s="26"/>
      <c r="AA10" s="26"/>
      <c r="AB10" s="6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20"/>
      <c r="W11" s="321"/>
      <c r="X11" s="321"/>
      <c r="Y11" s="321"/>
      <c r="Z11" s="321"/>
      <c r="AA11" s="321"/>
      <c r="AB11" s="325"/>
    </row>
    <row r="12" ht="15.75" spans="1:28">
      <c r="A12" s="32">
        <v>1</v>
      </c>
      <c r="B12" s="300" t="str">
        <f>'INPUT DATA'!B12:D12</f>
        <v>ANUBLING, REGIE C.</v>
      </c>
      <c r="C12" s="301"/>
      <c r="D12" s="301"/>
      <c r="E12" s="301"/>
      <c r="F12" s="81">
        <v>81</v>
      </c>
      <c r="G12" s="82"/>
      <c r="H12" s="82"/>
      <c r="I12" s="93"/>
      <c r="J12" s="81">
        <v>75</v>
      </c>
      <c r="K12" s="82"/>
      <c r="L12" s="82"/>
      <c r="M12" s="93"/>
      <c r="N12" s="81">
        <v>76</v>
      </c>
      <c r="O12" s="82"/>
      <c r="P12" s="82"/>
      <c r="Q12" s="93"/>
      <c r="R12" s="81">
        <v>80</v>
      </c>
      <c r="S12" s="82"/>
      <c r="T12" s="82"/>
      <c r="U12" s="322"/>
      <c r="V12" s="346">
        <f>IF(OR(F12="",J12="",N12="",R12="",),"",IF(ISERROR(ROUND(AVERAGE(F12,J12,N12,R12),0)),"",ROUND(AVERAGE(F12,J12,N12,R12),0)))</f>
        <v>78</v>
      </c>
      <c r="W12" s="347"/>
      <c r="X12" s="347"/>
      <c r="Y12" s="347"/>
      <c r="Z12" s="347"/>
      <c r="AA12" s="347"/>
      <c r="AB12" s="348"/>
    </row>
    <row r="13" ht="15.75" spans="1:28">
      <c r="A13" s="37">
        <v>2</v>
      </c>
      <c r="B13" s="300" t="str">
        <f>'INPUT DATA'!B13:D13</f>
        <v>BANGCOY, JOHN PAUL P.</v>
      </c>
      <c r="C13" s="302"/>
      <c r="D13" s="302"/>
      <c r="E13" s="302"/>
      <c r="F13" s="81">
        <v>76</v>
      </c>
      <c r="G13" s="82"/>
      <c r="H13" s="82"/>
      <c r="I13" s="93"/>
      <c r="J13" s="81"/>
      <c r="K13" s="82"/>
      <c r="L13" s="82"/>
      <c r="M13" s="93"/>
      <c r="N13" s="81"/>
      <c r="O13" s="82"/>
      <c r="P13" s="82"/>
      <c r="Q13" s="93"/>
      <c r="R13" s="81"/>
      <c r="S13" s="82"/>
      <c r="T13" s="82"/>
      <c r="U13" s="322"/>
      <c r="V13" s="323" t="str">
        <f t="shared" ref="V13:V30" si="0">IF(OR(F13="",J13="",N13="",R13="",),"",IF(ISERROR(ROUND(AVERAGE(F13,J13,N13,R13),0)),"",ROUND(AVERAGE(F13,J13,N13,R13),0)))</f>
        <v/>
      </c>
      <c r="W13" s="347"/>
      <c r="X13" s="347"/>
      <c r="Y13" s="347"/>
      <c r="Z13" s="347"/>
      <c r="AA13" s="347"/>
      <c r="AB13" s="326"/>
    </row>
    <row r="14" ht="15.75" spans="1:28">
      <c r="A14" s="37">
        <v>3</v>
      </c>
      <c r="B14" s="300" t="str">
        <f>'INPUT DATA'!B14:D14</f>
        <v>BARRIENTOS, JOHN PAUL M.</v>
      </c>
      <c r="C14" s="302"/>
      <c r="D14" s="302"/>
      <c r="E14" s="311"/>
      <c r="F14" s="81">
        <v>84</v>
      </c>
      <c r="G14" s="82"/>
      <c r="H14" s="82"/>
      <c r="I14" s="93"/>
      <c r="J14" s="81">
        <v>85</v>
      </c>
      <c r="K14" s="82"/>
      <c r="L14" s="82"/>
      <c r="M14" s="93"/>
      <c r="N14" s="81">
        <v>88</v>
      </c>
      <c r="O14" s="82"/>
      <c r="P14" s="82"/>
      <c r="Q14" s="93"/>
      <c r="R14" s="81">
        <v>87</v>
      </c>
      <c r="S14" s="82"/>
      <c r="T14" s="82"/>
      <c r="U14" s="322"/>
      <c r="V14" s="323">
        <f t="shared" si="0"/>
        <v>86</v>
      </c>
      <c r="W14" s="347"/>
      <c r="X14" s="347"/>
      <c r="Y14" s="347"/>
      <c r="Z14" s="347"/>
      <c r="AA14" s="347"/>
      <c r="AB14" s="326"/>
    </row>
    <row r="15" ht="15.75" spans="1:28">
      <c r="A15" s="37">
        <v>4</v>
      </c>
      <c r="B15" s="300" t="str">
        <f>'INPUT DATA'!B15:D15</f>
        <v>BRIGOLE, ROMEL</v>
      </c>
      <c r="C15" s="302"/>
      <c r="D15" s="302"/>
      <c r="E15" s="311"/>
      <c r="F15" s="81">
        <v>65</v>
      </c>
      <c r="G15" s="82"/>
      <c r="H15" s="82"/>
      <c r="I15" s="93"/>
      <c r="J15" s="81">
        <v>65</v>
      </c>
      <c r="K15" s="82"/>
      <c r="L15" s="82"/>
      <c r="M15" s="93"/>
      <c r="N15" s="81">
        <v>65</v>
      </c>
      <c r="O15" s="82"/>
      <c r="P15" s="82"/>
      <c r="Q15" s="93"/>
      <c r="R15" s="81">
        <v>70</v>
      </c>
      <c r="S15" s="82"/>
      <c r="T15" s="82"/>
      <c r="U15" s="322"/>
      <c r="V15" s="323">
        <f t="shared" si="0"/>
        <v>66</v>
      </c>
      <c r="W15" s="347"/>
      <c r="X15" s="347"/>
      <c r="Y15" s="347"/>
      <c r="Z15" s="347"/>
      <c r="AA15" s="347"/>
      <c r="AB15" s="326"/>
    </row>
    <row r="16" ht="15.75" spans="1:28">
      <c r="A16" s="37">
        <v>5</v>
      </c>
      <c r="B16" s="300" t="str">
        <f>'INPUT DATA'!B16:D16</f>
        <v>BULAHAN,ROVIC L.</v>
      </c>
      <c r="C16" s="302"/>
      <c r="D16" s="302"/>
      <c r="E16" s="311"/>
      <c r="F16" s="81">
        <v>88</v>
      </c>
      <c r="G16" s="82"/>
      <c r="H16" s="82"/>
      <c r="I16" s="93"/>
      <c r="J16" s="81">
        <v>86</v>
      </c>
      <c r="K16" s="82"/>
      <c r="L16" s="82"/>
      <c r="M16" s="93"/>
      <c r="N16" s="81">
        <v>88</v>
      </c>
      <c r="O16" s="82"/>
      <c r="P16" s="82"/>
      <c r="Q16" s="93"/>
      <c r="R16" s="81">
        <v>89</v>
      </c>
      <c r="S16" s="82"/>
      <c r="T16" s="82"/>
      <c r="U16" s="322"/>
      <c r="V16" s="323">
        <f t="shared" si="0"/>
        <v>88</v>
      </c>
      <c r="W16" s="347"/>
      <c r="X16" s="347"/>
      <c r="Y16" s="347"/>
      <c r="Z16" s="347"/>
      <c r="AA16" s="347"/>
      <c r="AB16" s="326"/>
    </row>
    <row r="17" ht="15.75" spans="1:28">
      <c r="A17" s="37">
        <v>6</v>
      </c>
      <c r="B17" s="300" t="str">
        <f>'INPUT DATA'!B17:D17</f>
        <v>CIJAS, ROLIE JR. A.</v>
      </c>
      <c r="C17" s="302"/>
      <c r="D17" s="302"/>
      <c r="E17" s="311"/>
      <c r="F17" s="81">
        <v>84</v>
      </c>
      <c r="G17" s="82"/>
      <c r="H17" s="82"/>
      <c r="I17" s="93"/>
      <c r="J17" s="81">
        <v>87</v>
      </c>
      <c r="K17" s="82"/>
      <c r="L17" s="82"/>
      <c r="M17" s="93"/>
      <c r="N17" s="81">
        <v>89</v>
      </c>
      <c r="O17" s="82"/>
      <c r="P17" s="82"/>
      <c r="Q17" s="93"/>
      <c r="R17" s="81">
        <v>90</v>
      </c>
      <c r="S17" s="82"/>
      <c r="T17" s="82"/>
      <c r="U17" s="322"/>
      <c r="V17" s="323">
        <f t="shared" si="0"/>
        <v>88</v>
      </c>
      <c r="W17" s="347"/>
      <c r="X17" s="347"/>
      <c r="Y17" s="347"/>
      <c r="Z17" s="347"/>
      <c r="AA17" s="347"/>
      <c r="AB17" s="326"/>
    </row>
    <row r="18" ht="15.75" spans="1:28">
      <c r="A18" s="37">
        <v>7</v>
      </c>
      <c r="B18" s="300" t="str">
        <f>'INPUT DATA'!B18:D18</f>
        <v>GARCIA, DAVE P.</v>
      </c>
      <c r="C18" s="302"/>
      <c r="D18" s="302"/>
      <c r="E18" s="311"/>
      <c r="F18" s="81">
        <v>80</v>
      </c>
      <c r="G18" s="82"/>
      <c r="H18" s="82"/>
      <c r="I18" s="93"/>
      <c r="J18" s="81">
        <v>79</v>
      </c>
      <c r="K18" s="82"/>
      <c r="L18" s="82"/>
      <c r="M18" s="93"/>
      <c r="N18" s="81">
        <v>80</v>
      </c>
      <c r="O18" s="82"/>
      <c r="P18" s="82"/>
      <c r="Q18" s="93"/>
      <c r="R18" s="81">
        <v>82</v>
      </c>
      <c r="S18" s="82"/>
      <c r="T18" s="82"/>
      <c r="U18" s="322"/>
      <c r="V18" s="323">
        <f t="shared" si="0"/>
        <v>80</v>
      </c>
      <c r="W18" s="347"/>
      <c r="X18" s="347"/>
      <c r="Y18" s="347"/>
      <c r="Z18" s="347"/>
      <c r="AA18" s="347"/>
      <c r="AB18" s="326"/>
    </row>
    <row r="19" ht="15.75" spans="1:28">
      <c r="A19" s="37">
        <v>8</v>
      </c>
      <c r="B19" s="300" t="str">
        <f>'INPUT DATA'!B19:D19</f>
        <v>GONZALES, JAMES A.</v>
      </c>
      <c r="C19" s="302"/>
      <c r="D19" s="302">
        <v>0</v>
      </c>
      <c r="E19" s="311"/>
      <c r="F19" s="81">
        <v>82</v>
      </c>
      <c r="G19" s="82"/>
      <c r="H19" s="82"/>
      <c r="I19" s="93"/>
      <c r="J19" s="81">
        <v>83</v>
      </c>
      <c r="K19" s="82"/>
      <c r="L19" s="82"/>
      <c r="M19" s="93"/>
      <c r="N19" s="81">
        <v>84</v>
      </c>
      <c r="O19" s="82"/>
      <c r="P19" s="82"/>
      <c r="Q19" s="93"/>
      <c r="R19" s="81">
        <v>83</v>
      </c>
      <c r="S19" s="82"/>
      <c r="T19" s="82"/>
      <c r="U19" s="322"/>
      <c r="V19" s="323">
        <f t="shared" si="0"/>
        <v>83</v>
      </c>
      <c r="W19" s="347"/>
      <c r="X19" s="347"/>
      <c r="Y19" s="347"/>
      <c r="Z19" s="347"/>
      <c r="AA19" s="347"/>
      <c r="AB19" s="326"/>
    </row>
    <row r="20" ht="15.75" spans="1:28">
      <c r="A20" s="37">
        <v>9</v>
      </c>
      <c r="B20" s="300" t="str">
        <f>'INPUT DATA'!B20:D20</f>
        <v>LAGUNA, J.B. B.</v>
      </c>
      <c r="C20" s="302"/>
      <c r="D20" s="302"/>
      <c r="E20" s="311"/>
      <c r="F20" s="81">
        <v>86</v>
      </c>
      <c r="G20" s="82"/>
      <c r="H20" s="82"/>
      <c r="I20" s="93"/>
      <c r="J20" s="81">
        <v>84</v>
      </c>
      <c r="K20" s="82"/>
      <c r="L20" s="82"/>
      <c r="M20" s="93"/>
      <c r="N20" s="81">
        <v>85</v>
      </c>
      <c r="O20" s="82"/>
      <c r="P20" s="82"/>
      <c r="Q20" s="93"/>
      <c r="R20" s="81">
        <v>86</v>
      </c>
      <c r="S20" s="82"/>
      <c r="T20" s="82"/>
      <c r="U20" s="322"/>
      <c r="V20" s="323">
        <f t="shared" si="0"/>
        <v>85</v>
      </c>
      <c r="W20" s="347"/>
      <c r="X20" s="347"/>
      <c r="Y20" s="347"/>
      <c r="Z20" s="347"/>
      <c r="AA20" s="347"/>
      <c r="AB20" s="326"/>
    </row>
    <row r="21" ht="15.75" spans="1:28">
      <c r="A21" s="37">
        <v>10</v>
      </c>
      <c r="B21" s="300" t="str">
        <f>'INPUT DATA'!B21:D21</f>
        <v>LARODA, STEVEN S.</v>
      </c>
      <c r="C21" s="302"/>
      <c r="D21" s="302"/>
      <c r="E21" s="311"/>
      <c r="F21" s="81">
        <v>84</v>
      </c>
      <c r="G21" s="82"/>
      <c r="H21" s="82"/>
      <c r="I21" s="93"/>
      <c r="J21" s="81">
        <v>78</v>
      </c>
      <c r="K21" s="82"/>
      <c r="L21" s="82"/>
      <c r="M21" s="93"/>
      <c r="N21" s="81">
        <v>79</v>
      </c>
      <c r="O21" s="82"/>
      <c r="P21" s="82"/>
      <c r="Q21" s="93"/>
      <c r="R21" s="81">
        <v>80</v>
      </c>
      <c r="S21" s="82"/>
      <c r="T21" s="82"/>
      <c r="U21" s="322"/>
      <c r="V21" s="323">
        <f t="shared" si="0"/>
        <v>80</v>
      </c>
      <c r="W21" s="347"/>
      <c r="X21" s="347"/>
      <c r="Y21" s="347"/>
      <c r="Z21" s="347"/>
      <c r="AA21" s="347"/>
      <c r="AB21" s="326"/>
    </row>
    <row r="22" ht="15.75" spans="1:28">
      <c r="A22" s="37">
        <v>11</v>
      </c>
      <c r="B22" s="300" t="str">
        <f>'INPUT DATA'!B22:D22</f>
        <v>MERINO, SEDRIK R.</v>
      </c>
      <c r="C22" s="302"/>
      <c r="D22" s="302">
        <v>0</v>
      </c>
      <c r="E22" s="311"/>
      <c r="F22" s="81">
        <v>80</v>
      </c>
      <c r="G22" s="82"/>
      <c r="H22" s="82"/>
      <c r="I22" s="93"/>
      <c r="J22" s="81">
        <v>70</v>
      </c>
      <c r="K22" s="82"/>
      <c r="L22" s="82"/>
      <c r="M22" s="93"/>
      <c r="N22" s="81">
        <v>70</v>
      </c>
      <c r="O22" s="82"/>
      <c r="P22" s="82"/>
      <c r="Q22" s="93"/>
      <c r="R22" s="81">
        <v>70</v>
      </c>
      <c r="S22" s="82"/>
      <c r="T22" s="82"/>
      <c r="U22" s="322"/>
      <c r="V22" s="323">
        <f t="shared" si="0"/>
        <v>73</v>
      </c>
      <c r="W22" s="347"/>
      <c r="X22" s="347"/>
      <c r="Y22" s="347"/>
      <c r="Z22" s="347"/>
      <c r="AA22" s="347"/>
      <c r="AB22" s="326"/>
    </row>
    <row r="23" ht="15.75" spans="1:28">
      <c r="A23" s="37">
        <v>12</v>
      </c>
      <c r="B23" s="300" t="str">
        <f>'INPUT DATA'!B23:D23</f>
        <v>MONTERAS, VINCENT S.</v>
      </c>
      <c r="C23" s="302"/>
      <c r="D23" s="302"/>
      <c r="E23" s="311"/>
      <c r="F23" s="81">
        <v>84</v>
      </c>
      <c r="G23" s="82"/>
      <c r="H23" s="82"/>
      <c r="I23" s="93"/>
      <c r="J23" s="81">
        <v>77</v>
      </c>
      <c r="K23" s="82"/>
      <c r="L23" s="82"/>
      <c r="M23" s="93"/>
      <c r="N23" s="81">
        <v>80</v>
      </c>
      <c r="O23" s="82"/>
      <c r="P23" s="82"/>
      <c r="Q23" s="93"/>
      <c r="R23" s="81">
        <v>77</v>
      </c>
      <c r="S23" s="82"/>
      <c r="T23" s="82"/>
      <c r="U23" s="322"/>
      <c r="V23" s="323">
        <f t="shared" si="0"/>
        <v>80</v>
      </c>
      <c r="W23" s="347"/>
      <c r="X23" s="347"/>
      <c r="Y23" s="347"/>
      <c r="Z23" s="347"/>
      <c r="AA23" s="347"/>
      <c r="AB23" s="326"/>
    </row>
    <row r="24" ht="15.75" spans="1:28">
      <c r="A24" s="37">
        <v>13</v>
      </c>
      <c r="B24" s="300" t="str">
        <f>'INPUT DATA'!B24:D24</f>
        <v>NACAWILI, ANDRIE L.</v>
      </c>
      <c r="C24" s="302"/>
      <c r="D24" s="302"/>
      <c r="E24" s="311"/>
      <c r="F24" s="81">
        <v>82</v>
      </c>
      <c r="G24" s="82"/>
      <c r="H24" s="82"/>
      <c r="I24" s="93"/>
      <c r="J24" s="81">
        <v>83</v>
      </c>
      <c r="K24" s="82"/>
      <c r="L24" s="82"/>
      <c r="M24" s="93"/>
      <c r="N24" s="81">
        <v>85</v>
      </c>
      <c r="O24" s="82"/>
      <c r="P24" s="82"/>
      <c r="Q24" s="93"/>
      <c r="R24" s="81">
        <v>86</v>
      </c>
      <c r="S24" s="82"/>
      <c r="T24" s="82"/>
      <c r="U24" s="322"/>
      <c r="V24" s="323">
        <f t="shared" si="0"/>
        <v>84</v>
      </c>
      <c r="W24" s="347"/>
      <c r="X24" s="347"/>
      <c r="Y24" s="347"/>
      <c r="Z24" s="347"/>
      <c r="AA24" s="347"/>
      <c r="AB24" s="326"/>
    </row>
    <row r="25" ht="15.75" spans="1:28">
      <c r="A25" s="37">
        <v>14</v>
      </c>
      <c r="B25" s="300" t="str">
        <f>'INPUT DATA'!B25:D25</f>
        <v>OLIVERIO, CYREL JAY G.</v>
      </c>
      <c r="C25" s="302"/>
      <c r="D25" s="302"/>
      <c r="E25" s="311"/>
      <c r="F25" s="81">
        <v>77</v>
      </c>
      <c r="G25" s="82"/>
      <c r="H25" s="82"/>
      <c r="I25" s="93"/>
      <c r="J25" s="81">
        <v>71</v>
      </c>
      <c r="K25" s="82"/>
      <c r="L25" s="82"/>
      <c r="M25" s="93"/>
      <c r="N25" s="81">
        <v>75</v>
      </c>
      <c r="O25" s="82"/>
      <c r="P25" s="82"/>
      <c r="Q25" s="93"/>
      <c r="R25" s="81">
        <v>70</v>
      </c>
      <c r="S25" s="82"/>
      <c r="T25" s="82"/>
      <c r="U25" s="322"/>
      <c r="V25" s="323">
        <f t="shared" si="0"/>
        <v>73</v>
      </c>
      <c r="W25" s="347"/>
      <c r="X25" s="347"/>
      <c r="Y25" s="347"/>
      <c r="Z25" s="347"/>
      <c r="AA25" s="347"/>
      <c r="AB25" s="326"/>
    </row>
    <row r="26" ht="15.75" spans="1:28">
      <c r="A26" s="37">
        <v>15</v>
      </c>
      <c r="B26" s="300" t="str">
        <f>'INPUT DATA'!B26:D26</f>
        <v>ORBITA,BRENN JOHN A.</v>
      </c>
      <c r="C26" s="302"/>
      <c r="D26" s="302"/>
      <c r="E26" s="311"/>
      <c r="F26" s="81">
        <v>81</v>
      </c>
      <c r="G26" s="82"/>
      <c r="H26" s="82"/>
      <c r="I26" s="93"/>
      <c r="J26" s="81">
        <v>80</v>
      </c>
      <c r="K26" s="82"/>
      <c r="L26" s="82"/>
      <c r="M26" s="93"/>
      <c r="N26" s="81">
        <v>83</v>
      </c>
      <c r="O26" s="82"/>
      <c r="P26" s="82"/>
      <c r="Q26" s="93"/>
      <c r="R26" s="81">
        <v>84</v>
      </c>
      <c r="S26" s="82"/>
      <c r="T26" s="82"/>
      <c r="U26" s="322"/>
      <c r="V26" s="323">
        <f t="shared" si="0"/>
        <v>82</v>
      </c>
      <c r="W26" s="347"/>
      <c r="X26" s="347"/>
      <c r="Y26" s="347"/>
      <c r="Z26" s="347"/>
      <c r="AA26" s="347"/>
      <c r="AB26" s="326"/>
    </row>
    <row r="27" ht="15.75" spans="1:28">
      <c r="A27" s="37">
        <v>16</v>
      </c>
      <c r="B27" s="300" t="str">
        <f>'INPUT DATA'!B27:D27</f>
        <v>PAINLO,SHERWIN V.</v>
      </c>
      <c r="C27" s="302"/>
      <c r="D27" s="302"/>
      <c r="E27" s="311"/>
      <c r="F27" s="81">
        <v>88</v>
      </c>
      <c r="G27" s="82"/>
      <c r="H27" s="82"/>
      <c r="I27" s="93"/>
      <c r="J27" s="81">
        <v>87</v>
      </c>
      <c r="K27" s="82"/>
      <c r="L27" s="82"/>
      <c r="M27" s="93"/>
      <c r="N27" s="81">
        <v>90</v>
      </c>
      <c r="O27" s="82"/>
      <c r="P27" s="82"/>
      <c r="Q27" s="93"/>
      <c r="R27" s="81">
        <v>91</v>
      </c>
      <c r="S27" s="82"/>
      <c r="T27" s="82"/>
      <c r="U27" s="322"/>
      <c r="V27" s="323">
        <f t="shared" si="0"/>
        <v>89</v>
      </c>
      <c r="W27" s="347"/>
      <c r="X27" s="347"/>
      <c r="Y27" s="347"/>
      <c r="Z27" s="347"/>
      <c r="AA27" s="347"/>
      <c r="AB27" s="326"/>
    </row>
    <row r="28" ht="15.75" spans="1:28">
      <c r="A28" s="37">
        <v>17</v>
      </c>
      <c r="B28" s="300" t="str">
        <f>'INPUT DATA'!B28:D28</f>
        <v>RAMIREZ, MATTEO JOHN DAVE D.</v>
      </c>
      <c r="C28" s="302"/>
      <c r="D28" s="302"/>
      <c r="E28" s="311"/>
      <c r="F28" s="81">
        <v>73</v>
      </c>
      <c r="G28" s="82"/>
      <c r="H28" s="82"/>
      <c r="I28" s="93"/>
      <c r="J28" s="81"/>
      <c r="K28" s="82"/>
      <c r="L28" s="82"/>
      <c r="M28" s="93"/>
      <c r="N28" s="81"/>
      <c r="O28" s="82"/>
      <c r="P28" s="82"/>
      <c r="Q28" s="93"/>
      <c r="R28" s="81"/>
      <c r="S28" s="82"/>
      <c r="T28" s="82"/>
      <c r="U28" s="322"/>
      <c r="V28" s="323" t="str">
        <f t="shared" si="0"/>
        <v/>
      </c>
      <c r="W28" s="347"/>
      <c r="X28" s="347"/>
      <c r="Y28" s="347"/>
      <c r="Z28" s="347"/>
      <c r="AA28" s="347"/>
      <c r="AB28" s="326"/>
    </row>
    <row r="29" ht="15.75" spans="1:28">
      <c r="A29" s="37">
        <v>18</v>
      </c>
      <c r="B29" s="300" t="str">
        <f>'INPUT DATA'!B29:D29</f>
        <v>SIGUIRA, JASTINE B.</v>
      </c>
      <c r="C29" s="302"/>
      <c r="D29" s="302"/>
      <c r="E29" s="311"/>
      <c r="F29" s="81">
        <v>73</v>
      </c>
      <c r="G29" s="82"/>
      <c r="H29" s="82"/>
      <c r="I29" s="93"/>
      <c r="J29" s="81"/>
      <c r="K29" s="82"/>
      <c r="L29" s="82"/>
      <c r="M29" s="93"/>
      <c r="N29" s="81"/>
      <c r="O29" s="82"/>
      <c r="P29" s="82"/>
      <c r="Q29" s="93"/>
      <c r="R29" s="81"/>
      <c r="S29" s="82"/>
      <c r="T29" s="82"/>
      <c r="U29" s="322"/>
      <c r="V29" s="323" t="str">
        <f t="shared" si="0"/>
        <v/>
      </c>
      <c r="W29" s="347"/>
      <c r="X29" s="347"/>
      <c r="Y29" s="347"/>
      <c r="Z29" s="347"/>
      <c r="AA29" s="347"/>
      <c r="AB29" s="326"/>
    </row>
    <row r="30" ht="15.75" spans="1:28">
      <c r="A30" s="37">
        <v>19</v>
      </c>
      <c r="B30" s="300" t="str">
        <f>'INPUT DATA'!B30:D30</f>
        <v>TAA, JHONVINZ Y.</v>
      </c>
      <c r="C30" s="302"/>
      <c r="D30" s="302"/>
      <c r="E30" s="311"/>
      <c r="F30" s="81">
        <v>77</v>
      </c>
      <c r="G30" s="82"/>
      <c r="H30" s="82"/>
      <c r="I30" s="93"/>
      <c r="J30" s="81">
        <v>75</v>
      </c>
      <c r="K30" s="82"/>
      <c r="L30" s="82"/>
      <c r="M30" s="93"/>
      <c r="N30" s="81">
        <v>76</v>
      </c>
      <c r="O30" s="82"/>
      <c r="P30" s="82"/>
      <c r="Q30" s="93"/>
      <c r="R30" s="81">
        <v>76</v>
      </c>
      <c r="S30" s="82"/>
      <c r="T30" s="82"/>
      <c r="U30" s="322"/>
      <c r="V30" s="323">
        <f t="shared" si="0"/>
        <v>76</v>
      </c>
      <c r="W30" s="347"/>
      <c r="X30" s="347"/>
      <c r="Y30" s="347"/>
      <c r="Z30" s="347"/>
      <c r="AA30" s="347"/>
      <c r="AB30" s="326"/>
    </row>
    <row r="31" ht="15.75" spans="1:28">
      <c r="A31" s="37">
        <v>20</v>
      </c>
      <c r="B31" s="300" t="str">
        <f>'INPUT DATA'!B31:D31</f>
        <v>ZOILO, JOHN LORENCE M.</v>
      </c>
      <c r="C31" s="302"/>
      <c r="D31" s="302"/>
      <c r="E31" s="311"/>
      <c r="F31" s="81">
        <v>84</v>
      </c>
      <c r="G31" s="82"/>
      <c r="H31" s="82"/>
      <c r="I31" s="93"/>
      <c r="J31" s="81">
        <v>85</v>
      </c>
      <c r="K31" s="82"/>
      <c r="L31" s="82"/>
      <c r="M31" s="93"/>
      <c r="N31" s="81">
        <v>86</v>
      </c>
      <c r="O31" s="82"/>
      <c r="P31" s="82"/>
      <c r="Q31" s="93"/>
      <c r="R31" s="81">
        <v>87</v>
      </c>
      <c r="S31" s="82"/>
      <c r="T31" s="82"/>
      <c r="U31" s="322"/>
      <c r="V31" s="323">
        <f t="shared" ref="V31:V50" si="1">IF(OR(F31="",J31="",N31="",R31="",),"",IF(ISERROR(ROUND(AVERAGE(F31,J31,N31,R31),0)),"",ROUND(AVERAGE(F31,J31,N31,R31),0)))</f>
        <v>86</v>
      </c>
      <c r="W31" s="347"/>
      <c r="X31" s="347"/>
      <c r="Y31" s="347"/>
      <c r="Z31" s="347"/>
      <c r="AA31" s="347"/>
      <c r="AB31" s="326"/>
    </row>
    <row r="32" ht="15.75" spans="1:28">
      <c r="A32" s="37">
        <v>21</v>
      </c>
      <c r="B32" s="286" t="s">
        <v>73</v>
      </c>
      <c r="C32" s="289"/>
      <c r="D32" s="302"/>
      <c r="E32" s="311"/>
      <c r="F32" s="81">
        <v>75</v>
      </c>
      <c r="G32" s="82"/>
      <c r="H32" s="82"/>
      <c r="I32" s="93"/>
      <c r="J32" s="81">
        <v>75</v>
      </c>
      <c r="K32" s="82"/>
      <c r="L32" s="82"/>
      <c r="M32" s="93"/>
      <c r="N32" s="81">
        <v>75</v>
      </c>
      <c r="O32" s="82"/>
      <c r="P32" s="82"/>
      <c r="Q32" s="93"/>
      <c r="R32" s="81">
        <v>85</v>
      </c>
      <c r="S32" s="82"/>
      <c r="T32" s="82"/>
      <c r="U32" s="322"/>
      <c r="V32" s="323">
        <f t="shared" si="1"/>
        <v>78</v>
      </c>
      <c r="W32" s="347"/>
      <c r="X32" s="347"/>
      <c r="Y32" s="347"/>
      <c r="Z32" s="347"/>
      <c r="AA32" s="347"/>
      <c r="AB32" s="326"/>
    </row>
    <row r="33" ht="15.75" hidden="1" spans="1:28">
      <c r="A33" s="37">
        <v>22</v>
      </c>
      <c r="B33" s="300">
        <f>'INPUT DATA'!B33:D33</f>
        <v>0</v>
      </c>
      <c r="C33" s="302"/>
      <c r="D33" s="302"/>
      <c r="E33" s="311"/>
      <c r="F33" s="81"/>
      <c r="G33" s="82"/>
      <c r="H33" s="82"/>
      <c r="I33" s="93"/>
      <c r="J33" s="81"/>
      <c r="K33" s="82"/>
      <c r="L33" s="82"/>
      <c r="M33" s="93"/>
      <c r="N33" s="81"/>
      <c r="O33" s="82"/>
      <c r="P33" s="82"/>
      <c r="Q33" s="93"/>
      <c r="R33" s="81"/>
      <c r="S33" s="82"/>
      <c r="T33" s="82"/>
      <c r="U33" s="322"/>
      <c r="V33" s="323" t="str">
        <f t="shared" si="1"/>
        <v/>
      </c>
      <c r="W33" s="347"/>
      <c r="X33" s="347"/>
      <c r="Y33" s="347"/>
      <c r="Z33" s="347"/>
      <c r="AA33" s="347"/>
      <c r="AB33" s="326"/>
    </row>
    <row r="34" ht="15.75" hidden="1" spans="1:28">
      <c r="A34" s="37">
        <v>23</v>
      </c>
      <c r="B34" s="300">
        <f>'INPUT DATA'!B34:D34</f>
        <v>0</v>
      </c>
      <c r="C34" s="302"/>
      <c r="D34" s="302"/>
      <c r="E34" s="311"/>
      <c r="F34" s="81"/>
      <c r="G34" s="82"/>
      <c r="H34" s="82"/>
      <c r="I34" s="93"/>
      <c r="J34" s="81"/>
      <c r="K34" s="82"/>
      <c r="L34" s="82"/>
      <c r="M34" s="93"/>
      <c r="N34" s="81"/>
      <c r="O34" s="82"/>
      <c r="P34" s="82"/>
      <c r="Q34" s="93"/>
      <c r="R34" s="81"/>
      <c r="S34" s="82"/>
      <c r="T34" s="82"/>
      <c r="U34" s="322"/>
      <c r="V34" s="323" t="str">
        <f t="shared" si="1"/>
        <v/>
      </c>
      <c r="W34" s="347"/>
      <c r="X34" s="347"/>
      <c r="Y34" s="347"/>
      <c r="Z34" s="347"/>
      <c r="AA34" s="347"/>
      <c r="AB34" s="326"/>
    </row>
    <row r="35" ht="15.75" hidden="1" spans="1:28">
      <c r="A35" s="37">
        <v>24</v>
      </c>
      <c r="B35" s="300">
        <f>'INPUT DATA'!B35:D35</f>
        <v>0</v>
      </c>
      <c r="C35" s="302"/>
      <c r="D35" s="302"/>
      <c r="E35" s="311"/>
      <c r="F35" s="81"/>
      <c r="G35" s="82"/>
      <c r="H35" s="82"/>
      <c r="I35" s="93"/>
      <c r="J35" s="81"/>
      <c r="K35" s="82"/>
      <c r="L35" s="82"/>
      <c r="M35" s="93"/>
      <c r="N35" s="81"/>
      <c r="O35" s="82"/>
      <c r="P35" s="82"/>
      <c r="Q35" s="93"/>
      <c r="R35" s="81"/>
      <c r="S35" s="82"/>
      <c r="T35" s="82"/>
      <c r="U35" s="322"/>
      <c r="V35" s="323" t="str">
        <f t="shared" si="1"/>
        <v/>
      </c>
      <c r="W35" s="347"/>
      <c r="X35" s="347"/>
      <c r="Y35" s="347"/>
      <c r="Z35" s="347"/>
      <c r="AA35" s="347"/>
      <c r="AB35" s="326"/>
    </row>
    <row r="36" ht="15.75" hidden="1" spans="1:28">
      <c r="A36" s="340">
        <v>25</v>
      </c>
      <c r="B36" s="300">
        <f>'INPUT DATA'!B36:D36</f>
        <v>0</v>
      </c>
      <c r="C36" s="303"/>
      <c r="D36" s="303"/>
      <c r="E36" s="337"/>
      <c r="F36" s="81"/>
      <c r="G36" s="82"/>
      <c r="H36" s="82"/>
      <c r="I36" s="93"/>
      <c r="J36" s="81"/>
      <c r="K36" s="82"/>
      <c r="L36" s="82"/>
      <c r="M36" s="93"/>
      <c r="N36" s="81"/>
      <c r="O36" s="82"/>
      <c r="P36" s="82"/>
      <c r="Q36" s="93"/>
      <c r="R36" s="81"/>
      <c r="S36" s="82"/>
      <c r="T36" s="82"/>
      <c r="U36" s="93"/>
      <c r="V36" s="323" t="str">
        <f t="shared" si="1"/>
        <v/>
      </c>
      <c r="W36" s="347"/>
      <c r="X36" s="347"/>
      <c r="Y36" s="347"/>
      <c r="Z36" s="347"/>
      <c r="AA36" s="347"/>
      <c r="AB36" s="326"/>
    </row>
    <row r="37" ht="15.75" hidden="1" spans="1:28">
      <c r="A37" s="341">
        <v>26</v>
      </c>
      <c r="B37" s="300">
        <f>'INPUT DATA'!B37:D37</f>
        <v>0</v>
      </c>
      <c r="C37" s="303"/>
      <c r="D37" s="303"/>
      <c r="E37" s="342"/>
      <c r="F37" s="81"/>
      <c r="G37" s="82"/>
      <c r="H37" s="82"/>
      <c r="I37" s="93"/>
      <c r="J37" s="81"/>
      <c r="K37" s="82"/>
      <c r="L37" s="82"/>
      <c r="M37" s="93"/>
      <c r="N37" s="81"/>
      <c r="O37" s="82"/>
      <c r="P37" s="82"/>
      <c r="Q37" s="93"/>
      <c r="R37" s="81"/>
      <c r="S37" s="82"/>
      <c r="T37" s="82"/>
      <c r="U37" s="322"/>
      <c r="V37" s="323" t="str">
        <f t="shared" si="1"/>
        <v/>
      </c>
      <c r="W37" s="347"/>
      <c r="X37" s="347"/>
      <c r="Y37" s="347"/>
      <c r="Z37" s="347"/>
      <c r="AA37" s="347"/>
      <c r="AB37" s="326"/>
    </row>
    <row r="38" ht="15.75" hidden="1" spans="1:28">
      <c r="A38" s="343">
        <v>27</v>
      </c>
      <c r="B38" s="300">
        <f>'INPUT DATA'!B38:D38</f>
        <v>0</v>
      </c>
      <c r="C38" s="303"/>
      <c r="D38" s="303"/>
      <c r="E38" s="311"/>
      <c r="F38" s="81"/>
      <c r="G38" s="82"/>
      <c r="H38" s="82"/>
      <c r="I38" s="93"/>
      <c r="J38" s="81"/>
      <c r="K38" s="82"/>
      <c r="L38" s="82"/>
      <c r="M38" s="93"/>
      <c r="N38" s="81"/>
      <c r="O38" s="82"/>
      <c r="P38" s="82"/>
      <c r="Q38" s="93"/>
      <c r="R38" s="81"/>
      <c r="S38" s="82"/>
      <c r="T38" s="82"/>
      <c r="U38" s="322"/>
      <c r="V38" s="323" t="str">
        <f t="shared" si="1"/>
        <v/>
      </c>
      <c r="W38" s="347"/>
      <c r="X38" s="347"/>
      <c r="Y38" s="347"/>
      <c r="Z38" s="347"/>
      <c r="AA38" s="347"/>
      <c r="AB38" s="326"/>
    </row>
    <row r="39" ht="15.75" hidden="1" spans="1:28">
      <c r="A39" s="343">
        <v>28</v>
      </c>
      <c r="B39" s="300">
        <f>'INPUT DATA'!B39:D39</f>
        <v>0</v>
      </c>
      <c r="C39" s="303"/>
      <c r="D39" s="303"/>
      <c r="E39" s="311"/>
      <c r="F39" s="81"/>
      <c r="G39" s="82"/>
      <c r="H39" s="82"/>
      <c r="I39" s="93"/>
      <c r="J39" s="81"/>
      <c r="K39" s="82"/>
      <c r="L39" s="82"/>
      <c r="M39" s="93"/>
      <c r="N39" s="81"/>
      <c r="O39" s="82"/>
      <c r="P39" s="82"/>
      <c r="Q39" s="93"/>
      <c r="R39" s="81"/>
      <c r="S39" s="82"/>
      <c r="T39" s="82"/>
      <c r="U39" s="322"/>
      <c r="V39" s="323" t="str">
        <f t="shared" si="1"/>
        <v/>
      </c>
      <c r="W39" s="347"/>
      <c r="X39" s="347"/>
      <c r="Y39" s="347"/>
      <c r="Z39" s="347"/>
      <c r="AA39" s="347"/>
      <c r="AB39" s="326"/>
    </row>
    <row r="40" ht="15.75" hidden="1" spans="1:28">
      <c r="A40" s="343">
        <v>29</v>
      </c>
      <c r="B40" s="300">
        <f>'INPUT DATA'!B40:D40</f>
        <v>0</v>
      </c>
      <c r="C40" s="303"/>
      <c r="D40" s="303"/>
      <c r="E40" s="311"/>
      <c r="F40" s="81"/>
      <c r="G40" s="82"/>
      <c r="H40" s="82"/>
      <c r="I40" s="93"/>
      <c r="J40" s="81"/>
      <c r="K40" s="82"/>
      <c r="L40" s="82"/>
      <c r="M40" s="93"/>
      <c r="N40" s="81"/>
      <c r="O40" s="82"/>
      <c r="P40" s="82"/>
      <c r="Q40" s="93"/>
      <c r="R40" s="81"/>
      <c r="S40" s="82"/>
      <c r="T40" s="82"/>
      <c r="U40" s="322"/>
      <c r="V40" s="323" t="str">
        <f t="shared" si="1"/>
        <v/>
      </c>
      <c r="W40" s="347"/>
      <c r="X40" s="347"/>
      <c r="Y40" s="347"/>
      <c r="Z40" s="347"/>
      <c r="AA40" s="347"/>
      <c r="AB40" s="326"/>
    </row>
    <row r="41" ht="15.75" hidden="1" spans="1:28">
      <c r="A41" s="343">
        <v>30</v>
      </c>
      <c r="B41" s="300">
        <f>'INPUT DATA'!B41:D41</f>
        <v>0</v>
      </c>
      <c r="C41" s="303"/>
      <c r="D41" s="303"/>
      <c r="E41" s="311"/>
      <c r="F41" s="81"/>
      <c r="G41" s="82"/>
      <c r="H41" s="82"/>
      <c r="I41" s="93"/>
      <c r="J41" s="81"/>
      <c r="K41" s="82"/>
      <c r="L41" s="82"/>
      <c r="M41" s="93"/>
      <c r="N41" s="81"/>
      <c r="O41" s="82"/>
      <c r="P41" s="82"/>
      <c r="Q41" s="93"/>
      <c r="R41" s="81"/>
      <c r="S41" s="82"/>
      <c r="T41" s="82"/>
      <c r="U41" s="322"/>
      <c r="V41" s="323" t="str">
        <f t="shared" si="1"/>
        <v/>
      </c>
      <c r="W41" s="347"/>
      <c r="X41" s="347"/>
      <c r="Y41" s="347"/>
      <c r="Z41" s="347"/>
      <c r="AA41" s="347"/>
      <c r="AB41" s="326"/>
    </row>
    <row r="42" ht="15.75" hidden="1" spans="1:28">
      <c r="A42" s="343">
        <v>31</v>
      </c>
      <c r="B42" s="300">
        <f>'INPUT DATA'!B42:D42</f>
        <v>0</v>
      </c>
      <c r="C42" s="302"/>
      <c r="D42" s="302"/>
      <c r="E42" s="337"/>
      <c r="F42" s="81"/>
      <c r="G42" s="82"/>
      <c r="H42" s="82"/>
      <c r="I42" s="93"/>
      <c r="J42" s="81"/>
      <c r="K42" s="82"/>
      <c r="L42" s="82"/>
      <c r="M42" s="93"/>
      <c r="N42" s="81"/>
      <c r="O42" s="82"/>
      <c r="P42" s="82"/>
      <c r="Q42" s="93"/>
      <c r="R42" s="81"/>
      <c r="S42" s="82"/>
      <c r="T42" s="82"/>
      <c r="U42" s="322"/>
      <c r="V42" s="323" t="str">
        <f t="shared" si="1"/>
        <v/>
      </c>
      <c r="W42" s="347"/>
      <c r="X42" s="347"/>
      <c r="Y42" s="347"/>
      <c r="Z42" s="347"/>
      <c r="AA42" s="347"/>
      <c r="AB42" s="326"/>
    </row>
    <row r="43" ht="15.75" hidden="1" spans="1:28">
      <c r="A43" s="343">
        <v>32</v>
      </c>
      <c r="B43" s="300">
        <f>'INPUT DATA'!B43:D43</f>
        <v>0</v>
      </c>
      <c r="C43" s="303"/>
      <c r="D43" s="303"/>
      <c r="E43" s="311"/>
      <c r="F43" s="81"/>
      <c r="G43" s="82"/>
      <c r="H43" s="82"/>
      <c r="I43" s="93"/>
      <c r="J43" s="81"/>
      <c r="K43" s="82"/>
      <c r="L43" s="82"/>
      <c r="M43" s="93"/>
      <c r="N43" s="81"/>
      <c r="O43" s="82"/>
      <c r="P43" s="82"/>
      <c r="Q43" s="93"/>
      <c r="R43" s="81"/>
      <c r="S43" s="82"/>
      <c r="T43" s="82"/>
      <c r="U43" s="322"/>
      <c r="V43" s="323" t="str">
        <f t="shared" si="1"/>
        <v/>
      </c>
      <c r="W43" s="347"/>
      <c r="X43" s="347"/>
      <c r="Y43" s="347"/>
      <c r="Z43" s="347"/>
      <c r="AA43" s="347"/>
      <c r="AB43" s="326"/>
    </row>
    <row r="44" ht="15.75" hidden="1" spans="1:28">
      <c r="A44" s="343">
        <v>33</v>
      </c>
      <c r="B44" s="300">
        <f>'INPUT DATA'!B44:D44</f>
        <v>0</v>
      </c>
      <c r="C44" s="303"/>
      <c r="D44" s="303"/>
      <c r="E44" s="311"/>
      <c r="F44" s="81"/>
      <c r="G44" s="82"/>
      <c r="H44" s="82"/>
      <c r="I44" s="93"/>
      <c r="J44" s="81"/>
      <c r="K44" s="82"/>
      <c r="L44" s="82"/>
      <c r="M44" s="93"/>
      <c r="N44" s="81"/>
      <c r="O44" s="82"/>
      <c r="P44" s="82"/>
      <c r="Q44" s="93"/>
      <c r="R44" s="81"/>
      <c r="S44" s="82"/>
      <c r="T44" s="82"/>
      <c r="U44" s="322"/>
      <c r="V44" s="323" t="str">
        <f t="shared" si="1"/>
        <v/>
      </c>
      <c r="W44" s="347"/>
      <c r="X44" s="347"/>
      <c r="Y44" s="347"/>
      <c r="Z44" s="347"/>
      <c r="AA44" s="347"/>
      <c r="AB44" s="326"/>
    </row>
    <row r="45" ht="15.75" hidden="1" spans="1:28">
      <c r="A45" s="343">
        <v>34</v>
      </c>
      <c r="B45" s="300">
        <f>'INPUT DATA'!B45:D45</f>
        <v>0</v>
      </c>
      <c r="C45" s="303"/>
      <c r="D45" s="303"/>
      <c r="E45" s="311"/>
      <c r="F45" s="81"/>
      <c r="G45" s="82"/>
      <c r="H45" s="82"/>
      <c r="I45" s="93"/>
      <c r="J45" s="81"/>
      <c r="K45" s="82"/>
      <c r="L45" s="82"/>
      <c r="M45" s="93"/>
      <c r="N45" s="81"/>
      <c r="O45" s="82"/>
      <c r="P45" s="82"/>
      <c r="Q45" s="93"/>
      <c r="R45" s="81"/>
      <c r="S45" s="82"/>
      <c r="T45" s="82"/>
      <c r="U45" s="322"/>
      <c r="V45" s="323" t="str">
        <f t="shared" si="1"/>
        <v/>
      </c>
      <c r="W45" s="347"/>
      <c r="X45" s="347"/>
      <c r="Y45" s="347"/>
      <c r="Z45" s="347"/>
      <c r="AA45" s="347"/>
      <c r="AB45" s="326"/>
    </row>
    <row r="46" ht="15.75" hidden="1" spans="1:28">
      <c r="A46" s="343">
        <v>35</v>
      </c>
      <c r="B46" s="300">
        <f>'INPUT DATA'!B46:D46</f>
        <v>0</v>
      </c>
      <c r="C46" s="303"/>
      <c r="D46" s="303"/>
      <c r="E46" s="311"/>
      <c r="F46" s="81"/>
      <c r="G46" s="82"/>
      <c r="H46" s="82"/>
      <c r="I46" s="93"/>
      <c r="J46" s="81"/>
      <c r="K46" s="82"/>
      <c r="L46" s="82"/>
      <c r="M46" s="93"/>
      <c r="N46" s="81"/>
      <c r="O46" s="82"/>
      <c r="P46" s="82"/>
      <c r="Q46" s="93"/>
      <c r="R46" s="81"/>
      <c r="S46" s="82"/>
      <c r="T46" s="82"/>
      <c r="U46" s="322"/>
      <c r="V46" s="323" t="str">
        <f t="shared" si="1"/>
        <v/>
      </c>
      <c r="W46" s="347"/>
      <c r="X46" s="347"/>
      <c r="Y46" s="347"/>
      <c r="Z46" s="347"/>
      <c r="AA46" s="347"/>
      <c r="AB46" s="326"/>
    </row>
    <row r="47" ht="15.75" hidden="1" spans="1:28">
      <c r="A47" s="343">
        <v>36</v>
      </c>
      <c r="B47" s="300">
        <f>'INPUT DATA'!B47:D47</f>
        <v>0</v>
      </c>
      <c r="C47" s="302"/>
      <c r="D47" s="302"/>
      <c r="E47" s="311"/>
      <c r="F47" s="81"/>
      <c r="G47" s="82"/>
      <c r="H47" s="82"/>
      <c r="I47" s="93"/>
      <c r="J47" s="81"/>
      <c r="K47" s="82"/>
      <c r="L47" s="82"/>
      <c r="M47" s="93"/>
      <c r="N47" s="81"/>
      <c r="O47" s="82"/>
      <c r="P47" s="82"/>
      <c r="Q47" s="93"/>
      <c r="R47" s="81"/>
      <c r="S47" s="82"/>
      <c r="T47" s="82"/>
      <c r="U47" s="322"/>
      <c r="V47" s="323" t="str">
        <f t="shared" si="1"/>
        <v/>
      </c>
      <c r="W47" s="347"/>
      <c r="X47" s="347"/>
      <c r="Y47" s="347"/>
      <c r="Z47" s="347"/>
      <c r="AA47" s="347"/>
      <c r="AB47" s="326"/>
    </row>
    <row r="48" ht="15.75" hidden="1" spans="1:28">
      <c r="A48" s="343">
        <v>37</v>
      </c>
      <c r="B48" s="300">
        <f>'INPUT DATA'!B48:D48</f>
        <v>0</v>
      </c>
      <c r="C48" s="303"/>
      <c r="D48" s="303"/>
      <c r="E48" s="311"/>
      <c r="F48" s="81"/>
      <c r="G48" s="82"/>
      <c r="H48" s="82"/>
      <c r="I48" s="93"/>
      <c r="J48" s="81"/>
      <c r="K48" s="82"/>
      <c r="L48" s="82"/>
      <c r="M48" s="93"/>
      <c r="N48" s="81"/>
      <c r="O48" s="82"/>
      <c r="P48" s="82"/>
      <c r="Q48" s="93"/>
      <c r="R48" s="81"/>
      <c r="S48" s="82"/>
      <c r="T48" s="82"/>
      <c r="U48" s="322"/>
      <c r="V48" s="323" t="str">
        <f t="shared" si="1"/>
        <v/>
      </c>
      <c r="W48" s="347"/>
      <c r="X48" s="347"/>
      <c r="Y48" s="347"/>
      <c r="Z48" s="347"/>
      <c r="AA48" s="347"/>
      <c r="AB48" s="326"/>
    </row>
    <row r="49" ht="15.75" hidden="1" spans="1:28">
      <c r="A49" s="343">
        <v>38</v>
      </c>
      <c r="B49" s="300">
        <f>'INPUT DATA'!B49:D49</f>
        <v>0</v>
      </c>
      <c r="C49" s="303"/>
      <c r="D49" s="303"/>
      <c r="E49" s="311"/>
      <c r="F49" s="81"/>
      <c r="G49" s="82"/>
      <c r="H49" s="82"/>
      <c r="I49" s="93"/>
      <c r="J49" s="81"/>
      <c r="K49" s="82"/>
      <c r="L49" s="82"/>
      <c r="M49" s="93"/>
      <c r="N49" s="81"/>
      <c r="O49" s="82"/>
      <c r="P49" s="82"/>
      <c r="Q49" s="93"/>
      <c r="R49" s="81"/>
      <c r="S49" s="82"/>
      <c r="T49" s="82"/>
      <c r="U49" s="322"/>
      <c r="V49" s="323" t="str">
        <f t="shared" si="1"/>
        <v/>
      </c>
      <c r="W49" s="347"/>
      <c r="X49" s="347"/>
      <c r="Y49" s="347"/>
      <c r="Z49" s="347"/>
      <c r="AA49" s="347"/>
      <c r="AB49" s="326"/>
    </row>
    <row r="50" ht="15.75" hidden="1" spans="1:28">
      <c r="A50" s="344">
        <v>39</v>
      </c>
      <c r="B50" s="300">
        <f>'INPUT DATA'!B50:D50</f>
        <v>0</v>
      </c>
      <c r="C50" s="305"/>
      <c r="D50" s="305"/>
      <c r="E50" s="345"/>
      <c r="F50" s="81"/>
      <c r="G50" s="82"/>
      <c r="H50" s="82"/>
      <c r="I50" s="93"/>
      <c r="J50" s="81"/>
      <c r="K50" s="82"/>
      <c r="L50" s="82"/>
      <c r="M50" s="93"/>
      <c r="N50" s="81"/>
      <c r="O50" s="82"/>
      <c r="P50" s="82"/>
      <c r="Q50" s="93"/>
      <c r="R50" s="81"/>
      <c r="S50" s="82"/>
      <c r="T50" s="82"/>
      <c r="U50" s="322"/>
      <c r="V50" s="323" t="str">
        <f t="shared" si="1"/>
        <v/>
      </c>
      <c r="W50" s="347"/>
      <c r="X50" s="347"/>
      <c r="Y50" s="347"/>
      <c r="Z50" s="347"/>
      <c r="AA50" s="347"/>
      <c r="AB50" s="326"/>
    </row>
    <row r="51" ht="15.75" spans="1:28">
      <c r="A51" s="30"/>
      <c r="B51" s="339" t="s">
        <v>39</v>
      </c>
      <c r="C51" s="306"/>
      <c r="D51" s="306"/>
      <c r="E51" s="307"/>
      <c r="F51" s="308"/>
      <c r="G51" s="309"/>
      <c r="H51" s="309"/>
      <c r="I51" s="315"/>
      <c r="J51" s="308"/>
      <c r="K51" s="309"/>
      <c r="L51" s="309"/>
      <c r="M51" s="315"/>
      <c r="N51" s="308"/>
      <c r="O51" s="309"/>
      <c r="P51" s="309"/>
      <c r="Q51" s="315"/>
      <c r="R51" s="308"/>
      <c r="S51" s="309"/>
      <c r="T51" s="309"/>
      <c r="U51" s="324"/>
      <c r="V51" s="333"/>
      <c r="W51" s="334"/>
      <c r="X51" s="334"/>
      <c r="Y51" s="334"/>
      <c r="Z51" s="334"/>
      <c r="AA51" s="334"/>
      <c r="AB51" s="335"/>
    </row>
    <row r="52" ht="15.75" spans="1:28">
      <c r="A52" s="32">
        <v>1</v>
      </c>
      <c r="B52" s="300" t="str">
        <f>'INPUT DATA'!B53:D53</f>
        <v>ANGCOY, PRINCESS NAILLE T.</v>
      </c>
      <c r="C52" s="301"/>
      <c r="D52" s="301"/>
      <c r="E52" s="310"/>
      <c r="F52" s="81">
        <v>85</v>
      </c>
      <c r="G52" s="82"/>
      <c r="H52" s="82"/>
      <c r="I52" s="93"/>
      <c r="J52" s="81">
        <v>86</v>
      </c>
      <c r="K52" s="82"/>
      <c r="L52" s="82"/>
      <c r="M52" s="93"/>
      <c r="N52" s="81">
        <v>85</v>
      </c>
      <c r="O52" s="82"/>
      <c r="P52" s="82"/>
      <c r="Q52" s="93"/>
      <c r="R52" s="81">
        <v>83</v>
      </c>
      <c r="S52" s="82"/>
      <c r="T52" s="82"/>
      <c r="U52" s="322"/>
      <c r="V52" s="323">
        <f t="shared" ref="V52" si="2">IF(OR(F52="",J52="",N52="",R52="",),"",IF(ISERROR(ROUND(AVERAGE(F52,J52,N52,R52),0)),"",ROUND(AVERAGE(F52,J52,N52,R52),0)))</f>
        <v>85</v>
      </c>
      <c r="W52" s="347"/>
      <c r="X52" s="347"/>
      <c r="Y52" s="347"/>
      <c r="Z52" s="347"/>
      <c r="AA52" s="347"/>
      <c r="AB52" s="326"/>
    </row>
    <row r="53" ht="15.75" spans="1:28">
      <c r="A53" s="37">
        <v>2</v>
      </c>
      <c r="B53" s="300" t="str">
        <f>'INPUT DATA'!B54:D54</f>
        <v>BIMOS, SHEILLA KATE O.</v>
      </c>
      <c r="C53" s="302"/>
      <c r="D53" s="302"/>
      <c r="E53" s="311"/>
      <c r="F53" s="81">
        <v>92</v>
      </c>
      <c r="G53" s="82"/>
      <c r="H53" s="82"/>
      <c r="I53" s="93"/>
      <c r="J53" s="81">
        <v>85</v>
      </c>
      <c r="K53" s="82"/>
      <c r="L53" s="82"/>
      <c r="M53" s="93"/>
      <c r="N53" s="81">
        <v>86</v>
      </c>
      <c r="O53" s="82"/>
      <c r="P53" s="82"/>
      <c r="Q53" s="93"/>
      <c r="R53" s="81">
        <v>90</v>
      </c>
      <c r="S53" s="82"/>
      <c r="T53" s="82"/>
      <c r="U53" s="322"/>
      <c r="V53" s="323">
        <f t="shared" ref="V53:V86" si="3">IF(OR(F53="",J53="",N53="",R53="",),"",IF(ISERROR(ROUND(AVERAGE(F53,J53,N53,R53),0)),"",ROUND(AVERAGE(F53,J53,N53,R53),0)))</f>
        <v>88</v>
      </c>
      <c r="W53" s="347"/>
      <c r="X53" s="347"/>
      <c r="Y53" s="347"/>
      <c r="Z53" s="347"/>
      <c r="AA53" s="347"/>
      <c r="AB53" s="326"/>
    </row>
    <row r="54" ht="15.75" spans="1:28">
      <c r="A54" s="37">
        <v>3</v>
      </c>
      <c r="B54" s="300" t="str">
        <f>'INPUT DATA'!B55:D55</f>
        <v>BONGABONG, DWEYN ZHAIRA A.</v>
      </c>
      <c r="C54" s="302"/>
      <c r="D54" s="302"/>
      <c r="E54" s="311"/>
      <c r="F54" s="81">
        <v>88</v>
      </c>
      <c r="G54" s="82"/>
      <c r="H54" s="82"/>
      <c r="I54" s="93"/>
      <c r="J54" s="81">
        <v>88</v>
      </c>
      <c r="K54" s="82"/>
      <c r="L54" s="82"/>
      <c r="M54" s="93"/>
      <c r="N54" s="81">
        <v>90</v>
      </c>
      <c r="O54" s="82"/>
      <c r="P54" s="82"/>
      <c r="Q54" s="93"/>
      <c r="R54" s="81">
        <v>90</v>
      </c>
      <c r="S54" s="82"/>
      <c r="T54" s="82"/>
      <c r="U54" s="322"/>
      <c r="V54" s="323">
        <f t="shared" si="3"/>
        <v>89</v>
      </c>
      <c r="W54" s="347"/>
      <c r="X54" s="347"/>
      <c r="Y54" s="347"/>
      <c r="Z54" s="347"/>
      <c r="AA54" s="347"/>
      <c r="AB54" s="326"/>
    </row>
    <row r="55" ht="15.75" spans="1:28">
      <c r="A55" s="37">
        <v>4</v>
      </c>
      <c r="B55" s="300" t="str">
        <f>'INPUT DATA'!B56:D56</f>
        <v>CABEL, LOURENE A.</v>
      </c>
      <c r="C55" s="302"/>
      <c r="D55" s="302"/>
      <c r="E55" s="311"/>
      <c r="F55" s="81">
        <v>91</v>
      </c>
      <c r="G55" s="82"/>
      <c r="H55" s="82"/>
      <c r="I55" s="93"/>
      <c r="J55" s="81">
        <v>91</v>
      </c>
      <c r="K55" s="82"/>
      <c r="L55" s="82"/>
      <c r="M55" s="93"/>
      <c r="N55" s="81">
        <v>92</v>
      </c>
      <c r="O55" s="82"/>
      <c r="P55" s="82"/>
      <c r="Q55" s="93"/>
      <c r="R55" s="81">
        <v>93</v>
      </c>
      <c r="S55" s="82"/>
      <c r="T55" s="82"/>
      <c r="U55" s="322"/>
      <c r="V55" s="323">
        <f t="shared" si="3"/>
        <v>92</v>
      </c>
      <c r="W55" s="347"/>
      <c r="X55" s="347"/>
      <c r="Y55" s="347"/>
      <c r="Z55" s="347"/>
      <c r="AA55" s="347"/>
      <c r="AB55" s="326"/>
    </row>
    <row r="56" ht="15.75" spans="1:28">
      <c r="A56" s="37">
        <v>5</v>
      </c>
      <c r="B56" s="300" t="str">
        <f>'INPUT DATA'!B57:D57</f>
        <v>CAMIGAO, DHENISE CLARE V.</v>
      </c>
      <c r="C56" s="302"/>
      <c r="D56" s="302"/>
      <c r="E56" s="311"/>
      <c r="F56" s="81">
        <v>87</v>
      </c>
      <c r="G56" s="82"/>
      <c r="H56" s="82"/>
      <c r="I56" s="93"/>
      <c r="J56" s="81">
        <v>87</v>
      </c>
      <c r="K56" s="82"/>
      <c r="L56" s="82"/>
      <c r="M56" s="93"/>
      <c r="N56" s="81">
        <v>85</v>
      </c>
      <c r="O56" s="82"/>
      <c r="P56" s="82"/>
      <c r="Q56" s="93"/>
      <c r="R56" s="81">
        <v>85</v>
      </c>
      <c r="S56" s="82"/>
      <c r="T56" s="82"/>
      <c r="U56" s="322"/>
      <c r="V56" s="323">
        <f t="shared" si="3"/>
        <v>86</v>
      </c>
      <c r="W56" s="347"/>
      <c r="X56" s="347"/>
      <c r="Y56" s="347"/>
      <c r="Z56" s="347"/>
      <c r="AA56" s="347"/>
      <c r="AB56" s="326"/>
    </row>
    <row r="57" ht="15.75" spans="1:28">
      <c r="A57" s="37">
        <v>6</v>
      </c>
      <c r="B57" s="300" t="str">
        <f>'INPUT DATA'!B58:D58</f>
        <v>CARISMA, NATHALIA MAE M.</v>
      </c>
      <c r="C57" s="302"/>
      <c r="D57" s="302"/>
      <c r="E57" s="311"/>
      <c r="F57" s="81">
        <v>88</v>
      </c>
      <c r="G57" s="82"/>
      <c r="H57" s="82"/>
      <c r="I57" s="93"/>
      <c r="J57" s="81">
        <v>86</v>
      </c>
      <c r="K57" s="82"/>
      <c r="L57" s="82"/>
      <c r="M57" s="93"/>
      <c r="N57" s="81">
        <v>87</v>
      </c>
      <c r="O57" s="82"/>
      <c r="P57" s="82"/>
      <c r="Q57" s="93"/>
      <c r="R57" s="81">
        <v>87</v>
      </c>
      <c r="S57" s="82"/>
      <c r="T57" s="82"/>
      <c r="U57" s="322"/>
      <c r="V57" s="323">
        <f t="shared" si="3"/>
        <v>87</v>
      </c>
      <c r="W57" s="347"/>
      <c r="X57" s="347"/>
      <c r="Y57" s="347"/>
      <c r="Z57" s="347"/>
      <c r="AA57" s="347"/>
      <c r="AB57" s="326"/>
    </row>
    <row r="58" ht="15.75" spans="1:28">
      <c r="A58" s="37">
        <v>7</v>
      </c>
      <c r="B58" s="300" t="str">
        <f>'INPUT DATA'!B59:D59</f>
        <v>CLARO, REANZ P.</v>
      </c>
      <c r="C58" s="302"/>
      <c r="D58" s="302"/>
      <c r="E58" s="311"/>
      <c r="F58" s="81">
        <v>86</v>
      </c>
      <c r="G58" s="82"/>
      <c r="H58" s="82"/>
      <c r="I58" s="93"/>
      <c r="J58" s="81">
        <v>84</v>
      </c>
      <c r="K58" s="82"/>
      <c r="L58" s="82"/>
      <c r="M58" s="93"/>
      <c r="N58" s="81">
        <v>85</v>
      </c>
      <c r="O58" s="82"/>
      <c r="P58" s="82"/>
      <c r="Q58" s="93"/>
      <c r="R58" s="81">
        <v>85</v>
      </c>
      <c r="S58" s="82"/>
      <c r="T58" s="82"/>
      <c r="U58" s="322"/>
      <c r="V58" s="323">
        <f t="shared" si="3"/>
        <v>85</v>
      </c>
      <c r="W58" s="347"/>
      <c r="X58" s="347"/>
      <c r="Y58" s="347"/>
      <c r="Z58" s="347"/>
      <c r="AA58" s="347"/>
      <c r="AB58" s="326"/>
    </row>
    <row r="59" ht="15.75" spans="1:28">
      <c r="A59" s="37">
        <v>8</v>
      </c>
      <c r="B59" s="300" t="str">
        <f>'INPUT DATA'!B60:D60</f>
        <v>FRANCISCO, YSABELLA BEATRICE B.</v>
      </c>
      <c r="C59" s="302"/>
      <c r="D59" s="302"/>
      <c r="E59" s="311"/>
      <c r="F59" s="81">
        <v>91</v>
      </c>
      <c r="G59" s="82"/>
      <c r="H59" s="82"/>
      <c r="I59" s="93"/>
      <c r="J59" s="81">
        <v>93</v>
      </c>
      <c r="K59" s="82"/>
      <c r="L59" s="82"/>
      <c r="M59" s="93"/>
      <c r="N59" s="81">
        <v>94</v>
      </c>
      <c r="O59" s="82"/>
      <c r="P59" s="82"/>
      <c r="Q59" s="93"/>
      <c r="R59" s="81">
        <v>95</v>
      </c>
      <c r="S59" s="82"/>
      <c r="T59" s="82"/>
      <c r="U59" s="322"/>
      <c r="V59" s="323">
        <f t="shared" si="3"/>
        <v>93</v>
      </c>
      <c r="W59" s="347"/>
      <c r="X59" s="347"/>
      <c r="Y59" s="347"/>
      <c r="Z59" s="347"/>
      <c r="AA59" s="347"/>
      <c r="AB59" s="326"/>
    </row>
    <row r="60" ht="15.75" spans="1:28">
      <c r="A60" s="37">
        <v>9</v>
      </c>
      <c r="B60" s="300" t="str">
        <f>'INPUT DATA'!B61:D61</f>
        <v>GALDO, ALYSSA RHIAN P.</v>
      </c>
      <c r="C60" s="302"/>
      <c r="D60" s="302"/>
      <c r="E60" s="311"/>
      <c r="F60" s="81">
        <v>90</v>
      </c>
      <c r="G60" s="82"/>
      <c r="H60" s="82"/>
      <c r="I60" s="93"/>
      <c r="J60" s="81"/>
      <c r="K60" s="82"/>
      <c r="L60" s="82"/>
      <c r="M60" s="93"/>
      <c r="N60" s="81"/>
      <c r="O60" s="82"/>
      <c r="P60" s="82"/>
      <c r="Q60" s="93"/>
      <c r="R60" s="81"/>
      <c r="S60" s="82"/>
      <c r="T60" s="82"/>
      <c r="U60" s="322"/>
      <c r="V60" s="323" t="str">
        <f t="shared" si="3"/>
        <v/>
      </c>
      <c r="W60" s="347"/>
      <c r="X60" s="347"/>
      <c r="Y60" s="347"/>
      <c r="Z60" s="347"/>
      <c r="AA60" s="347"/>
      <c r="AB60" s="326"/>
    </row>
    <row r="61" ht="15.75" spans="1:28">
      <c r="A61" s="37">
        <v>10</v>
      </c>
      <c r="B61" s="300" t="str">
        <f>'INPUT DATA'!B62:D62</f>
        <v>HURAÑO, RIOMI M.</v>
      </c>
      <c r="C61" s="302"/>
      <c r="D61" s="302"/>
      <c r="E61" s="311"/>
      <c r="F61" s="81">
        <v>87</v>
      </c>
      <c r="G61" s="82"/>
      <c r="H61" s="82"/>
      <c r="I61" s="93"/>
      <c r="J61" s="81">
        <v>88</v>
      </c>
      <c r="K61" s="82"/>
      <c r="L61" s="82"/>
      <c r="M61" s="93"/>
      <c r="N61" s="81">
        <v>90</v>
      </c>
      <c r="O61" s="82"/>
      <c r="P61" s="82"/>
      <c r="Q61" s="93"/>
      <c r="R61" s="81">
        <v>90</v>
      </c>
      <c r="S61" s="82"/>
      <c r="T61" s="82"/>
      <c r="U61" s="322"/>
      <c r="V61" s="323">
        <f t="shared" si="3"/>
        <v>89</v>
      </c>
      <c r="W61" s="347"/>
      <c r="X61" s="347"/>
      <c r="Y61" s="347"/>
      <c r="Z61" s="347"/>
      <c r="AA61" s="347"/>
      <c r="AB61" s="326"/>
    </row>
    <row r="62" ht="15.75" spans="1:28">
      <c r="A62" s="37">
        <v>11</v>
      </c>
      <c r="B62" s="300" t="str">
        <f>'INPUT DATA'!B63:D63</f>
        <v>LAGUNA, WELLAIZA O.</v>
      </c>
      <c r="C62" s="302"/>
      <c r="D62" s="302"/>
      <c r="E62" s="311"/>
      <c r="F62" s="81">
        <v>86</v>
      </c>
      <c r="G62" s="82"/>
      <c r="H62" s="82"/>
      <c r="I62" s="93"/>
      <c r="J62" s="81"/>
      <c r="K62" s="82"/>
      <c r="L62" s="82"/>
      <c r="M62" s="93"/>
      <c r="N62" s="81"/>
      <c r="O62" s="82"/>
      <c r="P62" s="82"/>
      <c r="Q62" s="93"/>
      <c r="R62" s="81"/>
      <c r="S62" s="82"/>
      <c r="T62" s="82"/>
      <c r="U62" s="322"/>
      <c r="V62" s="323" t="str">
        <f t="shared" si="3"/>
        <v/>
      </c>
      <c r="W62" s="347"/>
      <c r="X62" s="347"/>
      <c r="Y62" s="347"/>
      <c r="Z62" s="347"/>
      <c r="AA62" s="347"/>
      <c r="AB62" s="326"/>
    </row>
    <row r="63" ht="15.75" spans="1:28">
      <c r="A63" s="37">
        <v>12</v>
      </c>
      <c r="B63" s="300" t="str">
        <f>'INPUT DATA'!B64:D64</f>
        <v>LAZAGA, PRINCESS JEAN O.</v>
      </c>
      <c r="C63" s="302"/>
      <c r="D63" s="302"/>
      <c r="E63" s="311"/>
      <c r="F63" s="81">
        <v>85</v>
      </c>
      <c r="G63" s="82"/>
      <c r="H63" s="82"/>
      <c r="I63" s="93"/>
      <c r="J63" s="81">
        <v>87</v>
      </c>
      <c r="K63" s="82"/>
      <c r="L63" s="82"/>
      <c r="M63" s="93"/>
      <c r="N63" s="81">
        <v>89</v>
      </c>
      <c r="O63" s="82"/>
      <c r="P63" s="82"/>
      <c r="Q63" s="93"/>
      <c r="R63" s="81">
        <v>90</v>
      </c>
      <c r="S63" s="82"/>
      <c r="T63" s="82"/>
      <c r="U63" s="322"/>
      <c r="V63" s="323">
        <f t="shared" si="3"/>
        <v>88</v>
      </c>
      <c r="W63" s="347"/>
      <c r="X63" s="347"/>
      <c r="Y63" s="347"/>
      <c r="Z63" s="347"/>
      <c r="AA63" s="347"/>
      <c r="AB63" s="326"/>
    </row>
    <row r="64" ht="15.75" spans="1:28">
      <c r="A64" s="37">
        <v>13</v>
      </c>
      <c r="B64" s="300" t="str">
        <f>'INPUT DATA'!B65:D65</f>
        <v>LIBRES, MIKYLLA B.</v>
      </c>
      <c r="C64" s="302"/>
      <c r="D64" s="302"/>
      <c r="E64" s="311"/>
      <c r="F64" s="81">
        <v>82</v>
      </c>
      <c r="G64" s="82"/>
      <c r="H64" s="82"/>
      <c r="I64" s="93"/>
      <c r="J64" s="81">
        <v>78</v>
      </c>
      <c r="K64" s="82"/>
      <c r="L64" s="82"/>
      <c r="M64" s="93"/>
      <c r="N64" s="81">
        <v>80</v>
      </c>
      <c r="O64" s="82"/>
      <c r="P64" s="82"/>
      <c r="Q64" s="93"/>
      <c r="R64" s="81">
        <v>78</v>
      </c>
      <c r="S64" s="82"/>
      <c r="T64" s="82"/>
      <c r="U64" s="322"/>
      <c r="V64" s="323">
        <f t="shared" si="3"/>
        <v>80</v>
      </c>
      <c r="W64" s="347"/>
      <c r="X64" s="347"/>
      <c r="Y64" s="347"/>
      <c r="Z64" s="347"/>
      <c r="AA64" s="347"/>
      <c r="AB64" s="326"/>
    </row>
    <row r="65" ht="15.75" spans="1:28">
      <c r="A65" s="37">
        <v>14</v>
      </c>
      <c r="B65" s="300" t="str">
        <f>'INPUT DATA'!B66:D66</f>
        <v>LIM, LENNIE GRACE S.</v>
      </c>
      <c r="C65" s="302"/>
      <c r="D65" s="302"/>
      <c r="E65" s="311"/>
      <c r="F65" s="81">
        <v>92</v>
      </c>
      <c r="G65" s="82"/>
      <c r="H65" s="82"/>
      <c r="I65" s="93"/>
      <c r="J65" s="81">
        <v>86</v>
      </c>
      <c r="K65" s="82"/>
      <c r="L65" s="82"/>
      <c r="M65" s="93"/>
      <c r="N65" s="81">
        <v>87</v>
      </c>
      <c r="O65" s="82"/>
      <c r="P65" s="82"/>
      <c r="Q65" s="93"/>
      <c r="R65" s="81">
        <v>88</v>
      </c>
      <c r="S65" s="82"/>
      <c r="T65" s="82"/>
      <c r="U65" s="322"/>
      <c r="V65" s="323">
        <f t="shared" si="3"/>
        <v>88</v>
      </c>
      <c r="W65" s="347"/>
      <c r="X65" s="347"/>
      <c r="Y65" s="347"/>
      <c r="Z65" s="347"/>
      <c r="AA65" s="347"/>
      <c r="AB65" s="326"/>
    </row>
    <row r="66" ht="15.75" spans="1:28">
      <c r="A66" s="37">
        <v>15</v>
      </c>
      <c r="B66" s="300" t="str">
        <f>'INPUT DATA'!B67:D67</f>
        <v>MASAYON, RHEA JANE L.</v>
      </c>
      <c r="C66" s="302"/>
      <c r="D66" s="302"/>
      <c r="E66" s="311"/>
      <c r="F66" s="81">
        <v>80</v>
      </c>
      <c r="G66" s="82"/>
      <c r="H66" s="82"/>
      <c r="I66" s="93"/>
      <c r="J66" s="81">
        <v>76</v>
      </c>
      <c r="K66" s="82"/>
      <c r="L66" s="82"/>
      <c r="M66" s="93"/>
      <c r="N66" s="81">
        <v>73</v>
      </c>
      <c r="O66" s="82"/>
      <c r="P66" s="82"/>
      <c r="Q66" s="93"/>
      <c r="R66" s="81">
        <v>75</v>
      </c>
      <c r="S66" s="82"/>
      <c r="T66" s="82"/>
      <c r="U66" s="322"/>
      <c r="V66" s="323">
        <f t="shared" si="3"/>
        <v>76</v>
      </c>
      <c r="W66" s="347"/>
      <c r="X66" s="347"/>
      <c r="Y66" s="347"/>
      <c r="Z66" s="347"/>
      <c r="AA66" s="347"/>
      <c r="AB66" s="326"/>
    </row>
    <row r="67" ht="15.75" spans="1:28">
      <c r="A67" s="37">
        <v>16</v>
      </c>
      <c r="B67" s="300" t="str">
        <f>'INPUT DATA'!B68:D68</f>
        <v>MORANCIL, JENEVI A.</v>
      </c>
      <c r="C67" s="302"/>
      <c r="D67" s="302"/>
      <c r="E67" s="311"/>
      <c r="F67" s="81">
        <v>90</v>
      </c>
      <c r="G67" s="82"/>
      <c r="H67" s="82"/>
      <c r="I67" s="93"/>
      <c r="J67" s="81">
        <v>88</v>
      </c>
      <c r="K67" s="82"/>
      <c r="L67" s="82"/>
      <c r="M67" s="93"/>
      <c r="N67" s="81">
        <v>90</v>
      </c>
      <c r="O67" s="82"/>
      <c r="P67" s="82"/>
      <c r="Q67" s="93"/>
      <c r="R67" s="81">
        <v>90</v>
      </c>
      <c r="S67" s="82"/>
      <c r="T67" s="82"/>
      <c r="U67" s="322"/>
      <c r="V67" s="323">
        <f t="shared" si="3"/>
        <v>90</v>
      </c>
      <c r="W67" s="347"/>
      <c r="X67" s="347"/>
      <c r="Y67" s="347"/>
      <c r="Z67" s="347"/>
      <c r="AA67" s="347"/>
      <c r="AB67" s="326"/>
    </row>
    <row r="68" ht="15.75" spans="1:28">
      <c r="A68" s="37">
        <v>17</v>
      </c>
      <c r="B68" s="300" t="str">
        <f>'INPUT DATA'!B69:D69</f>
        <v>PATRICIO, MICHA ELLA P.</v>
      </c>
      <c r="C68" s="302"/>
      <c r="D68" s="302"/>
      <c r="E68" s="311"/>
      <c r="F68" s="81">
        <v>77</v>
      </c>
      <c r="G68" s="82"/>
      <c r="H68" s="82"/>
      <c r="I68" s="93"/>
      <c r="J68" s="81">
        <v>71</v>
      </c>
      <c r="K68" s="82"/>
      <c r="L68" s="82"/>
      <c r="M68" s="93"/>
      <c r="N68" s="81">
        <v>77</v>
      </c>
      <c r="O68" s="82"/>
      <c r="P68" s="82"/>
      <c r="Q68" s="93"/>
      <c r="R68" s="81">
        <v>80</v>
      </c>
      <c r="S68" s="82"/>
      <c r="T68" s="82"/>
      <c r="U68" s="322"/>
      <c r="V68" s="323">
        <f t="shared" si="3"/>
        <v>76</v>
      </c>
      <c r="W68" s="347"/>
      <c r="X68" s="347"/>
      <c r="Y68" s="347"/>
      <c r="Z68" s="347"/>
      <c r="AA68" s="347"/>
      <c r="AB68" s="326"/>
    </row>
    <row r="69" ht="15.75" spans="1:28">
      <c r="A69" s="37">
        <v>18</v>
      </c>
      <c r="B69" s="300" t="str">
        <f>'INPUT DATA'!B70:D70</f>
        <v>PELINGON , ASHLEY C.</v>
      </c>
      <c r="C69" s="302"/>
      <c r="D69" s="302"/>
      <c r="E69" s="311"/>
      <c r="F69" s="81">
        <v>86</v>
      </c>
      <c r="G69" s="82"/>
      <c r="H69" s="82"/>
      <c r="I69" s="93"/>
      <c r="J69" s="81">
        <v>83</v>
      </c>
      <c r="K69" s="82"/>
      <c r="L69" s="82"/>
      <c r="M69" s="93"/>
      <c r="N69" s="81">
        <v>84</v>
      </c>
      <c r="O69" s="82"/>
      <c r="P69" s="82"/>
      <c r="Q69" s="93"/>
      <c r="R69" s="81">
        <v>85</v>
      </c>
      <c r="S69" s="82"/>
      <c r="T69" s="82"/>
      <c r="U69" s="322"/>
      <c r="V69" s="323">
        <f t="shared" si="3"/>
        <v>85</v>
      </c>
      <c r="W69" s="347"/>
      <c r="X69" s="347"/>
      <c r="Y69" s="347"/>
      <c r="Z69" s="347"/>
      <c r="AA69" s="347"/>
      <c r="AB69" s="326"/>
    </row>
    <row r="70" ht="15.75" spans="1:28">
      <c r="A70" s="37">
        <v>19</v>
      </c>
      <c r="B70" s="300" t="str">
        <f>'INPUT DATA'!B71:D71</f>
        <v>PEREZ, MERCY JEAN T.</v>
      </c>
      <c r="C70" s="302"/>
      <c r="D70" s="302"/>
      <c r="E70" s="311"/>
      <c r="F70" s="81">
        <v>81</v>
      </c>
      <c r="G70" s="82"/>
      <c r="H70" s="82"/>
      <c r="I70" s="93"/>
      <c r="J70" s="81">
        <v>75</v>
      </c>
      <c r="K70" s="82"/>
      <c r="L70" s="82"/>
      <c r="M70" s="93"/>
      <c r="N70" s="81">
        <v>77</v>
      </c>
      <c r="O70" s="82"/>
      <c r="P70" s="82"/>
      <c r="Q70" s="93"/>
      <c r="R70" s="81">
        <v>77</v>
      </c>
      <c r="S70" s="82"/>
      <c r="T70" s="82"/>
      <c r="U70" s="322"/>
      <c r="V70" s="323">
        <f t="shared" si="3"/>
        <v>78</v>
      </c>
      <c r="W70" s="347"/>
      <c r="X70" s="347"/>
      <c r="Y70" s="347"/>
      <c r="Z70" s="347"/>
      <c r="AA70" s="347"/>
      <c r="AB70" s="326"/>
    </row>
    <row r="71" ht="15.75" spans="1:28">
      <c r="A71" s="37">
        <v>20</v>
      </c>
      <c r="B71" s="300" t="str">
        <f>'INPUT DATA'!B72:D72</f>
        <v>PINGOT, RHEA L.</v>
      </c>
      <c r="C71" s="302"/>
      <c r="D71" s="302"/>
      <c r="E71" s="311"/>
      <c r="F71" s="81">
        <v>81</v>
      </c>
      <c r="G71" s="82"/>
      <c r="H71" s="82"/>
      <c r="I71" s="93"/>
      <c r="J71" s="81">
        <v>73</v>
      </c>
      <c r="K71" s="82"/>
      <c r="L71" s="82"/>
      <c r="M71" s="93"/>
      <c r="N71" s="81">
        <v>70</v>
      </c>
      <c r="O71" s="82"/>
      <c r="P71" s="82"/>
      <c r="Q71" s="93"/>
      <c r="R71" s="81">
        <v>70</v>
      </c>
      <c r="S71" s="82"/>
      <c r="T71" s="82"/>
      <c r="U71" s="322"/>
      <c r="V71" s="323">
        <f t="shared" si="3"/>
        <v>74</v>
      </c>
      <c r="W71" s="347"/>
      <c r="X71" s="347"/>
      <c r="Y71" s="347"/>
      <c r="Z71" s="347"/>
      <c r="AA71" s="347"/>
      <c r="AB71" s="326"/>
    </row>
    <row r="72" ht="15.75" spans="1:28">
      <c r="A72" s="37">
        <v>21</v>
      </c>
      <c r="B72" s="300" t="str">
        <f>'INPUT DATA'!B73:D73</f>
        <v>QUILAT, FERRA MAE</v>
      </c>
      <c r="C72" s="302"/>
      <c r="D72" s="302"/>
      <c r="E72" s="311"/>
      <c r="F72" s="81">
        <v>79</v>
      </c>
      <c r="G72" s="82"/>
      <c r="H72" s="82"/>
      <c r="I72" s="93"/>
      <c r="J72" s="81">
        <v>70</v>
      </c>
      <c r="K72" s="82"/>
      <c r="L72" s="82"/>
      <c r="M72" s="93"/>
      <c r="N72" s="81">
        <v>72</v>
      </c>
      <c r="O72" s="82"/>
      <c r="P72" s="82"/>
      <c r="Q72" s="93"/>
      <c r="R72" s="81">
        <v>77</v>
      </c>
      <c r="S72" s="82"/>
      <c r="T72" s="82"/>
      <c r="U72" s="322"/>
      <c r="V72" s="323">
        <f t="shared" si="3"/>
        <v>75</v>
      </c>
      <c r="W72" s="347"/>
      <c r="X72" s="347"/>
      <c r="Y72" s="347"/>
      <c r="Z72" s="347"/>
      <c r="AA72" s="347"/>
      <c r="AB72" s="326"/>
    </row>
    <row r="73" ht="15.75" spans="1:28">
      <c r="A73" s="37">
        <v>22</v>
      </c>
      <c r="B73" s="300" t="str">
        <f>'INPUT DATA'!B74:D74</f>
        <v>ROSALES, RYZA MAE C.</v>
      </c>
      <c r="C73" s="302"/>
      <c r="D73" s="302"/>
      <c r="E73" s="311"/>
      <c r="F73" s="81">
        <v>84</v>
      </c>
      <c r="G73" s="82"/>
      <c r="H73" s="82"/>
      <c r="I73" s="93"/>
      <c r="J73" s="81">
        <v>80</v>
      </c>
      <c r="K73" s="82"/>
      <c r="L73" s="82"/>
      <c r="M73" s="93"/>
      <c r="N73" s="81">
        <v>84</v>
      </c>
      <c r="O73" s="82"/>
      <c r="P73" s="82"/>
      <c r="Q73" s="93"/>
      <c r="R73" s="81">
        <v>86</v>
      </c>
      <c r="S73" s="82"/>
      <c r="T73" s="82"/>
      <c r="U73" s="322"/>
      <c r="V73" s="323">
        <f t="shared" si="3"/>
        <v>84</v>
      </c>
      <c r="W73" s="347"/>
      <c r="X73" s="347"/>
      <c r="Y73" s="347"/>
      <c r="Z73" s="347"/>
      <c r="AA73" s="347"/>
      <c r="AB73" s="326"/>
    </row>
    <row r="74" ht="15.75" spans="1:28">
      <c r="A74" s="37">
        <v>23</v>
      </c>
      <c r="B74" s="300">
        <f>'INPUT DATA'!B75:D75</f>
        <v>0</v>
      </c>
      <c r="C74" s="302"/>
      <c r="D74" s="302"/>
      <c r="E74" s="311"/>
      <c r="F74" s="81"/>
      <c r="G74" s="82"/>
      <c r="H74" s="82"/>
      <c r="I74" s="93"/>
      <c r="J74" s="81"/>
      <c r="K74" s="82"/>
      <c r="L74" s="82"/>
      <c r="M74" s="93"/>
      <c r="N74" s="81"/>
      <c r="O74" s="82"/>
      <c r="P74" s="82"/>
      <c r="Q74" s="93"/>
      <c r="R74" s="81"/>
      <c r="S74" s="82"/>
      <c r="T74" s="82"/>
      <c r="U74" s="322"/>
      <c r="V74" s="323" t="str">
        <f t="shared" si="3"/>
        <v/>
      </c>
      <c r="W74" s="347"/>
      <c r="X74" s="347"/>
      <c r="Y74" s="347"/>
      <c r="Z74" s="347"/>
      <c r="AA74" s="347"/>
      <c r="AB74" s="326"/>
    </row>
    <row r="75" ht="15.75" spans="1:28">
      <c r="A75" s="37">
        <v>24</v>
      </c>
      <c r="B75" s="300">
        <f>'INPUT DATA'!B76:D76</f>
        <v>0</v>
      </c>
      <c r="C75" s="302"/>
      <c r="D75" s="302"/>
      <c r="E75" s="311"/>
      <c r="F75" s="81"/>
      <c r="G75" s="82"/>
      <c r="H75" s="82"/>
      <c r="I75" s="93"/>
      <c r="J75" s="81"/>
      <c r="K75" s="82"/>
      <c r="L75" s="82"/>
      <c r="M75" s="93"/>
      <c r="N75" s="81"/>
      <c r="O75" s="82"/>
      <c r="P75" s="82"/>
      <c r="Q75" s="93"/>
      <c r="R75" s="81"/>
      <c r="S75" s="82"/>
      <c r="T75" s="82"/>
      <c r="U75" s="322"/>
      <c r="V75" s="323" t="str">
        <f t="shared" si="3"/>
        <v/>
      </c>
      <c r="W75" s="347"/>
      <c r="X75" s="347"/>
      <c r="Y75" s="347"/>
      <c r="Z75" s="347"/>
      <c r="AA75" s="347"/>
      <c r="AB75" s="326"/>
    </row>
    <row r="76" ht="15" spans="1:28">
      <c r="A76" s="37">
        <v>25</v>
      </c>
      <c r="B76" s="300">
        <f>'INPUT DATA'!B77:D77</f>
        <v>0</v>
      </c>
      <c r="C76" s="302"/>
      <c r="D76" s="302"/>
      <c r="E76" s="311"/>
      <c r="F76" s="81"/>
      <c r="G76" s="82"/>
      <c r="H76" s="82"/>
      <c r="I76" s="93"/>
      <c r="J76" s="81"/>
      <c r="K76" s="82"/>
      <c r="L76" s="82"/>
      <c r="M76" s="93"/>
      <c r="N76" s="81"/>
      <c r="O76" s="82"/>
      <c r="P76" s="82"/>
      <c r="Q76" s="93"/>
      <c r="R76" s="81"/>
      <c r="S76" s="82"/>
      <c r="T76" s="82"/>
      <c r="U76" s="322"/>
      <c r="V76" s="323" t="str">
        <f t="shared" si="3"/>
        <v/>
      </c>
      <c r="W76" s="347"/>
      <c r="X76" s="347"/>
      <c r="Y76" s="347"/>
      <c r="Z76" s="347"/>
      <c r="AA76" s="347"/>
      <c r="AB76" s="326"/>
    </row>
    <row r="77" ht="15.75" hidden="1" spans="1:28">
      <c r="A77" s="42">
        <v>26</v>
      </c>
      <c r="B77" s="300">
        <f>'INPUT DATA'!B78:D78</f>
        <v>0</v>
      </c>
      <c r="C77" s="107"/>
      <c r="D77" s="107"/>
      <c r="E77" s="108"/>
      <c r="F77" s="81"/>
      <c r="G77" s="82"/>
      <c r="H77" s="82"/>
      <c r="I77" s="93"/>
      <c r="J77" s="81"/>
      <c r="K77" s="82"/>
      <c r="L77" s="82"/>
      <c r="M77" s="93"/>
      <c r="N77" s="81"/>
      <c r="O77" s="82"/>
      <c r="P77" s="82"/>
      <c r="Q77" s="93"/>
      <c r="R77" s="81"/>
      <c r="S77" s="82"/>
      <c r="T77" s="82"/>
      <c r="U77" s="322"/>
      <c r="V77" s="323" t="str">
        <f t="shared" si="3"/>
        <v/>
      </c>
      <c r="W77" s="347"/>
      <c r="X77" s="347"/>
      <c r="Y77" s="347"/>
      <c r="Z77" s="347"/>
      <c r="AA77" s="347"/>
      <c r="AB77" s="326"/>
    </row>
    <row r="78" ht="15.75" hidden="1" spans="1:28">
      <c r="A78" s="42">
        <v>27</v>
      </c>
      <c r="B78" s="300">
        <f>'INPUT DATA'!B79:D79</f>
        <v>0</v>
      </c>
      <c r="C78" s="107"/>
      <c r="D78" s="107"/>
      <c r="E78" s="108"/>
      <c r="F78" s="81"/>
      <c r="G78" s="82"/>
      <c r="H78" s="82"/>
      <c r="I78" s="93"/>
      <c r="J78" s="81"/>
      <c r="K78" s="82"/>
      <c r="L78" s="82"/>
      <c r="M78" s="93"/>
      <c r="N78" s="81"/>
      <c r="O78" s="82"/>
      <c r="P78" s="82"/>
      <c r="Q78" s="93"/>
      <c r="R78" s="81"/>
      <c r="S78" s="82"/>
      <c r="T78" s="82"/>
      <c r="U78" s="322"/>
      <c r="V78" s="323" t="str">
        <f t="shared" si="3"/>
        <v/>
      </c>
      <c r="W78" s="347"/>
      <c r="X78" s="347"/>
      <c r="Y78" s="347"/>
      <c r="Z78" s="347"/>
      <c r="AA78" s="347"/>
      <c r="AB78" s="326"/>
    </row>
    <row r="79" ht="15.75" hidden="1" spans="1:28">
      <c r="A79" s="42">
        <v>28</v>
      </c>
      <c r="B79" s="300">
        <f>'INPUT DATA'!B80:D80</f>
        <v>0</v>
      </c>
      <c r="C79" s="107"/>
      <c r="D79" s="107"/>
      <c r="E79" s="108"/>
      <c r="F79" s="81"/>
      <c r="G79" s="82"/>
      <c r="H79" s="82"/>
      <c r="I79" s="93"/>
      <c r="J79" s="81"/>
      <c r="K79" s="82"/>
      <c r="L79" s="82"/>
      <c r="M79" s="93"/>
      <c r="N79" s="81"/>
      <c r="O79" s="82"/>
      <c r="P79" s="82"/>
      <c r="Q79" s="93"/>
      <c r="R79" s="81"/>
      <c r="S79" s="82"/>
      <c r="T79" s="82"/>
      <c r="U79" s="322"/>
      <c r="V79" s="323" t="str">
        <f t="shared" si="3"/>
        <v/>
      </c>
      <c r="W79" s="347"/>
      <c r="X79" s="347"/>
      <c r="Y79" s="347"/>
      <c r="Z79" s="347"/>
      <c r="AA79" s="347"/>
      <c r="AB79" s="326"/>
    </row>
    <row r="80" ht="15.75" hidden="1" spans="1:28">
      <c r="A80" s="42">
        <v>29</v>
      </c>
      <c r="B80" s="300">
        <f>'INPUT DATA'!B81:D81</f>
        <v>0</v>
      </c>
      <c r="C80" s="107"/>
      <c r="D80" s="107"/>
      <c r="E80" s="108"/>
      <c r="F80" s="81"/>
      <c r="G80" s="82"/>
      <c r="H80" s="82"/>
      <c r="I80" s="93"/>
      <c r="J80" s="81"/>
      <c r="K80" s="82"/>
      <c r="L80" s="82"/>
      <c r="M80" s="93"/>
      <c r="N80" s="81"/>
      <c r="O80" s="82"/>
      <c r="P80" s="82"/>
      <c r="Q80" s="93"/>
      <c r="R80" s="81"/>
      <c r="S80" s="82"/>
      <c r="T80" s="82"/>
      <c r="U80" s="322"/>
      <c r="V80" s="323" t="str">
        <f t="shared" si="3"/>
        <v/>
      </c>
      <c r="W80" s="347"/>
      <c r="X80" s="347"/>
      <c r="Y80" s="347"/>
      <c r="Z80" s="347"/>
      <c r="AA80" s="347"/>
      <c r="AB80" s="326"/>
    </row>
    <row r="81" ht="15.75" hidden="1" spans="1:28">
      <c r="A81" s="42">
        <v>30</v>
      </c>
      <c r="B81" s="300">
        <f>'INPUT DATA'!B82:D82</f>
        <v>0</v>
      </c>
      <c r="C81" s="107"/>
      <c r="D81" s="107"/>
      <c r="E81" s="108"/>
      <c r="F81" s="81"/>
      <c r="G81" s="82"/>
      <c r="H81" s="82"/>
      <c r="I81" s="93"/>
      <c r="J81" s="81"/>
      <c r="K81" s="82"/>
      <c r="L81" s="82"/>
      <c r="M81" s="93"/>
      <c r="N81" s="81"/>
      <c r="O81" s="82"/>
      <c r="P81" s="82"/>
      <c r="Q81" s="93"/>
      <c r="R81" s="81"/>
      <c r="S81" s="82"/>
      <c r="T81" s="82"/>
      <c r="U81" s="322"/>
      <c r="V81" s="323" t="str">
        <f t="shared" si="3"/>
        <v/>
      </c>
      <c r="W81" s="347"/>
      <c r="X81" s="347"/>
      <c r="Y81" s="347"/>
      <c r="Z81" s="347"/>
      <c r="AA81" s="347"/>
      <c r="AB81" s="326"/>
    </row>
    <row r="82" ht="15.75" hidden="1" spans="1:28">
      <c r="A82" s="42">
        <v>31</v>
      </c>
      <c r="B82" s="300">
        <f>'INPUT DATA'!B83:D83</f>
        <v>0</v>
      </c>
      <c r="C82" s="107"/>
      <c r="D82" s="107"/>
      <c r="E82" s="108"/>
      <c r="F82" s="81"/>
      <c r="G82" s="82"/>
      <c r="H82" s="82"/>
      <c r="I82" s="93"/>
      <c r="J82" s="81"/>
      <c r="K82" s="82"/>
      <c r="L82" s="82"/>
      <c r="M82" s="93"/>
      <c r="N82" s="81"/>
      <c r="O82" s="82"/>
      <c r="P82" s="82"/>
      <c r="Q82" s="93"/>
      <c r="R82" s="81"/>
      <c r="S82" s="82"/>
      <c r="T82" s="82"/>
      <c r="U82" s="322"/>
      <c r="V82" s="323" t="str">
        <f t="shared" si="3"/>
        <v/>
      </c>
      <c r="W82" s="347"/>
      <c r="X82" s="347"/>
      <c r="Y82" s="347"/>
      <c r="Z82" s="347"/>
      <c r="AA82" s="347"/>
      <c r="AB82" s="326"/>
    </row>
    <row r="83" ht="15.75" hidden="1" spans="1:28">
      <c r="A83" s="42">
        <v>32</v>
      </c>
      <c r="B83" s="300">
        <f>'INPUT DATA'!B84:D84</f>
        <v>0</v>
      </c>
      <c r="C83" s="107"/>
      <c r="D83" s="107"/>
      <c r="E83" s="108"/>
      <c r="F83" s="81"/>
      <c r="G83" s="82"/>
      <c r="H83" s="82"/>
      <c r="I83" s="93"/>
      <c r="J83" s="81"/>
      <c r="K83" s="82"/>
      <c r="L83" s="82"/>
      <c r="M83" s="93"/>
      <c r="N83" s="81"/>
      <c r="O83" s="82"/>
      <c r="P83" s="82"/>
      <c r="Q83" s="93"/>
      <c r="R83" s="81"/>
      <c r="S83" s="82"/>
      <c r="T83" s="82"/>
      <c r="U83" s="322"/>
      <c r="V83" s="323" t="str">
        <f t="shared" si="3"/>
        <v/>
      </c>
      <c r="W83" s="347"/>
      <c r="X83" s="347"/>
      <c r="Y83" s="347"/>
      <c r="Z83" s="347"/>
      <c r="AA83" s="347"/>
      <c r="AB83" s="326"/>
    </row>
    <row r="84" ht="15.75" hidden="1" spans="1:28">
      <c r="A84" s="42">
        <v>33</v>
      </c>
      <c r="B84" s="300">
        <f>'INPUT DATA'!B85:D85</f>
        <v>0</v>
      </c>
      <c r="C84" s="107"/>
      <c r="D84" s="107"/>
      <c r="E84" s="108"/>
      <c r="F84" s="81"/>
      <c r="G84" s="82"/>
      <c r="H84" s="82"/>
      <c r="I84" s="93"/>
      <c r="J84" s="81"/>
      <c r="K84" s="82"/>
      <c r="L84" s="82"/>
      <c r="M84" s="93"/>
      <c r="N84" s="81"/>
      <c r="O84" s="82"/>
      <c r="P84" s="82"/>
      <c r="Q84" s="93"/>
      <c r="R84" s="81"/>
      <c r="S84" s="82"/>
      <c r="T84" s="82"/>
      <c r="U84" s="322"/>
      <c r="V84" s="323" t="str">
        <f t="shared" si="3"/>
        <v/>
      </c>
      <c r="W84" s="347"/>
      <c r="X84" s="347"/>
      <c r="Y84" s="347"/>
      <c r="Z84" s="347"/>
      <c r="AA84" s="347"/>
      <c r="AB84" s="326"/>
    </row>
    <row r="85" ht="15.75" hidden="1" spans="1:28">
      <c r="A85" s="42">
        <v>34</v>
      </c>
      <c r="B85" s="300">
        <f>'INPUT DATA'!B86:D86</f>
        <v>0</v>
      </c>
      <c r="C85" s="107"/>
      <c r="D85" s="107"/>
      <c r="E85" s="108"/>
      <c r="F85" s="81"/>
      <c r="G85" s="82"/>
      <c r="H85" s="82"/>
      <c r="I85" s="93"/>
      <c r="J85" s="81"/>
      <c r="K85" s="82"/>
      <c r="L85" s="82"/>
      <c r="M85" s="93"/>
      <c r="N85" s="81"/>
      <c r="O85" s="82"/>
      <c r="P85" s="82"/>
      <c r="Q85" s="93"/>
      <c r="R85" s="81"/>
      <c r="S85" s="82"/>
      <c r="T85" s="82"/>
      <c r="U85" s="322"/>
      <c r="V85" s="323" t="str">
        <f t="shared" si="3"/>
        <v/>
      </c>
      <c r="W85" s="347"/>
      <c r="X85" s="347"/>
      <c r="Y85" s="347"/>
      <c r="Z85" s="347"/>
      <c r="AA85" s="347"/>
      <c r="AB85" s="326"/>
    </row>
    <row r="86" ht="15" hidden="1" spans="1:28">
      <c r="A86" s="42">
        <v>35</v>
      </c>
      <c r="B86" s="300">
        <f>'INPUT DATA'!B87:D87</f>
        <v>0</v>
      </c>
      <c r="C86" s="109"/>
      <c r="D86" s="109"/>
      <c r="E86" s="110"/>
      <c r="F86" s="81"/>
      <c r="G86" s="82"/>
      <c r="H86" s="82"/>
      <c r="I86" s="93"/>
      <c r="J86" s="81"/>
      <c r="K86" s="82"/>
      <c r="L86" s="82"/>
      <c r="M86" s="93"/>
      <c r="N86" s="81"/>
      <c r="O86" s="82"/>
      <c r="P86" s="82"/>
      <c r="Q86" s="93"/>
      <c r="R86" s="81"/>
      <c r="S86" s="82"/>
      <c r="T86" s="82"/>
      <c r="U86" s="322"/>
      <c r="V86" s="323" t="str">
        <f t="shared" si="3"/>
        <v/>
      </c>
      <c r="W86" s="347"/>
      <c r="X86" s="347"/>
      <c r="Y86" s="347"/>
      <c r="Z86" s="347"/>
      <c r="AA86" s="347"/>
      <c r="AB86" s="326"/>
    </row>
  </sheetData>
  <mergeCells count="414">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AB9"/>
    <mergeCell ref="F10:I10"/>
    <mergeCell ref="J10:M10"/>
    <mergeCell ref="N10:Q10"/>
    <mergeCell ref="R10:U10"/>
    <mergeCell ref="V10:AB10"/>
    <mergeCell ref="B11:E11"/>
    <mergeCell ref="F11:I11"/>
    <mergeCell ref="J11:M11"/>
    <mergeCell ref="N11:Q11"/>
    <mergeCell ref="R11:U11"/>
    <mergeCell ref="V11:AB11"/>
    <mergeCell ref="F12:I12"/>
    <mergeCell ref="J12:M12"/>
    <mergeCell ref="N12:Q12"/>
    <mergeCell ref="R12:U12"/>
    <mergeCell ref="V12:AB12"/>
    <mergeCell ref="F13:I13"/>
    <mergeCell ref="J13:M13"/>
    <mergeCell ref="N13:Q13"/>
    <mergeCell ref="R13:U13"/>
    <mergeCell ref="V13:AB13"/>
    <mergeCell ref="F14:I14"/>
    <mergeCell ref="J14:M14"/>
    <mergeCell ref="N14:Q14"/>
    <mergeCell ref="R14:U14"/>
    <mergeCell ref="V14:AB14"/>
    <mergeCell ref="F15:I15"/>
    <mergeCell ref="J15:M15"/>
    <mergeCell ref="N15:Q15"/>
    <mergeCell ref="R15:U15"/>
    <mergeCell ref="V15:AB15"/>
    <mergeCell ref="F16:I16"/>
    <mergeCell ref="J16:M16"/>
    <mergeCell ref="N16:Q16"/>
    <mergeCell ref="R16:U16"/>
    <mergeCell ref="V16:AB16"/>
    <mergeCell ref="F17:I17"/>
    <mergeCell ref="J17:M17"/>
    <mergeCell ref="N17:Q17"/>
    <mergeCell ref="R17:U17"/>
    <mergeCell ref="V17:AB17"/>
    <mergeCell ref="F18:I18"/>
    <mergeCell ref="J18:M18"/>
    <mergeCell ref="N18:Q18"/>
    <mergeCell ref="R18:U18"/>
    <mergeCell ref="V18:AB18"/>
    <mergeCell ref="F19:I19"/>
    <mergeCell ref="J19:M19"/>
    <mergeCell ref="N19:Q19"/>
    <mergeCell ref="R19:U19"/>
    <mergeCell ref="V19:AB19"/>
    <mergeCell ref="F20:I20"/>
    <mergeCell ref="J20:M20"/>
    <mergeCell ref="N20:Q20"/>
    <mergeCell ref="R20:U20"/>
    <mergeCell ref="V20:AB20"/>
    <mergeCell ref="F21:I21"/>
    <mergeCell ref="J21:M21"/>
    <mergeCell ref="N21:Q21"/>
    <mergeCell ref="R21:U21"/>
    <mergeCell ref="V21:AB21"/>
    <mergeCell ref="F22:I22"/>
    <mergeCell ref="J22:M22"/>
    <mergeCell ref="N22:Q22"/>
    <mergeCell ref="R22:U22"/>
    <mergeCell ref="V22:AB22"/>
    <mergeCell ref="F23:I23"/>
    <mergeCell ref="J23:M23"/>
    <mergeCell ref="N23:Q23"/>
    <mergeCell ref="R23:U23"/>
    <mergeCell ref="V23:AB23"/>
    <mergeCell ref="F24:I24"/>
    <mergeCell ref="J24:M24"/>
    <mergeCell ref="N24:Q24"/>
    <mergeCell ref="R24:U24"/>
    <mergeCell ref="V24:AB24"/>
    <mergeCell ref="F25:I25"/>
    <mergeCell ref="J25:M25"/>
    <mergeCell ref="N25:Q25"/>
    <mergeCell ref="R25:U25"/>
    <mergeCell ref="V25:AB25"/>
    <mergeCell ref="F26:I26"/>
    <mergeCell ref="J26:M26"/>
    <mergeCell ref="N26:Q26"/>
    <mergeCell ref="R26:U26"/>
    <mergeCell ref="V26:AB26"/>
    <mergeCell ref="F27:I27"/>
    <mergeCell ref="J27:M27"/>
    <mergeCell ref="N27:Q27"/>
    <mergeCell ref="R27:U27"/>
    <mergeCell ref="V27:AB27"/>
    <mergeCell ref="F28:I28"/>
    <mergeCell ref="J28:M28"/>
    <mergeCell ref="N28:Q28"/>
    <mergeCell ref="R28:U28"/>
    <mergeCell ref="V28:AB28"/>
    <mergeCell ref="F29:I29"/>
    <mergeCell ref="J29:M29"/>
    <mergeCell ref="N29:Q29"/>
    <mergeCell ref="R29:U29"/>
    <mergeCell ref="V29:AB29"/>
    <mergeCell ref="F30:I30"/>
    <mergeCell ref="J30:M30"/>
    <mergeCell ref="N30:Q30"/>
    <mergeCell ref="R30:U30"/>
    <mergeCell ref="V30:AB30"/>
    <mergeCell ref="F31:I31"/>
    <mergeCell ref="J31:M31"/>
    <mergeCell ref="N31:Q31"/>
    <mergeCell ref="R31:U31"/>
    <mergeCell ref="V31:AB31"/>
    <mergeCell ref="B32:C32"/>
    <mergeCell ref="F32:I32"/>
    <mergeCell ref="J32:M32"/>
    <mergeCell ref="N32:Q32"/>
    <mergeCell ref="R32:U32"/>
    <mergeCell ref="V32:AB32"/>
    <mergeCell ref="F33:I33"/>
    <mergeCell ref="J33:M33"/>
    <mergeCell ref="N33:Q33"/>
    <mergeCell ref="R33:U33"/>
    <mergeCell ref="V33:AB33"/>
    <mergeCell ref="F34:I34"/>
    <mergeCell ref="J34:M34"/>
    <mergeCell ref="N34:Q34"/>
    <mergeCell ref="R34:U34"/>
    <mergeCell ref="V34:AB34"/>
    <mergeCell ref="F35:I35"/>
    <mergeCell ref="J35:M35"/>
    <mergeCell ref="N35:Q35"/>
    <mergeCell ref="R35:U35"/>
    <mergeCell ref="V35:AB35"/>
    <mergeCell ref="F36:I36"/>
    <mergeCell ref="J36:M36"/>
    <mergeCell ref="N36:Q36"/>
    <mergeCell ref="R36:U36"/>
    <mergeCell ref="V36:AB36"/>
    <mergeCell ref="F37:I37"/>
    <mergeCell ref="J37:M37"/>
    <mergeCell ref="N37:Q37"/>
    <mergeCell ref="R37:U37"/>
    <mergeCell ref="V37:AB37"/>
    <mergeCell ref="F38:I38"/>
    <mergeCell ref="J38:M38"/>
    <mergeCell ref="N38:Q38"/>
    <mergeCell ref="R38:U38"/>
    <mergeCell ref="V38:AB38"/>
    <mergeCell ref="F39:I39"/>
    <mergeCell ref="J39:M39"/>
    <mergeCell ref="N39:Q39"/>
    <mergeCell ref="R39:U39"/>
    <mergeCell ref="V39:AB39"/>
    <mergeCell ref="F40:I40"/>
    <mergeCell ref="J40:M40"/>
    <mergeCell ref="N40:Q40"/>
    <mergeCell ref="R40:U40"/>
    <mergeCell ref="V40:AB40"/>
    <mergeCell ref="F41:I41"/>
    <mergeCell ref="J41:M41"/>
    <mergeCell ref="N41:Q41"/>
    <mergeCell ref="R41:U41"/>
    <mergeCell ref="V41:AB41"/>
    <mergeCell ref="F42:I42"/>
    <mergeCell ref="J42:M42"/>
    <mergeCell ref="N42:Q42"/>
    <mergeCell ref="R42:U42"/>
    <mergeCell ref="V42:AB42"/>
    <mergeCell ref="F43:I43"/>
    <mergeCell ref="J43:M43"/>
    <mergeCell ref="N43:Q43"/>
    <mergeCell ref="R43:U43"/>
    <mergeCell ref="V43:AB43"/>
    <mergeCell ref="F44:I44"/>
    <mergeCell ref="J44:M44"/>
    <mergeCell ref="N44:Q44"/>
    <mergeCell ref="R44:U44"/>
    <mergeCell ref="V44:AB44"/>
    <mergeCell ref="F45:I45"/>
    <mergeCell ref="J45:M45"/>
    <mergeCell ref="N45:Q45"/>
    <mergeCell ref="R45:U45"/>
    <mergeCell ref="V45:AB45"/>
    <mergeCell ref="F46:I46"/>
    <mergeCell ref="J46:M46"/>
    <mergeCell ref="N46:Q46"/>
    <mergeCell ref="R46:U46"/>
    <mergeCell ref="V46:AB46"/>
    <mergeCell ref="F47:I47"/>
    <mergeCell ref="J47:M47"/>
    <mergeCell ref="N47:Q47"/>
    <mergeCell ref="R47:U47"/>
    <mergeCell ref="V47:AB47"/>
    <mergeCell ref="F48:I48"/>
    <mergeCell ref="J48:M48"/>
    <mergeCell ref="N48:Q48"/>
    <mergeCell ref="R48:U48"/>
    <mergeCell ref="V48:AB48"/>
    <mergeCell ref="F49:I49"/>
    <mergeCell ref="J49:M49"/>
    <mergeCell ref="N49:Q49"/>
    <mergeCell ref="R49:U49"/>
    <mergeCell ref="V49:AB49"/>
    <mergeCell ref="F50:I50"/>
    <mergeCell ref="J50:M50"/>
    <mergeCell ref="N50:Q50"/>
    <mergeCell ref="R50:U50"/>
    <mergeCell ref="V50:AB50"/>
    <mergeCell ref="B51:E51"/>
    <mergeCell ref="F51:I51"/>
    <mergeCell ref="J51:M51"/>
    <mergeCell ref="N51:Q51"/>
    <mergeCell ref="R51:U51"/>
    <mergeCell ref="V51:AB51"/>
    <mergeCell ref="F52:I52"/>
    <mergeCell ref="J52:M52"/>
    <mergeCell ref="N52:Q52"/>
    <mergeCell ref="R52:U52"/>
    <mergeCell ref="V52:AB52"/>
    <mergeCell ref="F53:I53"/>
    <mergeCell ref="J53:M53"/>
    <mergeCell ref="N53:Q53"/>
    <mergeCell ref="R53:U53"/>
    <mergeCell ref="V53:AB53"/>
    <mergeCell ref="F54:I54"/>
    <mergeCell ref="J54:M54"/>
    <mergeCell ref="N54:Q54"/>
    <mergeCell ref="R54:U54"/>
    <mergeCell ref="V54:AB54"/>
    <mergeCell ref="F55:I55"/>
    <mergeCell ref="J55:M55"/>
    <mergeCell ref="N55:Q55"/>
    <mergeCell ref="R55:U55"/>
    <mergeCell ref="V55:AB55"/>
    <mergeCell ref="F56:I56"/>
    <mergeCell ref="J56:M56"/>
    <mergeCell ref="N56:Q56"/>
    <mergeCell ref="R56:U56"/>
    <mergeCell ref="V56:AB56"/>
    <mergeCell ref="F57:I57"/>
    <mergeCell ref="J57:M57"/>
    <mergeCell ref="N57:Q57"/>
    <mergeCell ref="R57:U57"/>
    <mergeCell ref="V57:AB57"/>
    <mergeCell ref="F58:I58"/>
    <mergeCell ref="J58:M58"/>
    <mergeCell ref="N58:Q58"/>
    <mergeCell ref="R58:U58"/>
    <mergeCell ref="V58:AB58"/>
    <mergeCell ref="F59:I59"/>
    <mergeCell ref="J59:M59"/>
    <mergeCell ref="N59:Q59"/>
    <mergeCell ref="R59:U59"/>
    <mergeCell ref="V59:AB59"/>
    <mergeCell ref="F60:I60"/>
    <mergeCell ref="J60:M60"/>
    <mergeCell ref="N60:Q60"/>
    <mergeCell ref="R60:U60"/>
    <mergeCell ref="V60:AB60"/>
    <mergeCell ref="F61:I61"/>
    <mergeCell ref="J61:M61"/>
    <mergeCell ref="N61:Q61"/>
    <mergeCell ref="R61:U61"/>
    <mergeCell ref="V61:AB61"/>
    <mergeCell ref="F62:I62"/>
    <mergeCell ref="J62:M62"/>
    <mergeCell ref="N62:Q62"/>
    <mergeCell ref="R62:U62"/>
    <mergeCell ref="V62:AB62"/>
    <mergeCell ref="F63:I63"/>
    <mergeCell ref="J63:M63"/>
    <mergeCell ref="N63:Q63"/>
    <mergeCell ref="R63:U63"/>
    <mergeCell ref="V63:AB63"/>
    <mergeCell ref="F64:I64"/>
    <mergeCell ref="J64:M64"/>
    <mergeCell ref="N64:Q64"/>
    <mergeCell ref="R64:U64"/>
    <mergeCell ref="V64:AB64"/>
    <mergeCell ref="F65:I65"/>
    <mergeCell ref="J65:M65"/>
    <mergeCell ref="N65:Q65"/>
    <mergeCell ref="R65:U65"/>
    <mergeCell ref="V65:AB65"/>
    <mergeCell ref="F66:I66"/>
    <mergeCell ref="J66:M66"/>
    <mergeCell ref="N66:Q66"/>
    <mergeCell ref="R66:U66"/>
    <mergeCell ref="V66:AB66"/>
    <mergeCell ref="F67:I67"/>
    <mergeCell ref="J67:M67"/>
    <mergeCell ref="N67:Q67"/>
    <mergeCell ref="R67:U67"/>
    <mergeCell ref="V67:AB67"/>
    <mergeCell ref="F68:I68"/>
    <mergeCell ref="J68:M68"/>
    <mergeCell ref="N68:Q68"/>
    <mergeCell ref="R68:U68"/>
    <mergeCell ref="V68:AB68"/>
    <mergeCell ref="F69:I69"/>
    <mergeCell ref="J69:M69"/>
    <mergeCell ref="N69:Q69"/>
    <mergeCell ref="R69:U69"/>
    <mergeCell ref="V69:AB69"/>
    <mergeCell ref="F70:I70"/>
    <mergeCell ref="J70:M70"/>
    <mergeCell ref="N70:Q70"/>
    <mergeCell ref="R70:U70"/>
    <mergeCell ref="V70:AB70"/>
    <mergeCell ref="F71:I71"/>
    <mergeCell ref="J71:M71"/>
    <mergeCell ref="N71:Q71"/>
    <mergeCell ref="R71:U71"/>
    <mergeCell ref="V71:AB71"/>
    <mergeCell ref="F72:I72"/>
    <mergeCell ref="J72:M72"/>
    <mergeCell ref="N72:Q72"/>
    <mergeCell ref="R72:U72"/>
    <mergeCell ref="V72:AB72"/>
    <mergeCell ref="F73:I73"/>
    <mergeCell ref="J73:M73"/>
    <mergeCell ref="N73:Q73"/>
    <mergeCell ref="R73:U73"/>
    <mergeCell ref="V73:AB73"/>
    <mergeCell ref="F74:I74"/>
    <mergeCell ref="J74:M74"/>
    <mergeCell ref="N74:Q74"/>
    <mergeCell ref="R74:U74"/>
    <mergeCell ref="V74:AB74"/>
    <mergeCell ref="F75:I75"/>
    <mergeCell ref="J75:M75"/>
    <mergeCell ref="N75:Q75"/>
    <mergeCell ref="R75:U75"/>
    <mergeCell ref="V75:AB75"/>
    <mergeCell ref="F76:I76"/>
    <mergeCell ref="J76:M76"/>
    <mergeCell ref="N76:Q76"/>
    <mergeCell ref="R76:U76"/>
    <mergeCell ref="V76:AB76"/>
    <mergeCell ref="F77:I77"/>
    <mergeCell ref="J77:M77"/>
    <mergeCell ref="N77:Q77"/>
    <mergeCell ref="R77:U77"/>
    <mergeCell ref="V77:AB77"/>
    <mergeCell ref="F78:I78"/>
    <mergeCell ref="J78:M78"/>
    <mergeCell ref="N78:Q78"/>
    <mergeCell ref="R78:U78"/>
    <mergeCell ref="V78:AB78"/>
    <mergeCell ref="F79:I79"/>
    <mergeCell ref="J79:M79"/>
    <mergeCell ref="N79:Q79"/>
    <mergeCell ref="R79:U79"/>
    <mergeCell ref="V79:AB79"/>
    <mergeCell ref="F80:I80"/>
    <mergeCell ref="J80:M80"/>
    <mergeCell ref="N80:Q80"/>
    <mergeCell ref="R80:U80"/>
    <mergeCell ref="V80:AB80"/>
    <mergeCell ref="F81:I81"/>
    <mergeCell ref="J81:M81"/>
    <mergeCell ref="N81:Q81"/>
    <mergeCell ref="R81:U81"/>
    <mergeCell ref="V81:AB81"/>
    <mergeCell ref="F82:I82"/>
    <mergeCell ref="J82:M82"/>
    <mergeCell ref="N82:Q82"/>
    <mergeCell ref="R82:U82"/>
    <mergeCell ref="V82:AB82"/>
    <mergeCell ref="F83:I83"/>
    <mergeCell ref="J83:M83"/>
    <mergeCell ref="N83:Q83"/>
    <mergeCell ref="R83:U83"/>
    <mergeCell ref="V83:AB83"/>
    <mergeCell ref="F84:I84"/>
    <mergeCell ref="J84:M84"/>
    <mergeCell ref="N84:Q84"/>
    <mergeCell ref="R84:U84"/>
    <mergeCell ref="V84:AB84"/>
    <mergeCell ref="F85:I85"/>
    <mergeCell ref="J85:M85"/>
    <mergeCell ref="N85:Q85"/>
    <mergeCell ref="R85:U85"/>
    <mergeCell ref="V85:AB85"/>
    <mergeCell ref="F86:I86"/>
    <mergeCell ref="J86:M86"/>
    <mergeCell ref="N86:Q86"/>
    <mergeCell ref="R86:U86"/>
    <mergeCell ref="V86:AB86"/>
    <mergeCell ref="A7:A10"/>
    <mergeCell ref="A1:AB2"/>
    <mergeCell ref="B7:E10"/>
  </mergeCells>
  <dataValidations count="3">
    <dataValidation allowBlank="1" showErrorMessage="1" prompt="EITHER WRITE YOUR OWN HPS OR EMPTY" sqref="F9:I9 J9:M9 N9:U9 V9 F10:V10"/>
    <dataValidation allowBlank="1" showErrorMessage="1" sqref="A11:AB11 A51:I51 J51:M51 N51:V51 F12:I50 J12:M50 N52:V76 F52:I76 J52:M76 N12:V50 F77:V86"/>
    <dataValidation allowBlank="1" showInputMessage="1" showErrorMessage="1" prompt="Do not type name of learners here. Go to INPUT DATA sheet." sqref="B12:B31 B33:B50 B52:B86"/>
  </dataValidations>
  <pageMargins left="0.2" right="0.2" top="0.25" bottom="0.25" header="0.3" footer="0.3"/>
  <pageSetup paperSize="9" scale="70"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AB86"/>
  <sheetViews>
    <sheetView zoomScale="106" zoomScaleNormal="106" topLeftCell="B1" workbookViewId="0">
      <selection activeCell="R24" sqref="R24:U24"/>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293" t="s">
        <v>62</v>
      </c>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row>
    <row r="2" spans="1:28">
      <c r="A2" s="293"/>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row>
    <row r="3" ht="27" spans="1:28">
      <c r="A3" s="293"/>
      <c r="B3" s="293"/>
      <c r="C3" s="293"/>
      <c r="D3" s="293"/>
      <c r="E3" s="293"/>
      <c r="F3" s="293"/>
      <c r="G3" s="293"/>
      <c r="H3" s="293"/>
      <c r="I3" s="293"/>
      <c r="J3" s="293"/>
      <c r="K3" s="293"/>
      <c r="L3" s="293"/>
      <c r="M3" s="293"/>
      <c r="N3" s="293"/>
      <c r="O3" s="293"/>
      <c r="P3" s="293"/>
      <c r="Q3" s="293"/>
      <c r="R3" s="293"/>
      <c r="S3" s="293"/>
      <c r="T3" s="293"/>
      <c r="U3" s="293"/>
      <c r="V3" s="293"/>
      <c r="W3" s="293"/>
      <c r="X3" s="293"/>
      <c r="Y3" s="293"/>
      <c r="Z3" s="293"/>
      <c r="AA3" s="293"/>
      <c r="AB3" s="293"/>
    </row>
    <row r="4" spans="1:28">
      <c r="A4" s="294"/>
      <c r="B4" s="294"/>
      <c r="C4" s="294"/>
      <c r="D4" s="294"/>
      <c r="E4" s="294"/>
      <c r="F4" s="294"/>
      <c r="G4" s="294"/>
      <c r="H4" s="294"/>
      <c r="I4" s="294"/>
      <c r="J4" s="294"/>
      <c r="K4" s="294"/>
      <c r="L4" s="294"/>
      <c r="M4" s="294"/>
      <c r="N4" s="294"/>
      <c r="O4" s="294"/>
      <c r="P4" s="294"/>
      <c r="Q4" s="294"/>
      <c r="R4" s="294"/>
      <c r="S4" s="294"/>
      <c r="T4" s="294"/>
      <c r="U4" s="294"/>
      <c r="V4" s="294"/>
      <c r="W4" s="294"/>
      <c r="X4" s="294"/>
      <c r="Y4" s="294"/>
      <c r="Z4" s="294"/>
      <c r="AA4" s="294"/>
      <c r="AB4" s="294"/>
    </row>
    <row r="5" ht="17.4" spans="1:28">
      <c r="A5" s="3"/>
      <c r="B5" s="4"/>
      <c r="C5" s="295" t="s">
        <v>1</v>
      </c>
      <c r="D5" s="295"/>
      <c r="E5" s="295"/>
      <c r="F5" s="296"/>
      <c r="G5" s="297" t="s">
        <v>2</v>
      </c>
      <c r="H5" s="297"/>
      <c r="I5" s="297"/>
      <c r="J5" s="297"/>
      <c r="K5" s="56"/>
      <c r="L5" s="312" t="s">
        <v>3</v>
      </c>
      <c r="M5" s="312"/>
      <c r="N5" s="313"/>
      <c r="O5" s="298" t="s">
        <v>4</v>
      </c>
      <c r="P5" s="299"/>
      <c r="Q5" s="299"/>
      <c r="R5" s="316"/>
      <c r="S5" s="317"/>
      <c r="T5" s="317"/>
      <c r="U5" s="317"/>
      <c r="V5" s="317"/>
      <c r="W5" s="318"/>
      <c r="X5" s="318"/>
      <c r="Y5" s="318"/>
      <c r="Z5" s="318"/>
      <c r="AA5" s="318"/>
      <c r="AB5" s="318"/>
    </row>
    <row r="6" ht="18.15" spans="1:28">
      <c r="A6" s="3"/>
      <c r="B6" s="295" t="s">
        <v>5</v>
      </c>
      <c r="C6" s="295"/>
      <c r="D6" s="295"/>
      <c r="E6" s="295"/>
      <c r="F6" s="29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tr">
        <f>'MUSIC-ARTS'!K8</f>
        <v>JUVELYN MATUTIS</v>
      </c>
      <c r="L8" s="60"/>
      <c r="M8" s="60"/>
      <c r="N8" s="60"/>
      <c r="O8" s="60"/>
      <c r="P8" s="60"/>
      <c r="Q8" s="60"/>
      <c r="R8" s="79"/>
      <c r="S8" s="18" t="s">
        <v>15</v>
      </c>
      <c r="T8" s="19"/>
      <c r="U8" s="19"/>
      <c r="V8" s="19"/>
      <c r="W8" s="59" t="s">
        <v>93</v>
      </c>
      <c r="X8" s="59"/>
      <c r="Y8" s="59"/>
      <c r="Z8" s="59"/>
      <c r="AA8" s="59"/>
      <c r="AB8" s="78"/>
    </row>
    <row r="9" ht="15.6" spans="1:28">
      <c r="A9" s="15"/>
      <c r="B9" s="16"/>
      <c r="C9" s="16"/>
      <c r="D9" s="16"/>
      <c r="E9" s="17"/>
      <c r="F9" s="20" t="s">
        <v>93</v>
      </c>
      <c r="G9" s="21"/>
      <c r="H9" s="21"/>
      <c r="I9" s="61"/>
      <c r="J9" s="20" t="s">
        <v>93</v>
      </c>
      <c r="K9" s="21"/>
      <c r="L9" s="21"/>
      <c r="M9" s="61"/>
      <c r="N9" s="20" t="s">
        <v>93</v>
      </c>
      <c r="O9" s="21"/>
      <c r="P9" s="21"/>
      <c r="Q9" s="61"/>
      <c r="R9" s="20" t="s">
        <v>93</v>
      </c>
      <c r="S9" s="21"/>
      <c r="T9" s="21"/>
      <c r="U9" s="61"/>
      <c r="V9" s="20" t="s">
        <v>93</v>
      </c>
      <c r="W9" s="21"/>
      <c r="X9" s="21"/>
      <c r="Y9" s="21"/>
      <c r="Z9" s="21"/>
      <c r="AA9" s="21"/>
      <c r="AB9" s="61"/>
    </row>
    <row r="10" ht="16.35" spans="1:28">
      <c r="A10" s="22"/>
      <c r="B10" s="23"/>
      <c r="C10" s="23"/>
      <c r="D10" s="23"/>
      <c r="E10" s="24"/>
      <c r="F10" s="25" t="s">
        <v>68</v>
      </c>
      <c r="G10" s="26"/>
      <c r="H10" s="26"/>
      <c r="I10" s="62"/>
      <c r="J10" s="25" t="s">
        <v>69</v>
      </c>
      <c r="K10" s="26"/>
      <c r="L10" s="26"/>
      <c r="M10" s="62"/>
      <c r="N10" s="25" t="s">
        <v>70</v>
      </c>
      <c r="O10" s="26"/>
      <c r="P10" s="26"/>
      <c r="Q10" s="62"/>
      <c r="R10" s="25" t="s">
        <v>71</v>
      </c>
      <c r="S10" s="26"/>
      <c r="T10" s="26"/>
      <c r="U10" s="62"/>
      <c r="V10" s="25" t="s">
        <v>92</v>
      </c>
      <c r="W10" s="26"/>
      <c r="X10" s="26"/>
      <c r="Y10" s="26"/>
      <c r="Z10" s="26"/>
      <c r="AA10" s="26"/>
      <c r="AB10" s="6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20"/>
      <c r="W11" s="321"/>
      <c r="X11" s="321"/>
      <c r="Y11" s="321"/>
      <c r="Z11" s="321"/>
      <c r="AA11" s="321"/>
      <c r="AB11" s="325"/>
    </row>
    <row r="12" ht="15" spans="1:28">
      <c r="A12" s="32">
        <v>1</v>
      </c>
      <c r="B12" s="300" t="str">
        <f>'INPUT DATA'!B12:D12</f>
        <v>ANUBLING, REGIE C.</v>
      </c>
      <c r="C12" s="301"/>
      <c r="D12" s="301"/>
      <c r="E12" s="301"/>
      <c r="F12" s="81"/>
      <c r="G12" s="82"/>
      <c r="H12" s="82"/>
      <c r="I12" s="93"/>
      <c r="J12" s="81"/>
      <c r="K12" s="82"/>
      <c r="L12" s="82"/>
      <c r="M12" s="93"/>
      <c r="N12" s="81"/>
      <c r="O12" s="82"/>
      <c r="P12" s="82"/>
      <c r="Q12" s="93"/>
      <c r="R12" s="81"/>
      <c r="S12" s="82"/>
      <c r="T12" s="82"/>
      <c r="U12" s="322"/>
      <c r="V12" s="323" t="str">
        <f>IF(OR(F12="",J12="",N12="",R12="",),"",IF(ISERROR(ROUND(AVERAGE(F12,J12,N12,R12),0)),"",ROUND(AVERAGE(F12,J12,N12,R12),0)))</f>
        <v/>
      </c>
      <c r="W12" s="83"/>
      <c r="X12" s="83"/>
      <c r="Y12" s="83"/>
      <c r="Z12" s="83"/>
      <c r="AA12" s="83"/>
      <c r="AB12" s="326"/>
    </row>
    <row r="13" ht="15" spans="1:28">
      <c r="A13" s="37">
        <v>2</v>
      </c>
      <c r="B13" s="300" t="str">
        <f>'INPUT DATA'!B13:D13</f>
        <v>BANGCOY, JOHN PAUL P.</v>
      </c>
      <c r="C13" s="302"/>
      <c r="D13" s="302"/>
      <c r="E13" s="302"/>
      <c r="F13" s="81"/>
      <c r="G13" s="82"/>
      <c r="H13" s="82"/>
      <c r="I13" s="93"/>
      <c r="J13" s="81"/>
      <c r="K13" s="82"/>
      <c r="L13" s="82"/>
      <c r="M13" s="93"/>
      <c r="N13" s="81"/>
      <c r="O13" s="82"/>
      <c r="P13" s="82"/>
      <c r="Q13" s="93"/>
      <c r="R13" s="81"/>
      <c r="S13" s="82"/>
      <c r="T13" s="82"/>
      <c r="U13" s="322"/>
      <c r="V13" s="323" t="str">
        <f t="shared" ref="V13:V50" si="0">IF(OR(F13="",J13="",N13="",R13="",),"",IF(ISERROR(ROUND(AVERAGE(F13,J13,N13,R13),0)),"",ROUND(AVERAGE(F13,J13,N13,R13),0)))</f>
        <v/>
      </c>
      <c r="W13" s="83"/>
      <c r="X13" s="83"/>
      <c r="Y13" s="83"/>
      <c r="Z13" s="83"/>
      <c r="AA13" s="83"/>
      <c r="AB13" s="326"/>
    </row>
    <row r="14" ht="15" spans="1:28">
      <c r="A14" s="37">
        <v>3</v>
      </c>
      <c r="B14" s="300" t="str">
        <f>'INPUT DATA'!B14:D14</f>
        <v>BARRIENTOS, JOHN PAUL M.</v>
      </c>
      <c r="C14" s="302"/>
      <c r="D14" s="302"/>
      <c r="E14" s="311"/>
      <c r="F14" s="81"/>
      <c r="G14" s="82"/>
      <c r="H14" s="82"/>
      <c r="I14" s="93"/>
      <c r="J14" s="81"/>
      <c r="K14" s="82"/>
      <c r="L14" s="82"/>
      <c r="M14" s="93"/>
      <c r="N14" s="81"/>
      <c r="O14" s="82"/>
      <c r="P14" s="82"/>
      <c r="Q14" s="93"/>
      <c r="R14" s="81"/>
      <c r="S14" s="82"/>
      <c r="T14" s="82"/>
      <c r="U14" s="322"/>
      <c r="V14" s="323" t="str">
        <f t="shared" si="0"/>
        <v/>
      </c>
      <c r="W14" s="83"/>
      <c r="X14" s="83"/>
      <c r="Y14" s="83"/>
      <c r="Z14" s="83"/>
      <c r="AA14" s="83"/>
      <c r="AB14" s="326"/>
    </row>
    <row r="15" ht="15" spans="1:28">
      <c r="A15" s="37">
        <v>4</v>
      </c>
      <c r="B15" s="300" t="str">
        <f>'INPUT DATA'!B15:D15</f>
        <v>BRIGOLE, ROMEL</v>
      </c>
      <c r="C15" s="302"/>
      <c r="D15" s="302"/>
      <c r="E15" s="311"/>
      <c r="F15" s="81"/>
      <c r="G15" s="82"/>
      <c r="H15" s="82"/>
      <c r="I15" s="93"/>
      <c r="J15" s="81"/>
      <c r="K15" s="82"/>
      <c r="L15" s="82"/>
      <c r="M15" s="93"/>
      <c r="N15" s="81"/>
      <c r="O15" s="82"/>
      <c r="P15" s="82"/>
      <c r="Q15" s="93"/>
      <c r="R15" s="81"/>
      <c r="S15" s="82"/>
      <c r="T15" s="82"/>
      <c r="U15" s="322"/>
      <c r="V15" s="323" t="str">
        <f t="shared" si="0"/>
        <v/>
      </c>
      <c r="W15" s="83"/>
      <c r="X15" s="83"/>
      <c r="Y15" s="83"/>
      <c r="Z15" s="83"/>
      <c r="AA15" s="83"/>
      <c r="AB15" s="326"/>
    </row>
    <row r="16" ht="15" spans="1:28">
      <c r="A16" s="37">
        <v>5</v>
      </c>
      <c r="B16" s="300" t="str">
        <f>'INPUT DATA'!B16:D16</f>
        <v>BULAHAN,ROVIC L.</v>
      </c>
      <c r="C16" s="302"/>
      <c r="D16" s="302"/>
      <c r="E16" s="311"/>
      <c r="F16" s="81"/>
      <c r="G16" s="82"/>
      <c r="H16" s="82"/>
      <c r="I16" s="93"/>
      <c r="J16" s="81"/>
      <c r="K16" s="82"/>
      <c r="L16" s="82"/>
      <c r="M16" s="93"/>
      <c r="N16" s="81"/>
      <c r="O16" s="82"/>
      <c r="P16" s="82"/>
      <c r="Q16" s="93"/>
      <c r="R16" s="81"/>
      <c r="S16" s="82"/>
      <c r="T16" s="82"/>
      <c r="U16" s="322"/>
      <c r="V16" s="323" t="str">
        <f t="shared" si="0"/>
        <v/>
      </c>
      <c r="W16" s="83"/>
      <c r="X16" s="83"/>
      <c r="Y16" s="83"/>
      <c r="Z16" s="83"/>
      <c r="AA16" s="83"/>
      <c r="AB16" s="326"/>
    </row>
    <row r="17" ht="15" spans="1:28">
      <c r="A17" s="37">
        <v>6</v>
      </c>
      <c r="B17" s="300" t="str">
        <f>'INPUT DATA'!B17:D17</f>
        <v>CIJAS, ROLIE JR. A.</v>
      </c>
      <c r="C17" s="302"/>
      <c r="D17" s="302"/>
      <c r="E17" s="311"/>
      <c r="F17" s="81"/>
      <c r="G17" s="82"/>
      <c r="H17" s="82"/>
      <c r="I17" s="93"/>
      <c r="J17" s="81"/>
      <c r="K17" s="82"/>
      <c r="L17" s="82"/>
      <c r="M17" s="93"/>
      <c r="N17" s="81"/>
      <c r="O17" s="82"/>
      <c r="P17" s="82"/>
      <c r="Q17" s="93"/>
      <c r="R17" s="81"/>
      <c r="S17" s="82"/>
      <c r="T17" s="82"/>
      <c r="U17" s="322"/>
      <c r="V17" s="323" t="str">
        <f t="shared" si="0"/>
        <v/>
      </c>
      <c r="W17" s="83"/>
      <c r="X17" s="83"/>
      <c r="Y17" s="83"/>
      <c r="Z17" s="83"/>
      <c r="AA17" s="83"/>
      <c r="AB17" s="326"/>
    </row>
    <row r="18" ht="15" spans="1:28">
      <c r="A18" s="37">
        <v>7</v>
      </c>
      <c r="B18" s="300" t="str">
        <f>'INPUT DATA'!B18:D18</f>
        <v>GARCIA, DAVE P.</v>
      </c>
      <c r="C18" s="302"/>
      <c r="D18" s="302"/>
      <c r="E18" s="311"/>
      <c r="F18" s="81"/>
      <c r="G18" s="82"/>
      <c r="H18" s="82"/>
      <c r="I18" s="93"/>
      <c r="J18" s="81"/>
      <c r="K18" s="82"/>
      <c r="L18" s="82"/>
      <c r="M18" s="93"/>
      <c r="N18" s="81"/>
      <c r="O18" s="82"/>
      <c r="P18" s="82"/>
      <c r="Q18" s="93"/>
      <c r="R18" s="81"/>
      <c r="S18" s="82"/>
      <c r="T18" s="82"/>
      <c r="U18" s="322"/>
      <c r="V18" s="323" t="str">
        <f t="shared" si="0"/>
        <v/>
      </c>
      <c r="W18" s="83"/>
      <c r="X18" s="83"/>
      <c r="Y18" s="83"/>
      <c r="Z18" s="83"/>
      <c r="AA18" s="83"/>
      <c r="AB18" s="326"/>
    </row>
    <row r="19" ht="15" spans="1:28">
      <c r="A19" s="37">
        <v>8</v>
      </c>
      <c r="B19" s="300" t="str">
        <f>'INPUT DATA'!B19:D19</f>
        <v>GONZALES, JAMES A.</v>
      </c>
      <c r="C19" s="302"/>
      <c r="D19" s="302">
        <v>0</v>
      </c>
      <c r="E19" s="311"/>
      <c r="F19" s="81"/>
      <c r="G19" s="82"/>
      <c r="H19" s="82"/>
      <c r="I19" s="93"/>
      <c r="J19" s="81"/>
      <c r="K19" s="82"/>
      <c r="L19" s="82"/>
      <c r="M19" s="93"/>
      <c r="N19" s="81"/>
      <c r="O19" s="82"/>
      <c r="P19" s="82"/>
      <c r="Q19" s="93"/>
      <c r="R19" s="81"/>
      <c r="S19" s="82"/>
      <c r="T19" s="82"/>
      <c r="U19" s="322"/>
      <c r="V19" s="323" t="str">
        <f t="shared" si="0"/>
        <v/>
      </c>
      <c r="W19" s="83"/>
      <c r="X19" s="83"/>
      <c r="Y19" s="83"/>
      <c r="Z19" s="83"/>
      <c r="AA19" s="83"/>
      <c r="AB19" s="326"/>
    </row>
    <row r="20" ht="15" spans="1:28">
      <c r="A20" s="37">
        <v>9</v>
      </c>
      <c r="B20" s="300" t="str">
        <f>'INPUT DATA'!B20:D20</f>
        <v>LAGUNA, J.B. B.</v>
      </c>
      <c r="C20" s="302"/>
      <c r="D20" s="302"/>
      <c r="E20" s="311"/>
      <c r="F20" s="81"/>
      <c r="G20" s="82"/>
      <c r="H20" s="82"/>
      <c r="I20" s="93"/>
      <c r="J20" s="81"/>
      <c r="K20" s="82"/>
      <c r="L20" s="82"/>
      <c r="M20" s="93"/>
      <c r="N20" s="81"/>
      <c r="O20" s="82"/>
      <c r="P20" s="82"/>
      <c r="Q20" s="93"/>
      <c r="R20" s="81"/>
      <c r="S20" s="82"/>
      <c r="T20" s="82"/>
      <c r="U20" s="322"/>
      <c r="V20" s="323" t="str">
        <f t="shared" si="0"/>
        <v/>
      </c>
      <c r="W20" s="83"/>
      <c r="X20" s="83"/>
      <c r="Y20" s="83"/>
      <c r="Z20" s="83"/>
      <c r="AA20" s="83"/>
      <c r="AB20" s="326"/>
    </row>
    <row r="21" ht="15" spans="1:28">
      <c r="A21" s="37">
        <v>10</v>
      </c>
      <c r="B21" s="300" t="str">
        <f>'INPUT DATA'!B21:D21</f>
        <v>LARODA, STEVEN S.</v>
      </c>
      <c r="C21" s="302"/>
      <c r="D21" s="302"/>
      <c r="E21" s="311"/>
      <c r="F21" s="81"/>
      <c r="G21" s="82"/>
      <c r="H21" s="82"/>
      <c r="I21" s="93"/>
      <c r="J21" s="81"/>
      <c r="K21" s="82"/>
      <c r="L21" s="82"/>
      <c r="M21" s="93"/>
      <c r="N21" s="81"/>
      <c r="O21" s="82"/>
      <c r="P21" s="82"/>
      <c r="Q21" s="93"/>
      <c r="R21" s="81"/>
      <c r="S21" s="82"/>
      <c r="T21" s="82"/>
      <c r="U21" s="322"/>
      <c r="V21" s="323" t="str">
        <f t="shared" si="0"/>
        <v/>
      </c>
      <c r="W21" s="83"/>
      <c r="X21" s="83"/>
      <c r="Y21" s="83"/>
      <c r="Z21" s="83"/>
      <c r="AA21" s="83"/>
      <c r="AB21" s="326"/>
    </row>
    <row r="22" ht="15" spans="1:28">
      <c r="A22" s="37">
        <v>11</v>
      </c>
      <c r="B22" s="300" t="str">
        <f>'INPUT DATA'!B22:D22</f>
        <v>MERINO, SEDRIK R.</v>
      </c>
      <c r="C22" s="302"/>
      <c r="D22" s="302">
        <v>0</v>
      </c>
      <c r="E22" s="311"/>
      <c r="F22" s="81"/>
      <c r="G22" s="82"/>
      <c r="H22" s="82"/>
      <c r="I22" s="93"/>
      <c r="J22" s="81"/>
      <c r="K22" s="82"/>
      <c r="L22" s="82"/>
      <c r="M22" s="93"/>
      <c r="N22" s="81"/>
      <c r="O22" s="82"/>
      <c r="P22" s="82"/>
      <c r="Q22" s="93"/>
      <c r="R22" s="81"/>
      <c r="S22" s="82"/>
      <c r="T22" s="82"/>
      <c r="U22" s="322"/>
      <c r="V22" s="323" t="str">
        <f t="shared" si="0"/>
        <v/>
      </c>
      <c r="W22" s="83"/>
      <c r="X22" s="83"/>
      <c r="Y22" s="83"/>
      <c r="Z22" s="83"/>
      <c r="AA22" s="83"/>
      <c r="AB22" s="326"/>
    </row>
    <row r="23" ht="15" spans="1:28">
      <c r="A23" s="37">
        <v>12</v>
      </c>
      <c r="B23" s="300" t="str">
        <f>'INPUT DATA'!B23:D23</f>
        <v>MONTERAS, VINCENT S.</v>
      </c>
      <c r="C23" s="302"/>
      <c r="D23" s="302"/>
      <c r="E23" s="311"/>
      <c r="F23" s="81"/>
      <c r="G23" s="82"/>
      <c r="H23" s="82"/>
      <c r="I23" s="93"/>
      <c r="J23" s="81"/>
      <c r="K23" s="82"/>
      <c r="L23" s="82"/>
      <c r="M23" s="93"/>
      <c r="N23" s="81"/>
      <c r="O23" s="82"/>
      <c r="P23" s="82"/>
      <c r="Q23" s="93"/>
      <c r="R23" s="81"/>
      <c r="S23" s="82"/>
      <c r="T23" s="82"/>
      <c r="U23" s="322"/>
      <c r="V23" s="323" t="str">
        <f t="shared" si="0"/>
        <v/>
      </c>
      <c r="W23" s="83"/>
      <c r="X23" s="83"/>
      <c r="Y23" s="83"/>
      <c r="Z23" s="83"/>
      <c r="AA23" s="83"/>
      <c r="AB23" s="326"/>
    </row>
    <row r="24" ht="15" spans="1:28">
      <c r="A24" s="37">
        <v>13</v>
      </c>
      <c r="B24" s="300" t="str">
        <f>'INPUT DATA'!B24:D24</f>
        <v>NACAWILI, ANDRIE L.</v>
      </c>
      <c r="C24" s="302"/>
      <c r="D24" s="302"/>
      <c r="E24" s="311"/>
      <c r="F24" s="81"/>
      <c r="G24" s="82"/>
      <c r="H24" s="82"/>
      <c r="I24" s="93"/>
      <c r="J24" s="81"/>
      <c r="K24" s="82"/>
      <c r="L24" s="82"/>
      <c r="M24" s="93"/>
      <c r="N24" s="81"/>
      <c r="O24" s="82"/>
      <c r="P24" s="82"/>
      <c r="Q24" s="93"/>
      <c r="R24" s="81"/>
      <c r="S24" s="82"/>
      <c r="T24" s="82"/>
      <c r="U24" s="322"/>
      <c r="V24" s="323" t="str">
        <f t="shared" si="0"/>
        <v/>
      </c>
      <c r="W24" s="83"/>
      <c r="X24" s="83"/>
      <c r="Y24" s="83"/>
      <c r="Z24" s="83"/>
      <c r="AA24" s="83"/>
      <c r="AB24" s="326"/>
    </row>
    <row r="25" ht="15" spans="1:28">
      <c r="A25" s="37">
        <v>14</v>
      </c>
      <c r="B25" s="300" t="str">
        <f>'INPUT DATA'!B25:D25</f>
        <v>OLIVERIO, CYREL JAY G.</v>
      </c>
      <c r="C25" s="302"/>
      <c r="D25" s="302"/>
      <c r="E25" s="311"/>
      <c r="F25" s="81"/>
      <c r="G25" s="82"/>
      <c r="H25" s="82"/>
      <c r="I25" s="93"/>
      <c r="J25" s="81"/>
      <c r="K25" s="82"/>
      <c r="L25" s="82"/>
      <c r="M25" s="93"/>
      <c r="N25" s="81"/>
      <c r="O25" s="82"/>
      <c r="P25" s="82"/>
      <c r="Q25" s="93"/>
      <c r="R25" s="81"/>
      <c r="S25" s="82"/>
      <c r="T25" s="82"/>
      <c r="U25" s="322"/>
      <c r="V25" s="323" t="str">
        <f t="shared" si="0"/>
        <v/>
      </c>
      <c r="W25" s="83"/>
      <c r="X25" s="83"/>
      <c r="Y25" s="83"/>
      <c r="Z25" s="83"/>
      <c r="AA25" s="83"/>
      <c r="AB25" s="326"/>
    </row>
    <row r="26" ht="15" spans="1:28">
      <c r="A26" s="37">
        <v>15</v>
      </c>
      <c r="B26" s="300" t="str">
        <f>'INPUT DATA'!B26:D26</f>
        <v>ORBITA,BRENN JOHN A.</v>
      </c>
      <c r="C26" s="302"/>
      <c r="D26" s="302"/>
      <c r="E26" s="311"/>
      <c r="F26" s="81"/>
      <c r="G26" s="82"/>
      <c r="H26" s="82"/>
      <c r="I26" s="93"/>
      <c r="J26" s="81"/>
      <c r="K26" s="82"/>
      <c r="L26" s="82"/>
      <c r="M26" s="93"/>
      <c r="N26" s="81"/>
      <c r="O26" s="82"/>
      <c r="P26" s="82"/>
      <c r="Q26" s="93"/>
      <c r="R26" s="81"/>
      <c r="S26" s="82"/>
      <c r="T26" s="82"/>
      <c r="U26" s="322"/>
      <c r="V26" s="323" t="str">
        <f t="shared" si="0"/>
        <v/>
      </c>
      <c r="W26" s="83"/>
      <c r="X26" s="83"/>
      <c r="Y26" s="83"/>
      <c r="Z26" s="83"/>
      <c r="AA26" s="83"/>
      <c r="AB26" s="326"/>
    </row>
    <row r="27" ht="15" spans="1:28">
      <c r="A27" s="37">
        <v>16</v>
      </c>
      <c r="B27" s="300" t="str">
        <f>'INPUT DATA'!B27:D27</f>
        <v>PAINLO,SHERWIN V.</v>
      </c>
      <c r="C27" s="302"/>
      <c r="D27" s="302"/>
      <c r="E27" s="311"/>
      <c r="F27" s="81"/>
      <c r="G27" s="82"/>
      <c r="H27" s="82"/>
      <c r="I27" s="93"/>
      <c r="J27" s="81"/>
      <c r="K27" s="82"/>
      <c r="L27" s="82"/>
      <c r="M27" s="93"/>
      <c r="N27" s="81"/>
      <c r="O27" s="82"/>
      <c r="P27" s="82"/>
      <c r="Q27" s="93"/>
      <c r="R27" s="81"/>
      <c r="S27" s="82"/>
      <c r="T27" s="82"/>
      <c r="U27" s="322"/>
      <c r="V27" s="323" t="str">
        <f t="shared" si="0"/>
        <v/>
      </c>
      <c r="W27" s="83"/>
      <c r="X27" s="83"/>
      <c r="Y27" s="83"/>
      <c r="Z27" s="83"/>
      <c r="AA27" s="83"/>
      <c r="AB27" s="326"/>
    </row>
    <row r="28" ht="15" spans="1:28">
      <c r="A28" s="37">
        <v>17</v>
      </c>
      <c r="B28" s="300" t="str">
        <f>'INPUT DATA'!B28:D28</f>
        <v>RAMIREZ, MATTEO JOHN DAVE D.</v>
      </c>
      <c r="C28" s="302"/>
      <c r="D28" s="302"/>
      <c r="E28" s="311"/>
      <c r="F28" s="81"/>
      <c r="G28" s="82"/>
      <c r="H28" s="82"/>
      <c r="I28" s="93"/>
      <c r="J28" s="81"/>
      <c r="K28" s="82"/>
      <c r="L28" s="82"/>
      <c r="M28" s="93"/>
      <c r="N28" s="81"/>
      <c r="O28" s="82"/>
      <c r="P28" s="82"/>
      <c r="Q28" s="93"/>
      <c r="R28" s="81"/>
      <c r="S28" s="82"/>
      <c r="T28" s="82"/>
      <c r="U28" s="322"/>
      <c r="V28" s="323" t="str">
        <f t="shared" si="0"/>
        <v/>
      </c>
      <c r="W28" s="83"/>
      <c r="X28" s="83"/>
      <c r="Y28" s="83"/>
      <c r="Z28" s="83"/>
      <c r="AA28" s="83"/>
      <c r="AB28" s="326"/>
    </row>
    <row r="29" ht="15" spans="1:28">
      <c r="A29" s="37">
        <v>18</v>
      </c>
      <c r="B29" s="300" t="str">
        <f>'INPUT DATA'!B29:D29</f>
        <v>SIGUIRA, JASTINE B.</v>
      </c>
      <c r="C29" s="302"/>
      <c r="D29" s="302"/>
      <c r="E29" s="311"/>
      <c r="F29" s="81"/>
      <c r="G29" s="82"/>
      <c r="H29" s="82"/>
      <c r="I29" s="93"/>
      <c r="J29" s="81"/>
      <c r="K29" s="82"/>
      <c r="L29" s="82"/>
      <c r="M29" s="93"/>
      <c r="N29" s="81"/>
      <c r="O29" s="82"/>
      <c r="P29" s="82"/>
      <c r="Q29" s="93"/>
      <c r="R29" s="81"/>
      <c r="S29" s="82"/>
      <c r="T29" s="82"/>
      <c r="U29" s="322"/>
      <c r="V29" s="323" t="str">
        <f t="shared" si="0"/>
        <v/>
      </c>
      <c r="W29" s="83"/>
      <c r="X29" s="83"/>
      <c r="Y29" s="83"/>
      <c r="Z29" s="83"/>
      <c r="AA29" s="83"/>
      <c r="AB29" s="326"/>
    </row>
    <row r="30" ht="15" spans="1:28">
      <c r="A30" s="37">
        <v>19</v>
      </c>
      <c r="B30" s="300" t="str">
        <f>'INPUT DATA'!B30:D30</f>
        <v>TAA, JHONVINZ Y.</v>
      </c>
      <c r="C30" s="302"/>
      <c r="D30" s="302"/>
      <c r="E30" s="311"/>
      <c r="F30" s="81"/>
      <c r="G30" s="82"/>
      <c r="H30" s="82"/>
      <c r="I30" s="93"/>
      <c r="J30" s="81"/>
      <c r="K30" s="82"/>
      <c r="L30" s="82"/>
      <c r="M30" s="93"/>
      <c r="N30" s="81"/>
      <c r="O30" s="82"/>
      <c r="P30" s="82"/>
      <c r="Q30" s="93"/>
      <c r="R30" s="81"/>
      <c r="S30" s="82"/>
      <c r="T30" s="82"/>
      <c r="U30" s="322"/>
      <c r="V30" s="323" t="str">
        <f t="shared" si="0"/>
        <v/>
      </c>
      <c r="W30" s="83"/>
      <c r="X30" s="83"/>
      <c r="Y30" s="83"/>
      <c r="Z30" s="83"/>
      <c r="AA30" s="83"/>
      <c r="AB30" s="326"/>
    </row>
    <row r="31" ht="15.75" spans="1:28">
      <c r="A31" s="37">
        <v>20</v>
      </c>
      <c r="B31" s="300" t="str">
        <f>'INPUT DATA'!B31:D31</f>
        <v>ZOILO, JOHN LORENCE M.</v>
      </c>
      <c r="C31" s="302"/>
      <c r="D31" s="302"/>
      <c r="E31" s="311"/>
      <c r="F31" s="81"/>
      <c r="G31" s="82"/>
      <c r="H31" s="82"/>
      <c r="I31" s="93"/>
      <c r="J31" s="81"/>
      <c r="K31" s="82"/>
      <c r="L31" s="82"/>
      <c r="M31" s="93"/>
      <c r="N31" s="81"/>
      <c r="O31" s="82"/>
      <c r="P31" s="82"/>
      <c r="Q31" s="93"/>
      <c r="R31" s="81"/>
      <c r="S31" s="82"/>
      <c r="T31" s="82"/>
      <c r="U31" s="322"/>
      <c r="V31" s="323" t="str">
        <f t="shared" si="0"/>
        <v/>
      </c>
      <c r="W31" s="83"/>
      <c r="X31" s="83"/>
      <c r="Y31" s="83"/>
      <c r="Z31" s="83"/>
      <c r="AA31" s="83"/>
      <c r="AB31" s="326"/>
    </row>
    <row r="32" ht="15" hidden="1" spans="1:28">
      <c r="A32" s="37">
        <v>21</v>
      </c>
      <c r="B32" s="300">
        <f>'INPUT DATA'!B32:D32</f>
        <v>0</v>
      </c>
      <c r="C32" s="302"/>
      <c r="D32" s="302"/>
      <c r="E32" s="311"/>
      <c r="F32" s="81"/>
      <c r="G32" s="82"/>
      <c r="H32" s="82"/>
      <c r="I32" s="93"/>
      <c r="J32" s="81"/>
      <c r="K32" s="82"/>
      <c r="L32" s="82"/>
      <c r="M32" s="93"/>
      <c r="N32" s="81"/>
      <c r="O32" s="82"/>
      <c r="P32" s="82"/>
      <c r="Q32" s="93"/>
      <c r="R32" s="81"/>
      <c r="S32" s="82"/>
      <c r="T32" s="82"/>
      <c r="U32" s="322"/>
      <c r="V32" s="323" t="str">
        <f t="shared" si="0"/>
        <v/>
      </c>
      <c r="W32" s="83"/>
      <c r="X32" s="83"/>
      <c r="Y32" s="83"/>
      <c r="Z32" s="83"/>
      <c r="AA32" s="83"/>
      <c r="AB32" s="326"/>
    </row>
    <row r="33" ht="15" hidden="1" spans="1:28">
      <c r="A33" s="37">
        <v>22</v>
      </c>
      <c r="B33" s="300">
        <f>'INPUT DATA'!B33:D33</f>
        <v>0</v>
      </c>
      <c r="C33" s="302"/>
      <c r="D33" s="302"/>
      <c r="E33" s="311"/>
      <c r="F33" s="81"/>
      <c r="G33" s="82"/>
      <c r="H33" s="82"/>
      <c r="I33" s="93"/>
      <c r="J33" s="81"/>
      <c r="K33" s="82"/>
      <c r="L33" s="82"/>
      <c r="M33" s="93"/>
      <c r="N33" s="81"/>
      <c r="O33" s="82"/>
      <c r="P33" s="82"/>
      <c r="Q33" s="93"/>
      <c r="R33" s="81"/>
      <c r="S33" s="82"/>
      <c r="T33" s="82"/>
      <c r="U33" s="322"/>
      <c r="V33" s="323" t="str">
        <f t="shared" si="0"/>
        <v/>
      </c>
      <c r="W33" s="83"/>
      <c r="X33" s="83"/>
      <c r="Y33" s="83"/>
      <c r="Z33" s="83"/>
      <c r="AA33" s="83"/>
      <c r="AB33" s="326"/>
    </row>
    <row r="34" ht="15" hidden="1" spans="1:28">
      <c r="A34" s="37">
        <v>23</v>
      </c>
      <c r="B34" s="300">
        <f>'INPUT DATA'!B34:D34</f>
        <v>0</v>
      </c>
      <c r="C34" s="302"/>
      <c r="D34" s="302"/>
      <c r="E34" s="311"/>
      <c r="F34" s="81"/>
      <c r="G34" s="82"/>
      <c r="H34" s="82"/>
      <c r="I34" s="93"/>
      <c r="J34" s="81"/>
      <c r="K34" s="82"/>
      <c r="L34" s="82"/>
      <c r="M34" s="93"/>
      <c r="N34" s="81"/>
      <c r="O34" s="82"/>
      <c r="P34" s="82"/>
      <c r="Q34" s="93"/>
      <c r="R34" s="81"/>
      <c r="S34" s="82"/>
      <c r="T34" s="82"/>
      <c r="U34" s="322"/>
      <c r="V34" s="323" t="str">
        <f t="shared" si="0"/>
        <v/>
      </c>
      <c r="W34" s="83"/>
      <c r="X34" s="83"/>
      <c r="Y34" s="83"/>
      <c r="Z34" s="83"/>
      <c r="AA34" s="83"/>
      <c r="AB34" s="326"/>
    </row>
    <row r="35" ht="15" hidden="1" spans="1:28">
      <c r="A35" s="37">
        <v>24</v>
      </c>
      <c r="B35" s="300">
        <f>'INPUT DATA'!B35:D35</f>
        <v>0</v>
      </c>
      <c r="C35" s="302"/>
      <c r="D35" s="302"/>
      <c r="E35" s="311"/>
      <c r="F35" s="81"/>
      <c r="G35" s="82"/>
      <c r="H35" s="82"/>
      <c r="I35" s="93"/>
      <c r="J35" s="81"/>
      <c r="K35" s="82"/>
      <c r="L35" s="82"/>
      <c r="M35" s="93"/>
      <c r="N35" s="81"/>
      <c r="O35" s="82"/>
      <c r="P35" s="82"/>
      <c r="Q35" s="93"/>
      <c r="R35" s="81"/>
      <c r="S35" s="82"/>
      <c r="T35" s="82"/>
      <c r="U35" s="322"/>
      <c r="V35" s="323" t="str">
        <f t="shared" si="0"/>
        <v/>
      </c>
      <c r="W35" s="83"/>
      <c r="X35" s="83"/>
      <c r="Y35" s="83"/>
      <c r="Z35" s="83"/>
      <c r="AA35" s="83"/>
      <c r="AB35" s="326"/>
    </row>
    <row r="36" ht="15" hidden="1" spans="1:28">
      <c r="A36" s="37">
        <v>25</v>
      </c>
      <c r="B36" s="300">
        <f>'INPUT DATA'!B36:D36</f>
        <v>0</v>
      </c>
      <c r="C36" s="303"/>
      <c r="D36" s="303"/>
      <c r="E36" s="337"/>
      <c r="F36" s="81"/>
      <c r="G36" s="82"/>
      <c r="H36" s="82"/>
      <c r="I36" s="93"/>
      <c r="J36" s="81"/>
      <c r="K36" s="82"/>
      <c r="L36" s="82"/>
      <c r="M36" s="93"/>
      <c r="N36" s="81"/>
      <c r="O36" s="82"/>
      <c r="P36" s="82"/>
      <c r="Q36" s="93"/>
      <c r="R36" s="81"/>
      <c r="S36" s="82"/>
      <c r="T36" s="82"/>
      <c r="U36" s="93"/>
      <c r="V36" s="323" t="str">
        <f t="shared" si="0"/>
        <v/>
      </c>
      <c r="W36" s="83"/>
      <c r="X36" s="83"/>
      <c r="Y36" s="83"/>
      <c r="Z36" s="83"/>
      <c r="AA36" s="83"/>
      <c r="AB36" s="326"/>
    </row>
    <row r="37" ht="15" hidden="1" spans="1:28">
      <c r="A37" s="304">
        <v>26</v>
      </c>
      <c r="B37" s="300">
        <f>'INPUT DATA'!B37:D37</f>
        <v>0</v>
      </c>
      <c r="C37" s="303"/>
      <c r="D37" s="303"/>
      <c r="E37" s="338"/>
      <c r="F37" s="81"/>
      <c r="G37" s="82"/>
      <c r="H37" s="82"/>
      <c r="I37" s="93"/>
      <c r="J37" s="81"/>
      <c r="K37" s="82"/>
      <c r="L37" s="82"/>
      <c r="M37" s="93"/>
      <c r="N37" s="81"/>
      <c r="O37" s="82"/>
      <c r="P37" s="82"/>
      <c r="Q37" s="93"/>
      <c r="R37" s="81"/>
      <c r="S37" s="82"/>
      <c r="T37" s="82"/>
      <c r="U37" s="322"/>
      <c r="V37" s="323" t="str">
        <f t="shared" si="0"/>
        <v/>
      </c>
      <c r="W37" s="83"/>
      <c r="X37" s="83"/>
      <c r="Y37" s="83"/>
      <c r="Z37" s="83"/>
      <c r="AA37" s="83"/>
      <c r="AB37" s="326"/>
    </row>
    <row r="38" ht="15" hidden="1" spans="1:28">
      <c r="A38" s="304">
        <v>27</v>
      </c>
      <c r="B38" s="300">
        <f>'INPUT DATA'!B38:D38</f>
        <v>0</v>
      </c>
      <c r="C38" s="303"/>
      <c r="D38" s="303"/>
      <c r="E38" s="338"/>
      <c r="F38" s="81"/>
      <c r="G38" s="82"/>
      <c r="H38" s="82"/>
      <c r="I38" s="93"/>
      <c r="J38" s="81"/>
      <c r="K38" s="82"/>
      <c r="L38" s="82"/>
      <c r="M38" s="93"/>
      <c r="N38" s="81"/>
      <c r="O38" s="82"/>
      <c r="P38" s="82"/>
      <c r="Q38" s="93"/>
      <c r="R38" s="81"/>
      <c r="S38" s="82"/>
      <c r="T38" s="82"/>
      <c r="U38" s="322"/>
      <c r="V38" s="323" t="str">
        <f t="shared" si="0"/>
        <v/>
      </c>
      <c r="W38" s="83"/>
      <c r="X38" s="83"/>
      <c r="Y38" s="83"/>
      <c r="Z38" s="83"/>
      <c r="AA38" s="83"/>
      <c r="AB38" s="326"/>
    </row>
    <row r="39" ht="15" hidden="1" spans="1:28">
      <c r="A39" s="304">
        <v>28</v>
      </c>
      <c r="B39" s="300">
        <f>'INPUT DATA'!B39:D39</f>
        <v>0</v>
      </c>
      <c r="C39" s="303"/>
      <c r="D39" s="303"/>
      <c r="E39" s="338"/>
      <c r="F39" s="81"/>
      <c r="G39" s="82"/>
      <c r="H39" s="82"/>
      <c r="I39" s="93"/>
      <c r="J39" s="81"/>
      <c r="K39" s="82"/>
      <c r="L39" s="82"/>
      <c r="M39" s="93"/>
      <c r="N39" s="81"/>
      <c r="O39" s="82"/>
      <c r="P39" s="82"/>
      <c r="Q39" s="93"/>
      <c r="R39" s="81"/>
      <c r="S39" s="82"/>
      <c r="T39" s="82"/>
      <c r="U39" s="322"/>
      <c r="V39" s="323" t="str">
        <f t="shared" si="0"/>
        <v/>
      </c>
      <c r="W39" s="83"/>
      <c r="X39" s="83"/>
      <c r="Y39" s="83"/>
      <c r="Z39" s="83"/>
      <c r="AA39" s="83"/>
      <c r="AB39" s="326"/>
    </row>
    <row r="40" ht="15" hidden="1" spans="1:28">
      <c r="A40" s="304">
        <v>29</v>
      </c>
      <c r="B40" s="300">
        <f>'INPUT DATA'!B40:D40</f>
        <v>0</v>
      </c>
      <c r="C40" s="303"/>
      <c r="D40" s="303"/>
      <c r="E40" s="338"/>
      <c r="F40" s="81"/>
      <c r="G40" s="82"/>
      <c r="H40" s="82"/>
      <c r="I40" s="93"/>
      <c r="J40" s="81"/>
      <c r="K40" s="82"/>
      <c r="L40" s="82"/>
      <c r="M40" s="93"/>
      <c r="N40" s="81"/>
      <c r="O40" s="82"/>
      <c r="P40" s="82"/>
      <c r="Q40" s="93"/>
      <c r="R40" s="81"/>
      <c r="S40" s="82"/>
      <c r="T40" s="82"/>
      <c r="U40" s="322"/>
      <c r="V40" s="323" t="str">
        <f t="shared" si="0"/>
        <v/>
      </c>
      <c r="W40" s="83"/>
      <c r="X40" s="83"/>
      <c r="Y40" s="83"/>
      <c r="Z40" s="83"/>
      <c r="AA40" s="83"/>
      <c r="AB40" s="326"/>
    </row>
    <row r="41" ht="15" hidden="1" spans="1:28">
      <c r="A41" s="304">
        <v>30</v>
      </c>
      <c r="B41" s="300">
        <f>'INPUT DATA'!B41:D41</f>
        <v>0</v>
      </c>
      <c r="C41" s="303"/>
      <c r="D41" s="303"/>
      <c r="E41" s="338"/>
      <c r="F41" s="81"/>
      <c r="G41" s="82"/>
      <c r="H41" s="82"/>
      <c r="I41" s="93"/>
      <c r="J41" s="81"/>
      <c r="K41" s="82"/>
      <c r="L41" s="82"/>
      <c r="M41" s="93"/>
      <c r="N41" s="81"/>
      <c r="O41" s="82"/>
      <c r="P41" s="82"/>
      <c r="Q41" s="93"/>
      <c r="R41" s="81"/>
      <c r="S41" s="82"/>
      <c r="T41" s="82"/>
      <c r="U41" s="322"/>
      <c r="V41" s="323" t="str">
        <f t="shared" si="0"/>
        <v/>
      </c>
      <c r="W41" s="83"/>
      <c r="X41" s="83"/>
      <c r="Y41" s="83"/>
      <c r="Z41" s="83"/>
      <c r="AA41" s="83"/>
      <c r="AB41" s="326"/>
    </row>
    <row r="42" ht="15" hidden="1" spans="1:28">
      <c r="A42" s="304">
        <v>31</v>
      </c>
      <c r="B42" s="300">
        <f>'INPUT DATA'!B42:D42</f>
        <v>0</v>
      </c>
      <c r="C42" s="303"/>
      <c r="D42" s="303"/>
      <c r="E42" s="338"/>
      <c r="F42" s="81"/>
      <c r="G42" s="82"/>
      <c r="H42" s="82"/>
      <c r="I42" s="93"/>
      <c r="J42" s="81"/>
      <c r="K42" s="82"/>
      <c r="L42" s="82"/>
      <c r="M42" s="93"/>
      <c r="N42" s="81"/>
      <c r="O42" s="82"/>
      <c r="P42" s="82"/>
      <c r="Q42" s="93"/>
      <c r="R42" s="81"/>
      <c r="S42" s="82"/>
      <c r="T42" s="82"/>
      <c r="U42" s="322"/>
      <c r="V42" s="323" t="str">
        <f t="shared" si="0"/>
        <v/>
      </c>
      <c r="W42" s="83"/>
      <c r="X42" s="83"/>
      <c r="Y42" s="83"/>
      <c r="Z42" s="83"/>
      <c r="AA42" s="83"/>
      <c r="AB42" s="326"/>
    </row>
    <row r="43" ht="15" hidden="1" spans="1:28">
      <c r="A43" s="304">
        <v>32</v>
      </c>
      <c r="B43" s="300">
        <f>'INPUT DATA'!B43:D43</f>
        <v>0</v>
      </c>
      <c r="C43" s="303"/>
      <c r="D43" s="303"/>
      <c r="E43" s="338"/>
      <c r="F43" s="81"/>
      <c r="G43" s="82"/>
      <c r="H43" s="82"/>
      <c r="I43" s="93"/>
      <c r="J43" s="81"/>
      <c r="K43" s="82"/>
      <c r="L43" s="82"/>
      <c r="M43" s="93"/>
      <c r="N43" s="81"/>
      <c r="O43" s="82"/>
      <c r="P43" s="82"/>
      <c r="Q43" s="93"/>
      <c r="R43" s="81"/>
      <c r="S43" s="82"/>
      <c r="T43" s="82"/>
      <c r="U43" s="322"/>
      <c r="V43" s="323" t="str">
        <f t="shared" si="0"/>
        <v/>
      </c>
      <c r="W43" s="83"/>
      <c r="X43" s="83"/>
      <c r="Y43" s="83"/>
      <c r="Z43" s="83"/>
      <c r="AA43" s="83"/>
      <c r="AB43" s="326"/>
    </row>
    <row r="44" ht="15" hidden="1" spans="1:28">
      <c r="A44" s="304">
        <v>33</v>
      </c>
      <c r="B44" s="300">
        <f>'INPUT DATA'!B44:D44</f>
        <v>0</v>
      </c>
      <c r="C44" s="303"/>
      <c r="D44" s="303"/>
      <c r="E44" s="338"/>
      <c r="F44" s="81"/>
      <c r="G44" s="82"/>
      <c r="H44" s="82"/>
      <c r="I44" s="93"/>
      <c r="J44" s="81"/>
      <c r="K44" s="82"/>
      <c r="L44" s="82"/>
      <c r="M44" s="93"/>
      <c r="N44" s="81"/>
      <c r="O44" s="82"/>
      <c r="P44" s="82"/>
      <c r="Q44" s="93"/>
      <c r="R44" s="81"/>
      <c r="S44" s="82"/>
      <c r="T44" s="82"/>
      <c r="U44" s="322"/>
      <c r="V44" s="323" t="str">
        <f t="shared" si="0"/>
        <v/>
      </c>
      <c r="W44" s="83"/>
      <c r="X44" s="83"/>
      <c r="Y44" s="83"/>
      <c r="Z44" s="83"/>
      <c r="AA44" s="83"/>
      <c r="AB44" s="326"/>
    </row>
    <row r="45" ht="15" hidden="1" spans="1:28">
      <c r="A45" s="304">
        <v>34</v>
      </c>
      <c r="B45" s="300">
        <f>'INPUT DATA'!B45:D45</f>
        <v>0</v>
      </c>
      <c r="C45" s="303"/>
      <c r="D45" s="303"/>
      <c r="E45" s="338"/>
      <c r="F45" s="81"/>
      <c r="G45" s="82"/>
      <c r="H45" s="82"/>
      <c r="I45" s="93"/>
      <c r="J45" s="81"/>
      <c r="K45" s="82"/>
      <c r="L45" s="82"/>
      <c r="M45" s="93"/>
      <c r="N45" s="81"/>
      <c r="O45" s="82"/>
      <c r="P45" s="82"/>
      <c r="Q45" s="93"/>
      <c r="R45" s="81"/>
      <c r="S45" s="82"/>
      <c r="T45" s="82"/>
      <c r="U45" s="322"/>
      <c r="V45" s="323" t="str">
        <f t="shared" si="0"/>
        <v/>
      </c>
      <c r="W45" s="83"/>
      <c r="X45" s="83"/>
      <c r="Y45" s="83"/>
      <c r="Z45" s="83"/>
      <c r="AA45" s="83"/>
      <c r="AB45" s="326"/>
    </row>
    <row r="46" ht="15" hidden="1" spans="1:28">
      <c r="A46" s="304">
        <v>35</v>
      </c>
      <c r="B46" s="300">
        <f>'INPUT DATA'!B46:D46</f>
        <v>0</v>
      </c>
      <c r="C46" s="303"/>
      <c r="D46" s="303"/>
      <c r="E46" s="338"/>
      <c r="F46" s="81"/>
      <c r="G46" s="82"/>
      <c r="H46" s="82"/>
      <c r="I46" s="93"/>
      <c r="J46" s="81"/>
      <c r="K46" s="82"/>
      <c r="L46" s="82"/>
      <c r="M46" s="93"/>
      <c r="N46" s="81"/>
      <c r="O46" s="82"/>
      <c r="P46" s="82"/>
      <c r="Q46" s="93"/>
      <c r="R46" s="81"/>
      <c r="S46" s="82"/>
      <c r="T46" s="82"/>
      <c r="U46" s="322"/>
      <c r="V46" s="323" t="str">
        <f t="shared" si="0"/>
        <v/>
      </c>
      <c r="W46" s="83"/>
      <c r="X46" s="83"/>
      <c r="Y46" s="83"/>
      <c r="Z46" s="83"/>
      <c r="AA46" s="83"/>
      <c r="AB46" s="326"/>
    </row>
    <row r="47" ht="15" hidden="1" spans="1:28">
      <c r="A47" s="304">
        <v>36</v>
      </c>
      <c r="B47" s="300">
        <f>'INPUT DATA'!B47:D47</f>
        <v>0</v>
      </c>
      <c r="C47" s="303"/>
      <c r="D47" s="303"/>
      <c r="E47" s="338"/>
      <c r="F47" s="81"/>
      <c r="G47" s="82"/>
      <c r="H47" s="82"/>
      <c r="I47" s="93"/>
      <c r="J47" s="81"/>
      <c r="K47" s="82"/>
      <c r="L47" s="82"/>
      <c r="M47" s="93"/>
      <c r="N47" s="81"/>
      <c r="O47" s="82"/>
      <c r="P47" s="82"/>
      <c r="Q47" s="93"/>
      <c r="R47" s="81"/>
      <c r="S47" s="82"/>
      <c r="T47" s="82"/>
      <c r="U47" s="322"/>
      <c r="V47" s="323" t="str">
        <f t="shared" si="0"/>
        <v/>
      </c>
      <c r="W47" s="83"/>
      <c r="X47" s="83"/>
      <c r="Y47" s="83"/>
      <c r="Z47" s="83"/>
      <c r="AA47" s="83"/>
      <c r="AB47" s="326"/>
    </row>
    <row r="48" ht="15" hidden="1" spans="1:28">
      <c r="A48" s="304">
        <v>37</v>
      </c>
      <c r="B48" s="300">
        <f>'INPUT DATA'!B48:D48</f>
        <v>0</v>
      </c>
      <c r="C48" s="303"/>
      <c r="D48" s="303"/>
      <c r="E48" s="338"/>
      <c r="F48" s="81"/>
      <c r="G48" s="82"/>
      <c r="H48" s="82"/>
      <c r="I48" s="93"/>
      <c r="J48" s="81"/>
      <c r="K48" s="82"/>
      <c r="L48" s="82"/>
      <c r="M48" s="93"/>
      <c r="N48" s="81"/>
      <c r="O48" s="82"/>
      <c r="P48" s="82"/>
      <c r="Q48" s="93"/>
      <c r="R48" s="81"/>
      <c r="S48" s="82"/>
      <c r="T48" s="82"/>
      <c r="U48" s="322"/>
      <c r="V48" s="323" t="str">
        <f t="shared" si="0"/>
        <v/>
      </c>
      <c r="W48" s="83"/>
      <c r="X48" s="83"/>
      <c r="Y48" s="83"/>
      <c r="Z48" s="83"/>
      <c r="AA48" s="83"/>
      <c r="AB48" s="326"/>
    </row>
    <row r="49" ht="15" hidden="1" spans="1:28">
      <c r="A49" s="304">
        <v>38</v>
      </c>
      <c r="B49" s="300">
        <f>'INPUT DATA'!B49:D49</f>
        <v>0</v>
      </c>
      <c r="C49" s="303"/>
      <c r="D49" s="303"/>
      <c r="E49" s="338"/>
      <c r="F49" s="81"/>
      <c r="G49" s="82"/>
      <c r="H49" s="82"/>
      <c r="I49" s="93"/>
      <c r="J49" s="81"/>
      <c r="K49" s="82"/>
      <c r="L49" s="82"/>
      <c r="M49" s="93"/>
      <c r="N49" s="81"/>
      <c r="O49" s="82"/>
      <c r="P49" s="82"/>
      <c r="Q49" s="93"/>
      <c r="R49" s="81"/>
      <c r="S49" s="82"/>
      <c r="T49" s="82"/>
      <c r="U49" s="322"/>
      <c r="V49" s="323" t="str">
        <f t="shared" si="0"/>
        <v/>
      </c>
      <c r="W49" s="83"/>
      <c r="X49" s="83"/>
      <c r="Y49" s="83"/>
      <c r="Z49" s="83"/>
      <c r="AA49" s="83"/>
      <c r="AB49" s="326"/>
    </row>
    <row r="50" ht="15.75" hidden="1" spans="1:28">
      <c r="A50" s="304">
        <v>39</v>
      </c>
      <c r="B50" s="300">
        <f>'INPUT DATA'!B50:D50</f>
        <v>0</v>
      </c>
      <c r="C50" s="303"/>
      <c r="D50" s="303"/>
      <c r="E50" s="338"/>
      <c r="F50" s="81"/>
      <c r="G50" s="82"/>
      <c r="H50" s="82"/>
      <c r="I50" s="93"/>
      <c r="J50" s="81"/>
      <c r="K50" s="82"/>
      <c r="L50" s="82"/>
      <c r="M50" s="93"/>
      <c r="N50" s="81"/>
      <c r="O50" s="82"/>
      <c r="P50" s="82"/>
      <c r="Q50" s="93"/>
      <c r="R50" s="81"/>
      <c r="S50" s="82"/>
      <c r="T50" s="82"/>
      <c r="U50" s="322"/>
      <c r="V50" s="323" t="str">
        <f t="shared" si="0"/>
        <v/>
      </c>
      <c r="W50" s="83"/>
      <c r="X50" s="83"/>
      <c r="Y50" s="83"/>
      <c r="Z50" s="83"/>
      <c r="AA50" s="83"/>
      <c r="AB50" s="326"/>
    </row>
    <row r="51" ht="15.75" spans="1:28">
      <c r="A51" s="30"/>
      <c r="B51" s="339" t="s">
        <v>39</v>
      </c>
      <c r="C51" s="306"/>
      <c r="D51" s="306"/>
      <c r="E51" s="307"/>
      <c r="F51" s="308"/>
      <c r="G51" s="309"/>
      <c r="H51" s="309"/>
      <c r="I51" s="315"/>
      <c r="J51" s="308"/>
      <c r="K51" s="309"/>
      <c r="L51" s="309"/>
      <c r="M51" s="315"/>
      <c r="N51" s="308"/>
      <c r="O51" s="309"/>
      <c r="P51" s="309"/>
      <c r="Q51" s="315"/>
      <c r="R51" s="308"/>
      <c r="S51" s="309"/>
      <c r="T51" s="309"/>
      <c r="U51" s="324"/>
      <c r="V51" s="84"/>
      <c r="W51" s="85"/>
      <c r="X51" s="85"/>
      <c r="Y51" s="85"/>
      <c r="Z51" s="85"/>
      <c r="AA51" s="85"/>
      <c r="AB51" s="100"/>
    </row>
    <row r="52" ht="15" spans="1:28">
      <c r="A52" s="32">
        <v>1</v>
      </c>
      <c r="B52" s="300" t="str">
        <f>'INPUT DATA'!B53:D53</f>
        <v>ANGCOY, PRINCESS NAILLE T.</v>
      </c>
      <c r="C52" s="301"/>
      <c r="D52" s="301"/>
      <c r="E52" s="310"/>
      <c r="F52" s="81"/>
      <c r="G52" s="82"/>
      <c r="H52" s="82"/>
      <c r="I52" s="93"/>
      <c r="J52" s="81"/>
      <c r="K52" s="82"/>
      <c r="L52" s="82"/>
      <c r="M52" s="93"/>
      <c r="N52" s="81"/>
      <c r="O52" s="82"/>
      <c r="P52" s="82"/>
      <c r="Q52" s="93"/>
      <c r="R52" s="81"/>
      <c r="S52" s="82"/>
      <c r="T52" s="82"/>
      <c r="U52" s="322"/>
      <c r="V52" s="323" t="str">
        <f>IF(OR(F52="",J52="",N52="",R52="",),"",IF(ISERROR(ROUND(AVERAGE(F52,J52,N52,R52),0)),"",ROUND(AVERAGE(F52,J52,N52,R52),0)))</f>
        <v/>
      </c>
      <c r="W52" s="83"/>
      <c r="X52" s="83"/>
      <c r="Y52" s="83"/>
      <c r="Z52" s="83"/>
      <c r="AA52" s="83"/>
      <c r="AB52" s="326"/>
    </row>
    <row r="53" ht="15" spans="1:28">
      <c r="A53" s="37">
        <v>2</v>
      </c>
      <c r="B53" s="300" t="str">
        <f>'INPUT DATA'!B54:D54</f>
        <v>BIMOS, SHEILLA KATE O.</v>
      </c>
      <c r="C53" s="302"/>
      <c r="D53" s="302"/>
      <c r="E53" s="311"/>
      <c r="F53" s="81"/>
      <c r="G53" s="82"/>
      <c r="H53" s="82"/>
      <c r="I53" s="93"/>
      <c r="J53" s="81"/>
      <c r="K53" s="82"/>
      <c r="L53" s="82"/>
      <c r="M53" s="93"/>
      <c r="N53" s="81"/>
      <c r="O53" s="82"/>
      <c r="P53" s="82"/>
      <c r="Q53" s="93"/>
      <c r="R53" s="81"/>
      <c r="S53" s="82"/>
      <c r="T53" s="82"/>
      <c r="U53" s="322"/>
      <c r="V53" s="323" t="str">
        <f t="shared" ref="V53:V75" si="1">IF(OR(F53="",J53="",N53="",R53="",),"",IF(ISERROR(ROUND(AVERAGE(F53,J53,N53,R53),0)),"",ROUND(AVERAGE(F53,J53,N53,R53),0)))</f>
        <v/>
      </c>
      <c r="W53" s="83"/>
      <c r="X53" s="83"/>
      <c r="Y53" s="83"/>
      <c r="Z53" s="83"/>
      <c r="AA53" s="83"/>
      <c r="AB53" s="326"/>
    </row>
    <row r="54" ht="15" spans="1:28">
      <c r="A54" s="37">
        <v>3</v>
      </c>
      <c r="B54" s="300" t="str">
        <f>'INPUT DATA'!B55:D55</f>
        <v>BONGABONG, DWEYN ZHAIRA A.</v>
      </c>
      <c r="C54" s="302"/>
      <c r="D54" s="302"/>
      <c r="E54" s="311"/>
      <c r="F54" s="81"/>
      <c r="G54" s="82"/>
      <c r="H54" s="82"/>
      <c r="I54" s="93"/>
      <c r="J54" s="81"/>
      <c r="K54" s="82"/>
      <c r="L54" s="82"/>
      <c r="M54" s="93"/>
      <c r="N54" s="81"/>
      <c r="O54" s="82"/>
      <c r="P54" s="82"/>
      <c r="Q54" s="93"/>
      <c r="R54" s="81"/>
      <c r="S54" s="82"/>
      <c r="T54" s="82"/>
      <c r="U54" s="322"/>
      <c r="V54" s="323" t="str">
        <f t="shared" si="1"/>
        <v/>
      </c>
      <c r="W54" s="83"/>
      <c r="X54" s="83"/>
      <c r="Y54" s="83"/>
      <c r="Z54" s="83"/>
      <c r="AA54" s="83"/>
      <c r="AB54" s="326"/>
    </row>
    <row r="55" ht="15" spans="1:28">
      <c r="A55" s="37">
        <v>4</v>
      </c>
      <c r="B55" s="300" t="str">
        <f>'INPUT DATA'!B56:D56</f>
        <v>CABEL, LOURENE A.</v>
      </c>
      <c r="C55" s="302"/>
      <c r="D55" s="302"/>
      <c r="E55" s="311"/>
      <c r="F55" s="81"/>
      <c r="G55" s="82"/>
      <c r="H55" s="82"/>
      <c r="I55" s="93"/>
      <c r="J55" s="81"/>
      <c r="K55" s="82"/>
      <c r="L55" s="82"/>
      <c r="M55" s="93"/>
      <c r="N55" s="81"/>
      <c r="O55" s="82"/>
      <c r="P55" s="82"/>
      <c r="Q55" s="93"/>
      <c r="R55" s="81"/>
      <c r="S55" s="82"/>
      <c r="T55" s="82"/>
      <c r="U55" s="322"/>
      <c r="V55" s="323" t="str">
        <f t="shared" si="1"/>
        <v/>
      </c>
      <c r="W55" s="83"/>
      <c r="X55" s="83"/>
      <c r="Y55" s="83"/>
      <c r="Z55" s="83"/>
      <c r="AA55" s="83"/>
      <c r="AB55" s="326"/>
    </row>
    <row r="56" ht="15" spans="1:28">
      <c r="A56" s="37">
        <v>5</v>
      </c>
      <c r="B56" s="300" t="str">
        <f>'INPUT DATA'!B57:D57</f>
        <v>CAMIGAO, DHENISE CLARE V.</v>
      </c>
      <c r="C56" s="302"/>
      <c r="D56" s="302"/>
      <c r="E56" s="311"/>
      <c r="F56" s="81"/>
      <c r="G56" s="82"/>
      <c r="H56" s="82"/>
      <c r="I56" s="93"/>
      <c r="J56" s="81"/>
      <c r="K56" s="82"/>
      <c r="L56" s="82"/>
      <c r="M56" s="93"/>
      <c r="N56" s="81"/>
      <c r="O56" s="82"/>
      <c r="P56" s="82"/>
      <c r="Q56" s="93"/>
      <c r="R56" s="81"/>
      <c r="S56" s="82"/>
      <c r="T56" s="82"/>
      <c r="U56" s="322"/>
      <c r="V56" s="323" t="str">
        <f t="shared" si="1"/>
        <v/>
      </c>
      <c r="W56" s="83"/>
      <c r="X56" s="83"/>
      <c r="Y56" s="83"/>
      <c r="Z56" s="83"/>
      <c r="AA56" s="83"/>
      <c r="AB56" s="326"/>
    </row>
    <row r="57" ht="15" spans="1:28">
      <c r="A57" s="37">
        <v>6</v>
      </c>
      <c r="B57" s="300" t="str">
        <f>'INPUT DATA'!B58:D58</f>
        <v>CARISMA, NATHALIA MAE M.</v>
      </c>
      <c r="C57" s="302"/>
      <c r="D57" s="302"/>
      <c r="E57" s="311"/>
      <c r="F57" s="81"/>
      <c r="G57" s="82"/>
      <c r="H57" s="82"/>
      <c r="I57" s="93"/>
      <c r="J57" s="81"/>
      <c r="K57" s="82"/>
      <c r="L57" s="82"/>
      <c r="M57" s="93"/>
      <c r="N57" s="81"/>
      <c r="O57" s="82"/>
      <c r="P57" s="82"/>
      <c r="Q57" s="93"/>
      <c r="R57" s="81"/>
      <c r="S57" s="82"/>
      <c r="T57" s="82"/>
      <c r="U57" s="322"/>
      <c r="V57" s="323" t="str">
        <f t="shared" si="1"/>
        <v/>
      </c>
      <c r="W57" s="83"/>
      <c r="X57" s="83"/>
      <c r="Y57" s="83"/>
      <c r="Z57" s="83"/>
      <c r="AA57" s="83"/>
      <c r="AB57" s="326"/>
    </row>
    <row r="58" ht="15" spans="1:28">
      <c r="A58" s="37">
        <v>7</v>
      </c>
      <c r="B58" s="300" t="str">
        <f>'INPUT DATA'!B59:D59</f>
        <v>CLARO, REANZ P.</v>
      </c>
      <c r="C58" s="302"/>
      <c r="D58" s="302"/>
      <c r="E58" s="311"/>
      <c r="F58" s="81"/>
      <c r="G58" s="82"/>
      <c r="H58" s="82"/>
      <c r="I58" s="93"/>
      <c r="J58" s="81"/>
      <c r="K58" s="82"/>
      <c r="L58" s="82"/>
      <c r="M58" s="93"/>
      <c r="N58" s="81"/>
      <c r="O58" s="82"/>
      <c r="P58" s="82"/>
      <c r="Q58" s="93"/>
      <c r="R58" s="81"/>
      <c r="S58" s="82"/>
      <c r="T58" s="82"/>
      <c r="U58" s="322"/>
      <c r="V58" s="323" t="str">
        <f t="shared" si="1"/>
        <v/>
      </c>
      <c r="W58" s="83"/>
      <c r="X58" s="83"/>
      <c r="Y58" s="83"/>
      <c r="Z58" s="83"/>
      <c r="AA58" s="83"/>
      <c r="AB58" s="326"/>
    </row>
    <row r="59" ht="15" spans="1:28">
      <c r="A59" s="37">
        <v>8</v>
      </c>
      <c r="B59" s="300" t="str">
        <f>'INPUT DATA'!B60:D60</f>
        <v>FRANCISCO, YSABELLA BEATRICE B.</v>
      </c>
      <c r="C59" s="302"/>
      <c r="D59" s="302"/>
      <c r="E59" s="311"/>
      <c r="F59" s="81"/>
      <c r="G59" s="82"/>
      <c r="H59" s="82"/>
      <c r="I59" s="93"/>
      <c r="J59" s="81"/>
      <c r="K59" s="82"/>
      <c r="L59" s="82"/>
      <c r="M59" s="93"/>
      <c r="N59" s="81"/>
      <c r="O59" s="82"/>
      <c r="P59" s="82"/>
      <c r="Q59" s="93"/>
      <c r="R59" s="81"/>
      <c r="S59" s="82"/>
      <c r="T59" s="82"/>
      <c r="U59" s="322"/>
      <c r="V59" s="323" t="str">
        <f t="shared" si="1"/>
        <v/>
      </c>
      <c r="W59" s="83"/>
      <c r="X59" s="83"/>
      <c r="Y59" s="83"/>
      <c r="Z59" s="83"/>
      <c r="AA59" s="83"/>
      <c r="AB59" s="326"/>
    </row>
    <row r="60" ht="15" spans="1:28">
      <c r="A60" s="37">
        <v>9</v>
      </c>
      <c r="B60" s="300" t="str">
        <f>'INPUT DATA'!B61:D61</f>
        <v>GALDO, ALYSSA RHIAN P.</v>
      </c>
      <c r="C60" s="302"/>
      <c r="D60" s="302"/>
      <c r="E60" s="311"/>
      <c r="F60" s="81"/>
      <c r="G60" s="82"/>
      <c r="H60" s="82"/>
      <c r="I60" s="93"/>
      <c r="J60" s="81"/>
      <c r="K60" s="82"/>
      <c r="L60" s="82"/>
      <c r="M60" s="93"/>
      <c r="N60" s="81"/>
      <c r="O60" s="82"/>
      <c r="P60" s="82"/>
      <c r="Q60" s="93"/>
      <c r="R60" s="81"/>
      <c r="S60" s="82"/>
      <c r="T60" s="82"/>
      <c r="U60" s="322"/>
      <c r="V60" s="323" t="str">
        <f t="shared" si="1"/>
        <v/>
      </c>
      <c r="W60" s="83"/>
      <c r="X60" s="83"/>
      <c r="Y60" s="83"/>
      <c r="Z60" s="83"/>
      <c r="AA60" s="83"/>
      <c r="AB60" s="326"/>
    </row>
    <row r="61" ht="15" spans="1:28">
      <c r="A61" s="37">
        <v>10</v>
      </c>
      <c r="B61" s="300" t="str">
        <f>'INPUT DATA'!B62:D62</f>
        <v>HURAÑO, RIOMI M.</v>
      </c>
      <c r="C61" s="302"/>
      <c r="D61" s="302"/>
      <c r="E61" s="311"/>
      <c r="F61" s="81"/>
      <c r="G61" s="82"/>
      <c r="H61" s="82"/>
      <c r="I61" s="93"/>
      <c r="J61" s="81"/>
      <c r="K61" s="82"/>
      <c r="L61" s="82"/>
      <c r="M61" s="93"/>
      <c r="N61" s="81"/>
      <c r="O61" s="82"/>
      <c r="P61" s="82"/>
      <c r="Q61" s="93"/>
      <c r="R61" s="81"/>
      <c r="S61" s="82"/>
      <c r="T61" s="82"/>
      <c r="U61" s="322"/>
      <c r="V61" s="323" t="str">
        <f t="shared" si="1"/>
        <v/>
      </c>
      <c r="W61" s="83"/>
      <c r="X61" s="83"/>
      <c r="Y61" s="83"/>
      <c r="Z61" s="83"/>
      <c r="AA61" s="83"/>
      <c r="AB61" s="326"/>
    </row>
    <row r="62" ht="15" spans="1:28">
      <c r="A62" s="37">
        <v>11</v>
      </c>
      <c r="B62" s="300" t="str">
        <f>'INPUT DATA'!B63:D63</f>
        <v>LAGUNA, WELLAIZA O.</v>
      </c>
      <c r="C62" s="302"/>
      <c r="D62" s="302"/>
      <c r="E62" s="311"/>
      <c r="F62" s="81"/>
      <c r="G62" s="82"/>
      <c r="H62" s="82"/>
      <c r="I62" s="93"/>
      <c r="J62" s="81"/>
      <c r="K62" s="82"/>
      <c r="L62" s="82"/>
      <c r="M62" s="93"/>
      <c r="N62" s="81"/>
      <c r="O62" s="82"/>
      <c r="P62" s="82"/>
      <c r="Q62" s="93"/>
      <c r="R62" s="81"/>
      <c r="S62" s="82"/>
      <c r="T62" s="82"/>
      <c r="U62" s="322"/>
      <c r="V62" s="323" t="str">
        <f t="shared" si="1"/>
        <v/>
      </c>
      <c r="W62" s="83"/>
      <c r="X62" s="83"/>
      <c r="Y62" s="83"/>
      <c r="Z62" s="83"/>
      <c r="AA62" s="83"/>
      <c r="AB62" s="326"/>
    </row>
    <row r="63" ht="15" spans="1:28">
      <c r="A63" s="37">
        <v>12</v>
      </c>
      <c r="B63" s="300" t="str">
        <f>'INPUT DATA'!B64:D64</f>
        <v>LAZAGA, PRINCESS JEAN O.</v>
      </c>
      <c r="C63" s="302"/>
      <c r="D63" s="302"/>
      <c r="E63" s="311"/>
      <c r="F63" s="81"/>
      <c r="G63" s="82"/>
      <c r="H63" s="82"/>
      <c r="I63" s="93"/>
      <c r="J63" s="81"/>
      <c r="K63" s="82"/>
      <c r="L63" s="82"/>
      <c r="M63" s="93"/>
      <c r="N63" s="81"/>
      <c r="O63" s="82"/>
      <c r="P63" s="82"/>
      <c r="Q63" s="93"/>
      <c r="R63" s="81"/>
      <c r="S63" s="82"/>
      <c r="T63" s="82"/>
      <c r="U63" s="322"/>
      <c r="V63" s="323" t="str">
        <f t="shared" si="1"/>
        <v/>
      </c>
      <c r="W63" s="83"/>
      <c r="X63" s="83"/>
      <c r="Y63" s="83"/>
      <c r="Z63" s="83"/>
      <c r="AA63" s="83"/>
      <c r="AB63" s="326"/>
    </row>
    <row r="64" ht="15" spans="1:28">
      <c r="A64" s="37">
        <v>13</v>
      </c>
      <c r="B64" s="300" t="str">
        <f>'INPUT DATA'!B65:D65</f>
        <v>LIBRES, MIKYLLA B.</v>
      </c>
      <c r="C64" s="302"/>
      <c r="D64" s="302"/>
      <c r="E64" s="311"/>
      <c r="F64" s="81"/>
      <c r="G64" s="82"/>
      <c r="H64" s="82"/>
      <c r="I64" s="93"/>
      <c r="J64" s="81"/>
      <c r="K64" s="82"/>
      <c r="L64" s="82"/>
      <c r="M64" s="93"/>
      <c r="N64" s="81"/>
      <c r="O64" s="82"/>
      <c r="P64" s="82"/>
      <c r="Q64" s="93"/>
      <c r="R64" s="81"/>
      <c r="S64" s="82"/>
      <c r="T64" s="82"/>
      <c r="U64" s="322"/>
      <c r="V64" s="323" t="str">
        <f t="shared" si="1"/>
        <v/>
      </c>
      <c r="W64" s="83"/>
      <c r="X64" s="83"/>
      <c r="Y64" s="83"/>
      <c r="Z64" s="83"/>
      <c r="AA64" s="83"/>
      <c r="AB64" s="326"/>
    </row>
    <row r="65" ht="15" spans="1:28">
      <c r="A65" s="37">
        <v>14</v>
      </c>
      <c r="B65" s="300" t="str">
        <f>'INPUT DATA'!B66:D66</f>
        <v>LIM, LENNIE GRACE S.</v>
      </c>
      <c r="C65" s="302"/>
      <c r="D65" s="302"/>
      <c r="E65" s="311"/>
      <c r="F65" s="81"/>
      <c r="G65" s="82"/>
      <c r="H65" s="82"/>
      <c r="I65" s="93"/>
      <c r="J65" s="81"/>
      <c r="K65" s="82"/>
      <c r="L65" s="82"/>
      <c r="M65" s="93"/>
      <c r="N65" s="81"/>
      <c r="O65" s="82"/>
      <c r="P65" s="82"/>
      <c r="Q65" s="93"/>
      <c r="R65" s="81"/>
      <c r="S65" s="82"/>
      <c r="T65" s="82"/>
      <c r="U65" s="322"/>
      <c r="V65" s="323" t="str">
        <f t="shared" si="1"/>
        <v/>
      </c>
      <c r="W65" s="83"/>
      <c r="X65" s="83"/>
      <c r="Y65" s="83"/>
      <c r="Z65" s="83"/>
      <c r="AA65" s="83"/>
      <c r="AB65" s="326"/>
    </row>
    <row r="66" ht="15" spans="1:28">
      <c r="A66" s="37">
        <v>15</v>
      </c>
      <c r="B66" s="300" t="str">
        <f>'INPUT DATA'!B67:D67</f>
        <v>MASAYON, RHEA JANE L.</v>
      </c>
      <c r="C66" s="302"/>
      <c r="D66" s="302"/>
      <c r="E66" s="311"/>
      <c r="F66" s="81"/>
      <c r="G66" s="82"/>
      <c r="H66" s="82"/>
      <c r="I66" s="93"/>
      <c r="J66" s="81"/>
      <c r="K66" s="82"/>
      <c r="L66" s="82"/>
      <c r="M66" s="93"/>
      <c r="N66" s="81"/>
      <c r="O66" s="82"/>
      <c r="P66" s="82"/>
      <c r="Q66" s="93"/>
      <c r="R66" s="81"/>
      <c r="S66" s="82"/>
      <c r="T66" s="82"/>
      <c r="U66" s="322"/>
      <c r="V66" s="323" t="str">
        <f t="shared" si="1"/>
        <v/>
      </c>
      <c r="W66" s="83"/>
      <c r="X66" s="83"/>
      <c r="Y66" s="83"/>
      <c r="Z66" s="83"/>
      <c r="AA66" s="83"/>
      <c r="AB66" s="326"/>
    </row>
    <row r="67" ht="15" spans="1:28">
      <c r="A67" s="37">
        <v>16</v>
      </c>
      <c r="B67" s="300" t="str">
        <f>'INPUT DATA'!B68:D68</f>
        <v>MORANCIL, JENEVI A.</v>
      </c>
      <c r="C67" s="302"/>
      <c r="D67" s="302"/>
      <c r="E67" s="311"/>
      <c r="F67" s="81"/>
      <c r="G67" s="82"/>
      <c r="H67" s="82"/>
      <c r="I67" s="93"/>
      <c r="J67" s="81"/>
      <c r="K67" s="82"/>
      <c r="L67" s="82"/>
      <c r="M67" s="93"/>
      <c r="N67" s="81"/>
      <c r="O67" s="82"/>
      <c r="P67" s="82"/>
      <c r="Q67" s="93"/>
      <c r="R67" s="81"/>
      <c r="S67" s="82"/>
      <c r="T67" s="82"/>
      <c r="U67" s="322"/>
      <c r="V67" s="323" t="str">
        <f t="shared" si="1"/>
        <v/>
      </c>
      <c r="W67" s="83"/>
      <c r="X67" s="83"/>
      <c r="Y67" s="83"/>
      <c r="Z67" s="83"/>
      <c r="AA67" s="83"/>
      <c r="AB67" s="326"/>
    </row>
    <row r="68" ht="15" spans="1:28">
      <c r="A68" s="37">
        <v>17</v>
      </c>
      <c r="B68" s="300" t="str">
        <f>'INPUT DATA'!B69:D69</f>
        <v>PATRICIO, MICHA ELLA P.</v>
      </c>
      <c r="C68" s="302"/>
      <c r="D68" s="302"/>
      <c r="E68" s="311"/>
      <c r="F68" s="81"/>
      <c r="G68" s="82"/>
      <c r="H68" s="82"/>
      <c r="I68" s="93"/>
      <c r="J68" s="81"/>
      <c r="K68" s="82"/>
      <c r="L68" s="82"/>
      <c r="M68" s="93"/>
      <c r="N68" s="81"/>
      <c r="O68" s="82"/>
      <c r="P68" s="82"/>
      <c r="Q68" s="93"/>
      <c r="R68" s="81"/>
      <c r="S68" s="82"/>
      <c r="T68" s="82"/>
      <c r="U68" s="322"/>
      <c r="V68" s="323" t="str">
        <f t="shared" si="1"/>
        <v/>
      </c>
      <c r="W68" s="83"/>
      <c r="X68" s="83"/>
      <c r="Y68" s="83"/>
      <c r="Z68" s="83"/>
      <c r="AA68" s="83"/>
      <c r="AB68" s="326"/>
    </row>
    <row r="69" ht="15" spans="1:28">
      <c r="A69" s="37">
        <v>18</v>
      </c>
      <c r="B69" s="300" t="str">
        <f>'INPUT DATA'!B70:D70</f>
        <v>PELINGON , ASHLEY C.</v>
      </c>
      <c r="C69" s="302"/>
      <c r="D69" s="302"/>
      <c r="E69" s="311"/>
      <c r="F69" s="81"/>
      <c r="G69" s="82"/>
      <c r="H69" s="82"/>
      <c r="I69" s="93"/>
      <c r="J69" s="81"/>
      <c r="K69" s="82"/>
      <c r="L69" s="82"/>
      <c r="M69" s="93"/>
      <c r="N69" s="81"/>
      <c r="O69" s="82"/>
      <c r="P69" s="82"/>
      <c r="Q69" s="93"/>
      <c r="R69" s="81"/>
      <c r="S69" s="82"/>
      <c r="T69" s="82"/>
      <c r="U69" s="322"/>
      <c r="V69" s="323" t="str">
        <f t="shared" si="1"/>
        <v/>
      </c>
      <c r="W69" s="83"/>
      <c r="X69" s="83"/>
      <c r="Y69" s="83"/>
      <c r="Z69" s="83"/>
      <c r="AA69" s="83"/>
      <c r="AB69" s="326"/>
    </row>
    <row r="70" ht="15" spans="1:28">
      <c r="A70" s="37">
        <v>19</v>
      </c>
      <c r="B70" s="300" t="str">
        <f>'INPUT DATA'!B71:D71</f>
        <v>PEREZ, MERCY JEAN T.</v>
      </c>
      <c r="C70" s="302"/>
      <c r="D70" s="302"/>
      <c r="E70" s="311"/>
      <c r="F70" s="81"/>
      <c r="G70" s="82"/>
      <c r="H70" s="82"/>
      <c r="I70" s="93"/>
      <c r="J70" s="81"/>
      <c r="K70" s="82"/>
      <c r="L70" s="82"/>
      <c r="M70" s="93"/>
      <c r="N70" s="81"/>
      <c r="O70" s="82"/>
      <c r="P70" s="82"/>
      <c r="Q70" s="93"/>
      <c r="R70" s="81"/>
      <c r="S70" s="82"/>
      <c r="T70" s="82"/>
      <c r="U70" s="322"/>
      <c r="V70" s="323" t="str">
        <f t="shared" si="1"/>
        <v/>
      </c>
      <c r="W70" s="83"/>
      <c r="X70" s="83"/>
      <c r="Y70" s="83"/>
      <c r="Z70" s="83"/>
      <c r="AA70" s="83"/>
      <c r="AB70" s="326"/>
    </row>
    <row r="71" ht="15" spans="1:28">
      <c r="A71" s="37">
        <v>20</v>
      </c>
      <c r="B71" s="300" t="str">
        <f>'INPUT DATA'!B72:D72</f>
        <v>PINGOT, RHEA L.</v>
      </c>
      <c r="C71" s="302"/>
      <c r="D71" s="302"/>
      <c r="E71" s="311"/>
      <c r="F71" s="81"/>
      <c r="G71" s="82"/>
      <c r="H71" s="82"/>
      <c r="I71" s="93"/>
      <c r="J71" s="81"/>
      <c r="K71" s="82"/>
      <c r="L71" s="82"/>
      <c r="M71" s="93"/>
      <c r="N71" s="81"/>
      <c r="O71" s="82"/>
      <c r="P71" s="82"/>
      <c r="Q71" s="93"/>
      <c r="R71" s="81"/>
      <c r="S71" s="82"/>
      <c r="T71" s="82"/>
      <c r="U71" s="322"/>
      <c r="V71" s="323" t="str">
        <f t="shared" si="1"/>
        <v/>
      </c>
      <c r="W71" s="83"/>
      <c r="X71" s="83"/>
      <c r="Y71" s="83"/>
      <c r="Z71" s="83"/>
      <c r="AA71" s="83"/>
      <c r="AB71" s="326"/>
    </row>
    <row r="72" ht="15" spans="1:28">
      <c r="A72" s="37">
        <v>21</v>
      </c>
      <c r="B72" s="300" t="str">
        <f>'INPUT DATA'!B73:D73</f>
        <v>QUILAT, FERRA MAE</v>
      </c>
      <c r="C72" s="302"/>
      <c r="D72" s="302"/>
      <c r="E72" s="311"/>
      <c r="F72" s="81"/>
      <c r="G72" s="82"/>
      <c r="H72" s="82"/>
      <c r="I72" s="93"/>
      <c r="J72" s="81"/>
      <c r="K72" s="82"/>
      <c r="L72" s="82"/>
      <c r="M72" s="93"/>
      <c r="N72" s="81"/>
      <c r="O72" s="82"/>
      <c r="P72" s="82"/>
      <c r="Q72" s="93"/>
      <c r="R72" s="81"/>
      <c r="S72" s="82"/>
      <c r="T72" s="82"/>
      <c r="U72" s="322"/>
      <c r="V72" s="323" t="str">
        <f t="shared" si="1"/>
        <v/>
      </c>
      <c r="W72" s="83"/>
      <c r="X72" s="83"/>
      <c r="Y72" s="83"/>
      <c r="Z72" s="83"/>
      <c r="AA72" s="83"/>
      <c r="AB72" s="326"/>
    </row>
    <row r="73" ht="15" spans="1:28">
      <c r="A73" s="37">
        <v>22</v>
      </c>
      <c r="B73" s="300" t="str">
        <f>'INPUT DATA'!B74:D74</f>
        <v>ROSALES, RYZA MAE C.</v>
      </c>
      <c r="C73" s="302"/>
      <c r="D73" s="302"/>
      <c r="E73" s="311"/>
      <c r="F73" s="81"/>
      <c r="G73" s="82"/>
      <c r="H73" s="82"/>
      <c r="I73" s="93"/>
      <c r="J73" s="81"/>
      <c r="K73" s="82"/>
      <c r="L73" s="82"/>
      <c r="M73" s="93"/>
      <c r="N73" s="81"/>
      <c r="O73" s="82"/>
      <c r="P73" s="82"/>
      <c r="Q73" s="93"/>
      <c r="R73" s="81"/>
      <c r="S73" s="82"/>
      <c r="T73" s="82"/>
      <c r="U73" s="322"/>
      <c r="V73" s="323" t="str">
        <f t="shared" si="1"/>
        <v/>
      </c>
      <c r="W73" s="83"/>
      <c r="X73" s="83"/>
      <c r="Y73" s="83"/>
      <c r="Z73" s="83"/>
      <c r="AA73" s="83"/>
      <c r="AB73" s="326"/>
    </row>
    <row r="74" ht="15" spans="1:28">
      <c r="A74" s="37">
        <v>23</v>
      </c>
      <c r="B74" s="300">
        <f>'INPUT DATA'!B75:D75</f>
        <v>0</v>
      </c>
      <c r="C74" s="302"/>
      <c r="D74" s="302"/>
      <c r="E74" s="311"/>
      <c r="F74" s="81"/>
      <c r="G74" s="82"/>
      <c r="H74" s="82"/>
      <c r="I74" s="93"/>
      <c r="J74" s="81"/>
      <c r="K74" s="82"/>
      <c r="L74" s="82"/>
      <c r="M74" s="93"/>
      <c r="N74" s="81"/>
      <c r="O74" s="82"/>
      <c r="P74" s="82"/>
      <c r="Q74" s="93"/>
      <c r="R74" s="81"/>
      <c r="S74" s="82"/>
      <c r="T74" s="82"/>
      <c r="U74" s="322"/>
      <c r="V74" s="323" t="str">
        <f t="shared" si="1"/>
        <v/>
      </c>
      <c r="W74" s="83"/>
      <c r="X74" s="83"/>
      <c r="Y74" s="83"/>
      <c r="Z74" s="83"/>
      <c r="AA74" s="83"/>
      <c r="AB74" s="326"/>
    </row>
    <row r="75" ht="15" spans="1:28">
      <c r="A75" s="37">
        <v>24</v>
      </c>
      <c r="B75" s="300">
        <f>'INPUT DATA'!B76:D76</f>
        <v>0</v>
      </c>
      <c r="C75" s="302"/>
      <c r="D75" s="302"/>
      <c r="E75" s="311"/>
      <c r="F75" s="81"/>
      <c r="G75" s="82"/>
      <c r="H75" s="82"/>
      <c r="I75" s="93"/>
      <c r="J75" s="81"/>
      <c r="K75" s="82"/>
      <c r="L75" s="82"/>
      <c r="M75" s="93"/>
      <c r="N75" s="81"/>
      <c r="O75" s="82"/>
      <c r="P75" s="82"/>
      <c r="Q75" s="93"/>
      <c r="R75" s="81"/>
      <c r="S75" s="82"/>
      <c r="T75" s="82"/>
      <c r="U75" s="322"/>
      <c r="V75" s="323" t="str">
        <f t="shared" si="1"/>
        <v/>
      </c>
      <c r="W75" s="83"/>
      <c r="X75" s="83"/>
      <c r="Y75" s="83"/>
      <c r="Z75" s="83"/>
      <c r="AA75" s="83"/>
      <c r="AB75" s="326"/>
    </row>
    <row r="76" ht="15" spans="1:28">
      <c r="A76" s="37">
        <v>25</v>
      </c>
      <c r="B76" s="300">
        <f>'INPUT DATA'!B77:D77</f>
        <v>0</v>
      </c>
      <c r="C76" s="302"/>
      <c r="D76" s="302"/>
      <c r="E76" s="311"/>
      <c r="F76" s="81"/>
      <c r="G76" s="82"/>
      <c r="H76" s="82"/>
      <c r="I76" s="93"/>
      <c r="J76" s="81"/>
      <c r="K76" s="82"/>
      <c r="L76" s="82"/>
      <c r="M76" s="93"/>
      <c r="N76" s="81"/>
      <c r="O76" s="82"/>
      <c r="P76" s="82"/>
      <c r="Q76" s="93"/>
      <c r="R76" s="81"/>
      <c r="S76" s="82"/>
      <c r="T76" s="82"/>
      <c r="U76" s="322"/>
      <c r="V76" s="323" t="str">
        <f t="shared" ref="V76:V86" si="2">IF(OR(F76="",J76="",N76="",R76="",),"",IF(ISERROR(ROUND(AVERAGE(F76,J76,N76,R76),0)),"",ROUND(AVERAGE(F76,J76,N76,R76),0)))</f>
        <v/>
      </c>
      <c r="W76" s="83"/>
      <c r="X76" s="83"/>
      <c r="Y76" s="83"/>
      <c r="Z76" s="83"/>
      <c r="AA76" s="83"/>
      <c r="AB76" s="326"/>
    </row>
    <row r="77" ht="15" hidden="1" spans="1:28">
      <c r="A77" s="42">
        <v>26</v>
      </c>
      <c r="B77" s="300">
        <f>'INPUT DATA'!B78:D78</f>
        <v>0</v>
      </c>
      <c r="C77" s="107"/>
      <c r="D77" s="107"/>
      <c r="E77" s="108"/>
      <c r="F77" s="81"/>
      <c r="G77" s="82"/>
      <c r="H77" s="82"/>
      <c r="I77" s="93"/>
      <c r="J77" s="81"/>
      <c r="K77" s="82"/>
      <c r="L77" s="82"/>
      <c r="M77" s="93"/>
      <c r="N77" s="81"/>
      <c r="O77" s="82"/>
      <c r="P77" s="82"/>
      <c r="Q77" s="93"/>
      <c r="R77" s="81"/>
      <c r="S77" s="82"/>
      <c r="T77" s="82"/>
      <c r="U77" s="322"/>
      <c r="V77" s="323" t="str">
        <f t="shared" si="2"/>
        <v/>
      </c>
      <c r="W77" s="83"/>
      <c r="X77" s="83"/>
      <c r="Y77" s="83"/>
      <c r="Z77" s="83"/>
      <c r="AA77" s="83"/>
      <c r="AB77" s="326"/>
    </row>
    <row r="78" ht="15" hidden="1" spans="1:28">
      <c r="A78" s="42">
        <v>27</v>
      </c>
      <c r="B78" s="300">
        <f>'INPUT DATA'!B79:D79</f>
        <v>0</v>
      </c>
      <c r="C78" s="109"/>
      <c r="D78" s="109"/>
      <c r="E78" s="110"/>
      <c r="F78" s="81"/>
      <c r="G78" s="82"/>
      <c r="H78" s="82"/>
      <c r="I78" s="93"/>
      <c r="J78" s="81"/>
      <c r="K78" s="82"/>
      <c r="L78" s="82"/>
      <c r="M78" s="93"/>
      <c r="N78" s="81"/>
      <c r="O78" s="82"/>
      <c r="P78" s="82"/>
      <c r="Q78" s="93"/>
      <c r="R78" s="81"/>
      <c r="S78" s="82"/>
      <c r="T78" s="82"/>
      <c r="U78" s="322"/>
      <c r="V78" s="323" t="str">
        <f t="shared" si="2"/>
        <v/>
      </c>
      <c r="W78" s="83"/>
      <c r="X78" s="83"/>
      <c r="Y78" s="83"/>
      <c r="Z78" s="83"/>
      <c r="AA78" s="83"/>
      <c r="AB78" s="326"/>
    </row>
    <row r="79" ht="15" hidden="1" spans="1:28">
      <c r="A79" s="42">
        <v>28</v>
      </c>
      <c r="B79" s="300">
        <f>'INPUT DATA'!B80:D80</f>
        <v>0</v>
      </c>
      <c r="C79" s="109"/>
      <c r="D79" s="109"/>
      <c r="E79" s="110"/>
      <c r="F79" s="81"/>
      <c r="G79" s="82"/>
      <c r="H79" s="82"/>
      <c r="I79" s="93"/>
      <c r="J79" s="81"/>
      <c r="K79" s="82"/>
      <c r="L79" s="82"/>
      <c r="M79" s="93"/>
      <c r="N79" s="81"/>
      <c r="O79" s="82"/>
      <c r="P79" s="82"/>
      <c r="Q79" s="93"/>
      <c r="R79" s="81"/>
      <c r="S79" s="82"/>
      <c r="T79" s="82"/>
      <c r="U79" s="322"/>
      <c r="V79" s="323" t="str">
        <f t="shared" si="2"/>
        <v/>
      </c>
      <c r="W79" s="83"/>
      <c r="X79" s="83"/>
      <c r="Y79" s="83"/>
      <c r="Z79" s="83"/>
      <c r="AA79" s="83"/>
      <c r="AB79" s="326"/>
    </row>
    <row r="80" ht="15" hidden="1" spans="1:28">
      <c r="A80" s="42">
        <v>29</v>
      </c>
      <c r="B80" s="300">
        <f>'INPUT DATA'!B81:D81</f>
        <v>0</v>
      </c>
      <c r="C80" s="109"/>
      <c r="D80" s="109"/>
      <c r="E80" s="110"/>
      <c r="F80" s="81"/>
      <c r="G80" s="82"/>
      <c r="H80" s="82"/>
      <c r="I80" s="93"/>
      <c r="J80" s="81"/>
      <c r="K80" s="82"/>
      <c r="L80" s="82"/>
      <c r="M80" s="93"/>
      <c r="N80" s="81"/>
      <c r="O80" s="82"/>
      <c r="P80" s="82"/>
      <c r="Q80" s="93"/>
      <c r="R80" s="81"/>
      <c r="S80" s="82"/>
      <c r="T80" s="82"/>
      <c r="U80" s="322"/>
      <c r="V80" s="323" t="str">
        <f t="shared" si="2"/>
        <v/>
      </c>
      <c r="W80" s="83"/>
      <c r="X80" s="83"/>
      <c r="Y80" s="83"/>
      <c r="Z80" s="83"/>
      <c r="AA80" s="83"/>
      <c r="AB80" s="326"/>
    </row>
    <row r="81" ht="15" hidden="1" spans="1:28">
      <c r="A81" s="42">
        <v>30</v>
      </c>
      <c r="B81" s="300">
        <f>'INPUT DATA'!B82:D82</f>
        <v>0</v>
      </c>
      <c r="C81" s="109"/>
      <c r="D81" s="109"/>
      <c r="E81" s="110"/>
      <c r="F81" s="81"/>
      <c r="G81" s="82"/>
      <c r="H81" s="82"/>
      <c r="I81" s="93"/>
      <c r="J81" s="81"/>
      <c r="K81" s="82"/>
      <c r="L81" s="82"/>
      <c r="M81" s="93"/>
      <c r="N81" s="81"/>
      <c r="O81" s="82"/>
      <c r="P81" s="82"/>
      <c r="Q81" s="93"/>
      <c r="R81" s="81"/>
      <c r="S81" s="82"/>
      <c r="T81" s="82"/>
      <c r="U81" s="322"/>
      <c r="V81" s="323" t="str">
        <f t="shared" si="2"/>
        <v/>
      </c>
      <c r="W81" s="83"/>
      <c r="X81" s="83"/>
      <c r="Y81" s="83"/>
      <c r="Z81" s="83"/>
      <c r="AA81" s="83"/>
      <c r="AB81" s="326"/>
    </row>
    <row r="82" ht="15" hidden="1" spans="1:28">
      <c r="A82" s="42">
        <v>31</v>
      </c>
      <c r="B82" s="300">
        <f>'INPUT DATA'!B83:D83</f>
        <v>0</v>
      </c>
      <c r="C82" s="109"/>
      <c r="D82" s="109"/>
      <c r="E82" s="110"/>
      <c r="F82" s="81"/>
      <c r="G82" s="82"/>
      <c r="H82" s="82"/>
      <c r="I82" s="93"/>
      <c r="J82" s="81"/>
      <c r="K82" s="82"/>
      <c r="L82" s="82"/>
      <c r="M82" s="93"/>
      <c r="N82" s="81"/>
      <c r="O82" s="82"/>
      <c r="P82" s="82"/>
      <c r="Q82" s="93"/>
      <c r="R82" s="81"/>
      <c r="S82" s="82"/>
      <c r="T82" s="82"/>
      <c r="U82" s="322"/>
      <c r="V82" s="323" t="str">
        <f t="shared" si="2"/>
        <v/>
      </c>
      <c r="W82" s="83"/>
      <c r="X82" s="83"/>
      <c r="Y82" s="83"/>
      <c r="Z82" s="83"/>
      <c r="AA82" s="83"/>
      <c r="AB82" s="326"/>
    </row>
    <row r="83" ht="15" hidden="1" spans="1:28">
      <c r="A83" s="42">
        <v>32</v>
      </c>
      <c r="B83" s="300">
        <f>'INPUT DATA'!B84:D84</f>
        <v>0</v>
      </c>
      <c r="C83" s="109"/>
      <c r="D83" s="109"/>
      <c r="E83" s="110"/>
      <c r="F83" s="81"/>
      <c r="G83" s="82"/>
      <c r="H83" s="82"/>
      <c r="I83" s="93"/>
      <c r="J83" s="81"/>
      <c r="K83" s="82"/>
      <c r="L83" s="82"/>
      <c r="M83" s="93"/>
      <c r="N83" s="81"/>
      <c r="O83" s="82"/>
      <c r="P83" s="82"/>
      <c r="Q83" s="93"/>
      <c r="R83" s="81"/>
      <c r="S83" s="82"/>
      <c r="T83" s="82"/>
      <c r="U83" s="322"/>
      <c r="V83" s="323" t="str">
        <f t="shared" si="2"/>
        <v/>
      </c>
      <c r="W83" s="83"/>
      <c r="X83" s="83"/>
      <c r="Y83" s="83"/>
      <c r="Z83" s="83"/>
      <c r="AA83" s="83"/>
      <c r="AB83" s="326"/>
    </row>
    <row r="84" ht="15" hidden="1" spans="1:28">
      <c r="A84" s="42">
        <v>33</v>
      </c>
      <c r="B84" s="300">
        <f>'INPUT DATA'!B85:D85</f>
        <v>0</v>
      </c>
      <c r="C84" s="109"/>
      <c r="D84" s="109"/>
      <c r="E84" s="110"/>
      <c r="F84" s="81"/>
      <c r="G84" s="82"/>
      <c r="H84" s="82"/>
      <c r="I84" s="93"/>
      <c r="J84" s="81"/>
      <c r="K84" s="82"/>
      <c r="L84" s="82"/>
      <c r="M84" s="93"/>
      <c r="N84" s="81"/>
      <c r="O84" s="82"/>
      <c r="P84" s="82"/>
      <c r="Q84" s="93"/>
      <c r="R84" s="81"/>
      <c r="S84" s="82"/>
      <c r="T84" s="82"/>
      <c r="U84" s="322"/>
      <c r="V84" s="323" t="str">
        <f t="shared" si="2"/>
        <v/>
      </c>
      <c r="W84" s="83"/>
      <c r="X84" s="83"/>
      <c r="Y84" s="83"/>
      <c r="Z84" s="83"/>
      <c r="AA84" s="83"/>
      <c r="AB84" s="326"/>
    </row>
    <row r="85" ht="15" hidden="1" spans="1:28">
      <c r="A85" s="42">
        <v>34</v>
      </c>
      <c r="B85" s="300">
        <f>'INPUT DATA'!B86:D86</f>
        <v>0</v>
      </c>
      <c r="C85" s="109"/>
      <c r="D85" s="109"/>
      <c r="E85" s="110"/>
      <c r="F85" s="81"/>
      <c r="G85" s="82"/>
      <c r="H85" s="82"/>
      <c r="I85" s="93"/>
      <c r="J85" s="81"/>
      <c r="K85" s="82"/>
      <c r="L85" s="82"/>
      <c r="M85" s="93"/>
      <c r="N85" s="81"/>
      <c r="O85" s="82"/>
      <c r="P85" s="82"/>
      <c r="Q85" s="93"/>
      <c r="R85" s="81"/>
      <c r="S85" s="82"/>
      <c r="T85" s="82"/>
      <c r="U85" s="322"/>
      <c r="V85" s="323" t="str">
        <f t="shared" si="2"/>
        <v/>
      </c>
      <c r="W85" s="83"/>
      <c r="X85" s="83"/>
      <c r="Y85" s="83"/>
      <c r="Z85" s="83"/>
      <c r="AA85" s="83"/>
      <c r="AB85" s="326"/>
    </row>
    <row r="86" ht="15" hidden="1" spans="1:28">
      <c r="A86" s="42">
        <v>35</v>
      </c>
      <c r="B86" s="300">
        <f>'INPUT DATA'!B87:D87</f>
        <v>0</v>
      </c>
      <c r="C86" s="109"/>
      <c r="D86" s="109"/>
      <c r="E86" s="110"/>
      <c r="F86" s="81"/>
      <c r="G86" s="82"/>
      <c r="H86" s="82"/>
      <c r="I86" s="93"/>
      <c r="J86" s="81"/>
      <c r="K86" s="82"/>
      <c r="L86" s="82"/>
      <c r="M86" s="93"/>
      <c r="N86" s="81"/>
      <c r="O86" s="82"/>
      <c r="P86" s="82"/>
      <c r="Q86" s="93"/>
      <c r="R86" s="81"/>
      <c r="S86" s="82"/>
      <c r="T86" s="82"/>
      <c r="U86" s="322"/>
      <c r="V86" s="323" t="str">
        <f t="shared" si="2"/>
        <v/>
      </c>
      <c r="W86" s="83"/>
      <c r="X86" s="83"/>
      <c r="Y86" s="83"/>
      <c r="Z86" s="83"/>
      <c r="AA86" s="83"/>
      <c r="AB86" s="326"/>
    </row>
  </sheetData>
  <mergeCells count="413">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AB9"/>
    <mergeCell ref="F10:I10"/>
    <mergeCell ref="J10:M10"/>
    <mergeCell ref="N10:Q10"/>
    <mergeCell ref="R10:U10"/>
    <mergeCell ref="V10:AB10"/>
    <mergeCell ref="B11:E11"/>
    <mergeCell ref="F11:I11"/>
    <mergeCell ref="J11:M11"/>
    <mergeCell ref="N11:Q11"/>
    <mergeCell ref="R11:U11"/>
    <mergeCell ref="V11:AB11"/>
    <mergeCell ref="F12:I12"/>
    <mergeCell ref="J12:M12"/>
    <mergeCell ref="N12:Q12"/>
    <mergeCell ref="R12:U12"/>
    <mergeCell ref="V12:AB12"/>
    <mergeCell ref="F13:I13"/>
    <mergeCell ref="J13:M13"/>
    <mergeCell ref="N13:Q13"/>
    <mergeCell ref="R13:U13"/>
    <mergeCell ref="V13:AB13"/>
    <mergeCell ref="F14:I14"/>
    <mergeCell ref="J14:M14"/>
    <mergeCell ref="N14:Q14"/>
    <mergeCell ref="R14:U14"/>
    <mergeCell ref="V14:AB14"/>
    <mergeCell ref="F15:I15"/>
    <mergeCell ref="J15:M15"/>
    <mergeCell ref="N15:Q15"/>
    <mergeCell ref="R15:U15"/>
    <mergeCell ref="V15:AB15"/>
    <mergeCell ref="F16:I16"/>
    <mergeCell ref="J16:M16"/>
    <mergeCell ref="N16:Q16"/>
    <mergeCell ref="R16:U16"/>
    <mergeCell ref="V16:AB16"/>
    <mergeCell ref="F17:I17"/>
    <mergeCell ref="J17:M17"/>
    <mergeCell ref="N17:Q17"/>
    <mergeCell ref="R17:U17"/>
    <mergeCell ref="V17:AB17"/>
    <mergeCell ref="F18:I18"/>
    <mergeCell ref="J18:M18"/>
    <mergeCell ref="N18:Q18"/>
    <mergeCell ref="R18:U18"/>
    <mergeCell ref="V18:AB18"/>
    <mergeCell ref="F19:I19"/>
    <mergeCell ref="J19:M19"/>
    <mergeCell ref="N19:Q19"/>
    <mergeCell ref="R19:U19"/>
    <mergeCell ref="V19:AB19"/>
    <mergeCell ref="F20:I20"/>
    <mergeCell ref="J20:M20"/>
    <mergeCell ref="N20:Q20"/>
    <mergeCell ref="R20:U20"/>
    <mergeCell ref="V20:AB20"/>
    <mergeCell ref="F21:I21"/>
    <mergeCell ref="J21:M21"/>
    <mergeCell ref="N21:Q21"/>
    <mergeCell ref="R21:U21"/>
    <mergeCell ref="V21:AB21"/>
    <mergeCell ref="F22:I22"/>
    <mergeCell ref="J22:M22"/>
    <mergeCell ref="N22:Q22"/>
    <mergeCell ref="R22:U22"/>
    <mergeCell ref="V22:AB22"/>
    <mergeCell ref="F23:I23"/>
    <mergeCell ref="J23:M23"/>
    <mergeCell ref="N23:Q23"/>
    <mergeCell ref="R23:U23"/>
    <mergeCell ref="V23:AB23"/>
    <mergeCell ref="F24:I24"/>
    <mergeCell ref="J24:M24"/>
    <mergeCell ref="N24:Q24"/>
    <mergeCell ref="R24:U24"/>
    <mergeCell ref="V24:AB24"/>
    <mergeCell ref="F25:I25"/>
    <mergeCell ref="J25:M25"/>
    <mergeCell ref="N25:Q25"/>
    <mergeCell ref="R25:U25"/>
    <mergeCell ref="V25:AB25"/>
    <mergeCell ref="F26:I26"/>
    <mergeCell ref="J26:M26"/>
    <mergeCell ref="N26:Q26"/>
    <mergeCell ref="R26:U26"/>
    <mergeCell ref="V26:AB26"/>
    <mergeCell ref="F27:I27"/>
    <mergeCell ref="J27:M27"/>
    <mergeCell ref="N27:Q27"/>
    <mergeCell ref="R27:U27"/>
    <mergeCell ref="V27:AB27"/>
    <mergeCell ref="F28:I28"/>
    <mergeCell ref="J28:M28"/>
    <mergeCell ref="N28:Q28"/>
    <mergeCell ref="R28:U28"/>
    <mergeCell ref="V28:AB28"/>
    <mergeCell ref="F29:I29"/>
    <mergeCell ref="J29:M29"/>
    <mergeCell ref="N29:Q29"/>
    <mergeCell ref="R29:U29"/>
    <mergeCell ref="V29:AB29"/>
    <mergeCell ref="F30:I30"/>
    <mergeCell ref="J30:M30"/>
    <mergeCell ref="N30:Q30"/>
    <mergeCell ref="R30:U30"/>
    <mergeCell ref="V30:AB30"/>
    <mergeCell ref="F31:I31"/>
    <mergeCell ref="J31:M31"/>
    <mergeCell ref="N31:Q31"/>
    <mergeCell ref="R31:U31"/>
    <mergeCell ref="V31:AB31"/>
    <mergeCell ref="F32:I32"/>
    <mergeCell ref="J32:M32"/>
    <mergeCell ref="N32:Q32"/>
    <mergeCell ref="R32:U32"/>
    <mergeCell ref="V32:AB32"/>
    <mergeCell ref="F33:I33"/>
    <mergeCell ref="J33:M33"/>
    <mergeCell ref="N33:Q33"/>
    <mergeCell ref="R33:U33"/>
    <mergeCell ref="V33:AB33"/>
    <mergeCell ref="F34:I34"/>
    <mergeCell ref="J34:M34"/>
    <mergeCell ref="N34:Q34"/>
    <mergeCell ref="R34:U34"/>
    <mergeCell ref="V34:AB34"/>
    <mergeCell ref="F35:I35"/>
    <mergeCell ref="J35:M35"/>
    <mergeCell ref="N35:Q35"/>
    <mergeCell ref="R35:U35"/>
    <mergeCell ref="V35:AB35"/>
    <mergeCell ref="F36:I36"/>
    <mergeCell ref="J36:M36"/>
    <mergeCell ref="N36:Q36"/>
    <mergeCell ref="R36:U36"/>
    <mergeCell ref="V36:AB36"/>
    <mergeCell ref="F37:I37"/>
    <mergeCell ref="J37:M37"/>
    <mergeCell ref="N37:Q37"/>
    <mergeCell ref="R37:U37"/>
    <mergeCell ref="V37:AB37"/>
    <mergeCell ref="F38:I38"/>
    <mergeCell ref="J38:M38"/>
    <mergeCell ref="N38:Q38"/>
    <mergeCell ref="R38:U38"/>
    <mergeCell ref="V38:AB38"/>
    <mergeCell ref="F39:I39"/>
    <mergeCell ref="J39:M39"/>
    <mergeCell ref="N39:Q39"/>
    <mergeCell ref="R39:U39"/>
    <mergeCell ref="V39:AB39"/>
    <mergeCell ref="F40:I40"/>
    <mergeCell ref="J40:M40"/>
    <mergeCell ref="N40:Q40"/>
    <mergeCell ref="R40:U40"/>
    <mergeCell ref="V40:AB40"/>
    <mergeCell ref="F41:I41"/>
    <mergeCell ref="J41:M41"/>
    <mergeCell ref="N41:Q41"/>
    <mergeCell ref="R41:U41"/>
    <mergeCell ref="V41:AB41"/>
    <mergeCell ref="F42:I42"/>
    <mergeCell ref="J42:M42"/>
    <mergeCell ref="N42:Q42"/>
    <mergeCell ref="R42:U42"/>
    <mergeCell ref="V42:AB42"/>
    <mergeCell ref="F43:I43"/>
    <mergeCell ref="J43:M43"/>
    <mergeCell ref="N43:Q43"/>
    <mergeCell ref="R43:U43"/>
    <mergeCell ref="V43:AB43"/>
    <mergeCell ref="F44:I44"/>
    <mergeCell ref="J44:M44"/>
    <mergeCell ref="N44:Q44"/>
    <mergeCell ref="R44:U44"/>
    <mergeCell ref="V44:AB44"/>
    <mergeCell ref="F45:I45"/>
    <mergeCell ref="J45:M45"/>
    <mergeCell ref="N45:Q45"/>
    <mergeCell ref="R45:U45"/>
    <mergeCell ref="V45:AB45"/>
    <mergeCell ref="F46:I46"/>
    <mergeCell ref="J46:M46"/>
    <mergeCell ref="N46:Q46"/>
    <mergeCell ref="R46:U46"/>
    <mergeCell ref="V46:AB46"/>
    <mergeCell ref="F47:I47"/>
    <mergeCell ref="J47:M47"/>
    <mergeCell ref="N47:Q47"/>
    <mergeCell ref="R47:U47"/>
    <mergeCell ref="V47:AB47"/>
    <mergeCell ref="F48:I48"/>
    <mergeCell ref="J48:M48"/>
    <mergeCell ref="N48:Q48"/>
    <mergeCell ref="R48:U48"/>
    <mergeCell ref="V48:AB48"/>
    <mergeCell ref="F49:I49"/>
    <mergeCell ref="J49:M49"/>
    <mergeCell ref="N49:Q49"/>
    <mergeCell ref="R49:U49"/>
    <mergeCell ref="V49:AB49"/>
    <mergeCell ref="F50:I50"/>
    <mergeCell ref="J50:M50"/>
    <mergeCell ref="N50:Q50"/>
    <mergeCell ref="R50:U50"/>
    <mergeCell ref="V50:AB50"/>
    <mergeCell ref="B51:E51"/>
    <mergeCell ref="F51:I51"/>
    <mergeCell ref="J51:M51"/>
    <mergeCell ref="N51:Q51"/>
    <mergeCell ref="R51:U51"/>
    <mergeCell ref="V51:AB51"/>
    <mergeCell ref="F52:I52"/>
    <mergeCell ref="J52:M52"/>
    <mergeCell ref="N52:Q52"/>
    <mergeCell ref="R52:U52"/>
    <mergeCell ref="V52:AB52"/>
    <mergeCell ref="F53:I53"/>
    <mergeCell ref="J53:M53"/>
    <mergeCell ref="N53:Q53"/>
    <mergeCell ref="R53:U53"/>
    <mergeCell ref="V53:AB53"/>
    <mergeCell ref="F54:I54"/>
    <mergeCell ref="J54:M54"/>
    <mergeCell ref="N54:Q54"/>
    <mergeCell ref="R54:U54"/>
    <mergeCell ref="V54:AB54"/>
    <mergeCell ref="F55:I55"/>
    <mergeCell ref="J55:M55"/>
    <mergeCell ref="N55:Q55"/>
    <mergeCell ref="R55:U55"/>
    <mergeCell ref="V55:AB55"/>
    <mergeCell ref="F56:I56"/>
    <mergeCell ref="J56:M56"/>
    <mergeCell ref="N56:Q56"/>
    <mergeCell ref="R56:U56"/>
    <mergeCell ref="V56:AB56"/>
    <mergeCell ref="F57:I57"/>
    <mergeCell ref="J57:M57"/>
    <mergeCell ref="N57:Q57"/>
    <mergeCell ref="R57:U57"/>
    <mergeCell ref="V57:AB57"/>
    <mergeCell ref="F58:I58"/>
    <mergeCell ref="J58:M58"/>
    <mergeCell ref="N58:Q58"/>
    <mergeCell ref="R58:U58"/>
    <mergeCell ref="V58:AB58"/>
    <mergeCell ref="F59:I59"/>
    <mergeCell ref="J59:M59"/>
    <mergeCell ref="N59:Q59"/>
    <mergeCell ref="R59:U59"/>
    <mergeCell ref="V59:AB59"/>
    <mergeCell ref="F60:I60"/>
    <mergeCell ref="J60:M60"/>
    <mergeCell ref="N60:Q60"/>
    <mergeCell ref="R60:U60"/>
    <mergeCell ref="V60:AB60"/>
    <mergeCell ref="F61:I61"/>
    <mergeCell ref="J61:M61"/>
    <mergeCell ref="N61:Q61"/>
    <mergeCell ref="R61:U61"/>
    <mergeCell ref="V61:AB61"/>
    <mergeCell ref="F62:I62"/>
    <mergeCell ref="J62:M62"/>
    <mergeCell ref="N62:Q62"/>
    <mergeCell ref="R62:U62"/>
    <mergeCell ref="V62:AB62"/>
    <mergeCell ref="F63:I63"/>
    <mergeCell ref="J63:M63"/>
    <mergeCell ref="N63:Q63"/>
    <mergeCell ref="R63:U63"/>
    <mergeCell ref="V63:AB63"/>
    <mergeCell ref="F64:I64"/>
    <mergeCell ref="J64:M64"/>
    <mergeCell ref="N64:Q64"/>
    <mergeCell ref="R64:U64"/>
    <mergeCell ref="V64:AB64"/>
    <mergeCell ref="F65:I65"/>
    <mergeCell ref="J65:M65"/>
    <mergeCell ref="N65:Q65"/>
    <mergeCell ref="R65:U65"/>
    <mergeCell ref="V65:AB65"/>
    <mergeCell ref="F66:I66"/>
    <mergeCell ref="J66:M66"/>
    <mergeCell ref="N66:Q66"/>
    <mergeCell ref="R66:U66"/>
    <mergeCell ref="V66:AB66"/>
    <mergeCell ref="F67:I67"/>
    <mergeCell ref="J67:M67"/>
    <mergeCell ref="N67:Q67"/>
    <mergeCell ref="R67:U67"/>
    <mergeCell ref="V67:AB67"/>
    <mergeCell ref="F68:I68"/>
    <mergeCell ref="J68:M68"/>
    <mergeCell ref="N68:Q68"/>
    <mergeCell ref="R68:U68"/>
    <mergeCell ref="V68:AB68"/>
    <mergeCell ref="F69:I69"/>
    <mergeCell ref="J69:M69"/>
    <mergeCell ref="N69:Q69"/>
    <mergeCell ref="R69:U69"/>
    <mergeCell ref="V69:AB69"/>
    <mergeCell ref="F70:I70"/>
    <mergeCell ref="J70:M70"/>
    <mergeCell ref="N70:Q70"/>
    <mergeCell ref="R70:U70"/>
    <mergeCell ref="V70:AB70"/>
    <mergeCell ref="F71:I71"/>
    <mergeCell ref="J71:M71"/>
    <mergeCell ref="N71:Q71"/>
    <mergeCell ref="R71:U71"/>
    <mergeCell ref="V71:AB71"/>
    <mergeCell ref="F72:I72"/>
    <mergeCell ref="J72:M72"/>
    <mergeCell ref="N72:Q72"/>
    <mergeCell ref="R72:U72"/>
    <mergeCell ref="V72:AB72"/>
    <mergeCell ref="F73:I73"/>
    <mergeCell ref="J73:M73"/>
    <mergeCell ref="N73:Q73"/>
    <mergeCell ref="R73:U73"/>
    <mergeCell ref="V73:AB73"/>
    <mergeCell ref="F74:I74"/>
    <mergeCell ref="J74:M74"/>
    <mergeCell ref="N74:Q74"/>
    <mergeCell ref="R74:U74"/>
    <mergeCell ref="V74:AB74"/>
    <mergeCell ref="F75:I75"/>
    <mergeCell ref="J75:M75"/>
    <mergeCell ref="N75:Q75"/>
    <mergeCell ref="R75:U75"/>
    <mergeCell ref="V75:AB75"/>
    <mergeCell ref="F76:I76"/>
    <mergeCell ref="J76:M76"/>
    <mergeCell ref="N76:Q76"/>
    <mergeCell ref="R76:U76"/>
    <mergeCell ref="V76:AB76"/>
    <mergeCell ref="F77:I77"/>
    <mergeCell ref="J77:M77"/>
    <mergeCell ref="N77:Q77"/>
    <mergeCell ref="R77:U77"/>
    <mergeCell ref="V77:AB77"/>
    <mergeCell ref="F78:I78"/>
    <mergeCell ref="J78:M78"/>
    <mergeCell ref="N78:Q78"/>
    <mergeCell ref="R78:U78"/>
    <mergeCell ref="V78:AB78"/>
    <mergeCell ref="F79:I79"/>
    <mergeCell ref="J79:M79"/>
    <mergeCell ref="N79:Q79"/>
    <mergeCell ref="R79:U79"/>
    <mergeCell ref="V79:AB79"/>
    <mergeCell ref="F80:I80"/>
    <mergeCell ref="J80:M80"/>
    <mergeCell ref="N80:Q80"/>
    <mergeCell ref="R80:U80"/>
    <mergeCell ref="V80:AB80"/>
    <mergeCell ref="F81:I81"/>
    <mergeCell ref="J81:M81"/>
    <mergeCell ref="N81:Q81"/>
    <mergeCell ref="R81:U81"/>
    <mergeCell ref="V81:AB81"/>
    <mergeCell ref="F82:I82"/>
    <mergeCell ref="J82:M82"/>
    <mergeCell ref="N82:Q82"/>
    <mergeCell ref="R82:U82"/>
    <mergeCell ref="V82:AB82"/>
    <mergeCell ref="F83:I83"/>
    <mergeCell ref="J83:M83"/>
    <mergeCell ref="N83:Q83"/>
    <mergeCell ref="R83:U83"/>
    <mergeCell ref="V83:AB83"/>
    <mergeCell ref="F84:I84"/>
    <mergeCell ref="J84:M84"/>
    <mergeCell ref="N84:Q84"/>
    <mergeCell ref="R84:U84"/>
    <mergeCell ref="V84:AB84"/>
    <mergeCell ref="F85:I85"/>
    <mergeCell ref="J85:M85"/>
    <mergeCell ref="N85:Q85"/>
    <mergeCell ref="R85:U85"/>
    <mergeCell ref="V85:AB85"/>
    <mergeCell ref="F86:I86"/>
    <mergeCell ref="J86:M86"/>
    <mergeCell ref="N86:Q86"/>
    <mergeCell ref="R86:U86"/>
    <mergeCell ref="V86:AB86"/>
    <mergeCell ref="A7:A10"/>
    <mergeCell ref="B7:E10"/>
    <mergeCell ref="A1:AB2"/>
  </mergeCells>
  <dataValidations count="3">
    <dataValidation allowBlank="1" showErrorMessage="1" sqref="A11:AB11 A51:V51 V69:V70 R69:U70 F71:V86 F69:Q70 F12:V50 F52:V68"/>
    <dataValidation allowBlank="1" showInputMessage="1" showErrorMessage="1" prompt="Do not type name of learners here. Go to INPUT DATA sheet." sqref="B12:B50 B52:B86"/>
    <dataValidation allowBlank="1" showErrorMessage="1" prompt="EITHER WRITE YOUR OWN HPS OR EMPTY" sqref="F9:V10"/>
  </dataValidations>
  <pageMargins left="0.2" right="0.2" top="0.25" bottom="0.25" header="0.3" footer="0.3"/>
  <pageSetup paperSize="9" scale="70"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AB88"/>
  <sheetViews>
    <sheetView topLeftCell="A27" workbookViewId="0">
      <selection activeCell="R73" sqref="R73:U73"/>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293" t="s">
        <v>62</v>
      </c>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row>
    <row r="2" spans="1:28">
      <c r="A2" s="293"/>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row>
    <row r="3" ht="27" spans="1:28">
      <c r="A3" s="293"/>
      <c r="B3" s="293"/>
      <c r="C3" s="293"/>
      <c r="D3" s="293"/>
      <c r="E3" s="293"/>
      <c r="F3" s="293"/>
      <c r="G3" s="293"/>
      <c r="H3" s="293"/>
      <c r="I3" s="293"/>
      <c r="J3" s="293"/>
      <c r="K3" s="293"/>
      <c r="L3" s="293"/>
      <c r="M3" s="293"/>
      <c r="N3" s="293"/>
      <c r="O3" s="293"/>
      <c r="P3" s="293"/>
      <c r="Q3" s="293"/>
      <c r="R3" s="293"/>
      <c r="S3" s="293"/>
      <c r="T3" s="293"/>
      <c r="U3" s="293"/>
      <c r="V3" s="293"/>
      <c r="W3" s="293"/>
      <c r="X3" s="293"/>
      <c r="Y3" s="293"/>
      <c r="Z3" s="293"/>
      <c r="AA3" s="293"/>
      <c r="AB3" s="293"/>
    </row>
    <row r="4" spans="1:28">
      <c r="A4" s="294"/>
      <c r="B4" s="294"/>
      <c r="C4" s="294"/>
      <c r="D4" s="294"/>
      <c r="E4" s="294"/>
      <c r="F4" s="294"/>
      <c r="G4" s="294"/>
      <c r="H4" s="294"/>
      <c r="I4" s="294"/>
      <c r="J4" s="294"/>
      <c r="K4" s="294"/>
      <c r="L4" s="294"/>
      <c r="M4" s="294"/>
      <c r="N4" s="294"/>
      <c r="O4" s="294"/>
      <c r="P4" s="294"/>
      <c r="Q4" s="294"/>
      <c r="R4" s="294"/>
      <c r="S4" s="294"/>
      <c r="T4" s="294"/>
      <c r="U4" s="294"/>
      <c r="V4" s="294"/>
      <c r="W4" s="294"/>
      <c r="X4" s="294"/>
      <c r="Y4" s="294"/>
      <c r="Z4" s="294"/>
      <c r="AA4" s="294"/>
      <c r="AB4" s="294"/>
    </row>
    <row r="5" ht="17.4" spans="1:28">
      <c r="A5" s="3"/>
      <c r="B5" s="4"/>
      <c r="C5" s="295" t="s">
        <v>1</v>
      </c>
      <c r="D5" s="295"/>
      <c r="E5" s="295"/>
      <c r="F5" s="296"/>
      <c r="G5" s="297" t="s">
        <v>2</v>
      </c>
      <c r="H5" s="297"/>
      <c r="I5" s="297"/>
      <c r="J5" s="297"/>
      <c r="K5" s="56"/>
      <c r="L5" s="312" t="s">
        <v>3</v>
      </c>
      <c r="M5" s="312"/>
      <c r="N5" s="313"/>
      <c r="O5" s="298" t="s">
        <v>4</v>
      </c>
      <c r="P5" s="299"/>
      <c r="Q5" s="299"/>
      <c r="R5" s="316"/>
      <c r="S5" s="317"/>
      <c r="T5" s="317"/>
      <c r="U5" s="317"/>
      <c r="V5" s="317"/>
      <c r="W5" s="318"/>
      <c r="X5" s="318"/>
      <c r="Y5" s="318"/>
      <c r="Z5" s="318"/>
      <c r="AA5" s="318"/>
      <c r="AB5" s="318"/>
    </row>
    <row r="6" ht="18.15" spans="1:28">
      <c r="A6" s="3"/>
      <c r="B6" s="295" t="s">
        <v>5</v>
      </c>
      <c r="C6" s="295"/>
      <c r="D6" s="295"/>
      <c r="E6" s="295"/>
      <c r="F6" s="295"/>
      <c r="G6" s="298" t="s">
        <v>94</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ARTS!K7</f>
        <v>8 - ARIES</v>
      </c>
      <c r="L7" s="59"/>
      <c r="M7" s="59"/>
      <c r="N7" s="59"/>
      <c r="O7" s="59"/>
      <c r="P7" s="59"/>
      <c r="Q7" s="59"/>
      <c r="R7" s="78"/>
      <c r="S7" s="18" t="s">
        <v>64</v>
      </c>
      <c r="T7" s="19"/>
      <c r="U7" s="19"/>
      <c r="V7" s="19"/>
      <c r="W7" s="59" t="str">
        <f>ARTS!W7</f>
        <v>2025 - 2026</v>
      </c>
      <c r="X7" s="59"/>
      <c r="Y7" s="59"/>
      <c r="Z7" s="59"/>
      <c r="AA7" s="59"/>
      <c r="AB7" s="78"/>
    </row>
    <row r="8" ht="14.55" spans="1:28">
      <c r="A8" s="15"/>
      <c r="B8" s="16"/>
      <c r="C8" s="16"/>
      <c r="D8" s="16"/>
      <c r="E8" s="17"/>
      <c r="F8" s="18" t="s">
        <v>13</v>
      </c>
      <c r="G8" s="19"/>
      <c r="H8" s="19"/>
      <c r="I8" s="19"/>
      <c r="J8" s="19"/>
      <c r="K8" s="60" t="str">
        <f>ARTS!K8</f>
        <v>JUVELYN MATUTIS</v>
      </c>
      <c r="L8" s="60"/>
      <c r="M8" s="60"/>
      <c r="N8" s="60"/>
      <c r="O8" s="60"/>
      <c r="P8" s="60"/>
      <c r="Q8" s="60"/>
      <c r="R8" s="79"/>
      <c r="S8" s="18" t="s">
        <v>15</v>
      </c>
      <c r="T8" s="19"/>
      <c r="U8" s="19"/>
      <c r="V8" s="19"/>
      <c r="W8" s="59" t="s">
        <v>95</v>
      </c>
      <c r="X8" s="59"/>
      <c r="Y8" s="59"/>
      <c r="Z8" s="59"/>
      <c r="AA8" s="59"/>
      <c r="AB8" s="78"/>
    </row>
    <row r="9" ht="15.6" spans="1:28">
      <c r="A9" s="15"/>
      <c r="B9" s="16"/>
      <c r="C9" s="16"/>
      <c r="D9" s="16"/>
      <c r="E9" s="17"/>
      <c r="F9" s="327" t="s">
        <v>95</v>
      </c>
      <c r="G9" s="328"/>
      <c r="H9" s="328"/>
      <c r="I9" s="331"/>
      <c r="J9" s="327" t="s">
        <v>95</v>
      </c>
      <c r="K9" s="328"/>
      <c r="L9" s="328"/>
      <c r="M9" s="331"/>
      <c r="N9" s="327" t="s">
        <v>95</v>
      </c>
      <c r="O9" s="328"/>
      <c r="P9" s="328"/>
      <c r="Q9" s="331"/>
      <c r="R9" s="327" t="s">
        <v>95</v>
      </c>
      <c r="S9" s="328"/>
      <c r="T9" s="328"/>
      <c r="U9" s="331"/>
      <c r="V9" s="20" t="s">
        <v>95</v>
      </c>
      <c r="W9" s="21"/>
      <c r="X9" s="21"/>
      <c r="Y9" s="21"/>
      <c r="Z9" s="21"/>
      <c r="AA9" s="21"/>
      <c r="AB9" s="61"/>
    </row>
    <row r="10" ht="16.35" spans="1:28">
      <c r="A10" s="22"/>
      <c r="B10" s="23"/>
      <c r="C10" s="23"/>
      <c r="D10" s="23"/>
      <c r="E10" s="24"/>
      <c r="F10" s="329" t="s">
        <v>68</v>
      </c>
      <c r="G10" s="330"/>
      <c r="H10" s="330"/>
      <c r="I10" s="332"/>
      <c r="J10" s="25" t="s">
        <v>69</v>
      </c>
      <c r="K10" s="26"/>
      <c r="L10" s="26"/>
      <c r="M10" s="62"/>
      <c r="N10" s="25" t="s">
        <v>70</v>
      </c>
      <c r="O10" s="26"/>
      <c r="P10" s="26"/>
      <c r="Q10" s="62"/>
      <c r="R10" s="25" t="s">
        <v>71</v>
      </c>
      <c r="S10" s="26"/>
      <c r="T10" s="26"/>
      <c r="U10" s="62"/>
      <c r="V10" s="25" t="s">
        <v>92</v>
      </c>
      <c r="W10" s="26"/>
      <c r="X10" s="26"/>
      <c r="Y10" s="26"/>
      <c r="Z10" s="26"/>
      <c r="AA10" s="26"/>
      <c r="AB10" s="6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20"/>
      <c r="W11" s="321"/>
      <c r="X11" s="321"/>
      <c r="Y11" s="321"/>
      <c r="Z11" s="321"/>
      <c r="AA11" s="321"/>
      <c r="AB11" s="325"/>
    </row>
    <row r="12" ht="15" spans="1:28">
      <c r="A12" s="32">
        <v>1</v>
      </c>
      <c r="B12" s="300" t="str">
        <f>'INPUT DATA'!B12:D12</f>
        <v>ANUBLING, REGIE C.</v>
      </c>
      <c r="C12" s="301"/>
      <c r="D12" s="301"/>
      <c r="E12" s="301"/>
      <c r="F12" s="81">
        <v>80</v>
      </c>
      <c r="G12" s="82"/>
      <c r="H12" s="82"/>
      <c r="I12" s="93"/>
      <c r="J12" s="81">
        <v>75</v>
      </c>
      <c r="K12" s="82"/>
      <c r="L12" s="82"/>
      <c r="M12" s="93"/>
      <c r="N12" s="81">
        <v>78</v>
      </c>
      <c r="O12" s="82"/>
      <c r="P12" s="82"/>
      <c r="Q12" s="93"/>
      <c r="R12" s="81">
        <v>90</v>
      </c>
      <c r="S12" s="82"/>
      <c r="T12" s="82"/>
      <c r="U12" s="322"/>
      <c r="V12" s="323">
        <f t="shared" ref="V12:V17" si="0">IF(OR(F12="",J12="",N12="",R12="",),"",IF(ISERROR(ROUND(AVERAGE(F12,J12,N12,R12),0)),"",ROUND(AVERAGE(F12,J12,N12,R12),0)))</f>
        <v>81</v>
      </c>
      <c r="W12" s="83"/>
      <c r="X12" s="83"/>
      <c r="Y12" s="83"/>
      <c r="Z12" s="83"/>
      <c r="AA12" s="83"/>
      <c r="AB12" s="326"/>
    </row>
    <row r="13" ht="15" spans="1:28">
      <c r="A13" s="37">
        <v>2</v>
      </c>
      <c r="B13" s="300" t="str">
        <f>'INPUT DATA'!B13:D13</f>
        <v>BANGCOY, JOHN PAUL P.</v>
      </c>
      <c r="C13" s="302"/>
      <c r="D13" s="302"/>
      <c r="E13" s="302"/>
      <c r="F13" s="81">
        <v>76</v>
      </c>
      <c r="G13" s="82"/>
      <c r="H13" s="82"/>
      <c r="I13" s="93"/>
      <c r="J13" s="81"/>
      <c r="K13" s="82"/>
      <c r="L13" s="82"/>
      <c r="M13" s="93"/>
      <c r="N13" s="81"/>
      <c r="O13" s="82"/>
      <c r="P13" s="82"/>
      <c r="Q13" s="93"/>
      <c r="R13" s="81"/>
      <c r="S13" s="82"/>
      <c r="T13" s="82"/>
      <c r="U13" s="322"/>
      <c r="V13" s="323" t="str">
        <f t="shared" si="0"/>
        <v/>
      </c>
      <c r="W13" s="83"/>
      <c r="X13" s="83"/>
      <c r="Y13" s="83"/>
      <c r="Z13" s="83"/>
      <c r="AA13" s="83"/>
      <c r="AB13" s="326"/>
    </row>
    <row r="14" ht="15" spans="1:28">
      <c r="A14" s="37">
        <v>3</v>
      </c>
      <c r="B14" s="300" t="str">
        <f>'INPUT DATA'!B14:D14</f>
        <v>BARRIENTOS, JOHN PAUL M.</v>
      </c>
      <c r="C14" s="302"/>
      <c r="D14" s="302"/>
      <c r="E14" s="311"/>
      <c r="F14" s="81">
        <v>91</v>
      </c>
      <c r="G14" s="82"/>
      <c r="H14" s="82"/>
      <c r="I14" s="93"/>
      <c r="J14" s="81">
        <v>87</v>
      </c>
      <c r="K14" s="82"/>
      <c r="L14" s="82"/>
      <c r="M14" s="93"/>
      <c r="N14" s="81">
        <v>88</v>
      </c>
      <c r="O14" s="82"/>
      <c r="P14" s="82"/>
      <c r="Q14" s="93"/>
      <c r="R14" s="81">
        <v>95</v>
      </c>
      <c r="S14" s="82"/>
      <c r="T14" s="82"/>
      <c r="U14" s="322"/>
      <c r="V14" s="323">
        <f t="shared" si="0"/>
        <v>90</v>
      </c>
      <c r="W14" s="83"/>
      <c r="X14" s="83"/>
      <c r="Y14" s="83"/>
      <c r="Z14" s="83"/>
      <c r="AA14" s="83"/>
      <c r="AB14" s="326"/>
    </row>
    <row r="15" ht="15" spans="1:28">
      <c r="A15" s="37">
        <v>4</v>
      </c>
      <c r="B15" s="300" t="str">
        <f>'INPUT DATA'!B15:D15</f>
        <v>BRIGOLE, ROMEL</v>
      </c>
      <c r="C15" s="302"/>
      <c r="D15" s="302"/>
      <c r="E15" s="311"/>
      <c r="F15" s="81">
        <v>65</v>
      </c>
      <c r="G15" s="82"/>
      <c r="H15" s="82"/>
      <c r="I15" s="93"/>
      <c r="J15" s="81">
        <v>65</v>
      </c>
      <c r="K15" s="82"/>
      <c r="L15" s="82"/>
      <c r="M15" s="93"/>
      <c r="N15" s="81">
        <v>65</v>
      </c>
      <c r="O15" s="82"/>
      <c r="P15" s="82"/>
      <c r="Q15" s="93"/>
      <c r="R15" s="81">
        <v>70</v>
      </c>
      <c r="S15" s="82"/>
      <c r="T15" s="82"/>
      <c r="U15" s="322"/>
      <c r="V15" s="323">
        <f t="shared" si="0"/>
        <v>66</v>
      </c>
      <c r="W15" s="83"/>
      <c r="X15" s="83"/>
      <c r="Y15" s="83"/>
      <c r="Z15" s="83"/>
      <c r="AA15" s="83"/>
      <c r="AB15" s="326"/>
    </row>
    <row r="16" ht="15" spans="1:28">
      <c r="A16" s="37">
        <v>5</v>
      </c>
      <c r="B16" s="300" t="str">
        <f>'INPUT DATA'!B16:D16</f>
        <v>BULAHAN,ROVIC L.</v>
      </c>
      <c r="C16" s="302"/>
      <c r="D16" s="302"/>
      <c r="E16" s="311"/>
      <c r="F16" s="81">
        <v>89</v>
      </c>
      <c r="G16" s="82"/>
      <c r="H16" s="82"/>
      <c r="I16" s="93"/>
      <c r="J16" s="81">
        <v>87</v>
      </c>
      <c r="K16" s="82"/>
      <c r="L16" s="82"/>
      <c r="M16" s="93"/>
      <c r="N16" s="81">
        <v>88</v>
      </c>
      <c r="O16" s="82"/>
      <c r="P16" s="82"/>
      <c r="Q16" s="93"/>
      <c r="R16" s="81">
        <v>95</v>
      </c>
      <c r="S16" s="82"/>
      <c r="T16" s="82"/>
      <c r="U16" s="322"/>
      <c r="V16" s="323">
        <f t="shared" si="0"/>
        <v>90</v>
      </c>
      <c r="W16" s="83"/>
      <c r="X16" s="83"/>
      <c r="Y16" s="83"/>
      <c r="Z16" s="83"/>
      <c r="AA16" s="83"/>
      <c r="AB16" s="326"/>
    </row>
    <row r="17" ht="15" spans="1:28">
      <c r="A17" s="37">
        <v>6</v>
      </c>
      <c r="B17" s="300" t="str">
        <f>'INPUT DATA'!B17:D17</f>
        <v>CIJAS, ROLIE JR. A.</v>
      </c>
      <c r="C17" s="302"/>
      <c r="D17" s="302"/>
      <c r="E17" s="311"/>
      <c r="F17" s="81">
        <v>90</v>
      </c>
      <c r="G17" s="82"/>
      <c r="H17" s="82"/>
      <c r="I17" s="93"/>
      <c r="J17" s="81">
        <v>89</v>
      </c>
      <c r="K17" s="82"/>
      <c r="L17" s="82"/>
      <c r="M17" s="93"/>
      <c r="N17" s="81">
        <v>90</v>
      </c>
      <c r="O17" s="82"/>
      <c r="P17" s="82"/>
      <c r="Q17" s="93"/>
      <c r="R17" s="81">
        <v>90</v>
      </c>
      <c r="S17" s="82"/>
      <c r="T17" s="82"/>
      <c r="U17" s="322"/>
      <c r="V17" s="323">
        <f t="shared" si="0"/>
        <v>90</v>
      </c>
      <c r="W17" s="83"/>
      <c r="X17" s="83"/>
      <c r="Y17" s="83"/>
      <c r="Z17" s="83"/>
      <c r="AA17" s="83"/>
      <c r="AB17" s="326"/>
    </row>
    <row r="18" ht="15" spans="1:28">
      <c r="A18" s="37">
        <v>7</v>
      </c>
      <c r="B18" s="300" t="str">
        <f>'INPUT DATA'!B18:D18</f>
        <v>GARCIA, DAVE P.</v>
      </c>
      <c r="C18" s="302"/>
      <c r="D18" s="302"/>
      <c r="E18" s="311"/>
      <c r="F18" s="81">
        <v>84</v>
      </c>
      <c r="G18" s="82"/>
      <c r="H18" s="82"/>
      <c r="I18" s="93"/>
      <c r="J18" s="81">
        <v>84</v>
      </c>
      <c r="K18" s="82"/>
      <c r="L18" s="82"/>
      <c r="M18" s="93"/>
      <c r="N18" s="81">
        <v>83</v>
      </c>
      <c r="O18" s="82"/>
      <c r="P18" s="82"/>
      <c r="Q18" s="93"/>
      <c r="R18" s="81">
        <v>90</v>
      </c>
      <c r="S18" s="82"/>
      <c r="T18" s="82"/>
      <c r="U18" s="322"/>
      <c r="V18" s="323">
        <f t="shared" ref="V18:V50" si="1">IF(OR(F18="",J18="",N18="",R18="",),"",IF(ISERROR(ROUND(AVERAGE(F18,J18,N18,R18),0)),"",ROUND(AVERAGE(F18,J18,N18,R18),0)))</f>
        <v>85</v>
      </c>
      <c r="W18" s="83"/>
      <c r="X18" s="83"/>
      <c r="Y18" s="83"/>
      <c r="Z18" s="83"/>
      <c r="AA18" s="83"/>
      <c r="AB18" s="326"/>
    </row>
    <row r="19" ht="15" spans="1:28">
      <c r="A19" s="37">
        <v>8</v>
      </c>
      <c r="B19" s="300" t="str">
        <f>'INPUT DATA'!B19:D19</f>
        <v>GONZALES, JAMES A.</v>
      </c>
      <c r="C19" s="302"/>
      <c r="D19" s="302">
        <v>0</v>
      </c>
      <c r="E19" s="311"/>
      <c r="F19" s="81">
        <v>82</v>
      </c>
      <c r="G19" s="82"/>
      <c r="H19" s="82"/>
      <c r="I19" s="93"/>
      <c r="J19" s="81">
        <v>85</v>
      </c>
      <c r="K19" s="82"/>
      <c r="L19" s="82"/>
      <c r="M19" s="93"/>
      <c r="N19" s="81">
        <v>85</v>
      </c>
      <c r="O19" s="82"/>
      <c r="P19" s="82"/>
      <c r="Q19" s="93"/>
      <c r="R19" s="81">
        <v>90</v>
      </c>
      <c r="S19" s="82"/>
      <c r="T19" s="82"/>
      <c r="U19" s="322"/>
      <c r="V19" s="323">
        <f t="shared" si="1"/>
        <v>86</v>
      </c>
      <c r="W19" s="83"/>
      <c r="X19" s="83"/>
      <c r="Y19" s="83"/>
      <c r="Z19" s="83"/>
      <c r="AA19" s="83"/>
      <c r="AB19" s="326"/>
    </row>
    <row r="20" ht="15" spans="1:28">
      <c r="A20" s="37">
        <v>9</v>
      </c>
      <c r="B20" s="300" t="str">
        <f>'INPUT DATA'!B20:D20</f>
        <v>LAGUNA, J.B. B.</v>
      </c>
      <c r="C20" s="302"/>
      <c r="D20" s="302"/>
      <c r="E20" s="311"/>
      <c r="F20" s="81">
        <v>90</v>
      </c>
      <c r="G20" s="82"/>
      <c r="H20" s="82"/>
      <c r="I20" s="93"/>
      <c r="J20" s="81">
        <v>87</v>
      </c>
      <c r="K20" s="82"/>
      <c r="L20" s="82"/>
      <c r="M20" s="93"/>
      <c r="N20" s="81">
        <v>85</v>
      </c>
      <c r="O20" s="82"/>
      <c r="P20" s="82"/>
      <c r="Q20" s="93"/>
      <c r="R20" s="81">
        <v>95</v>
      </c>
      <c r="S20" s="82"/>
      <c r="T20" s="82"/>
      <c r="U20" s="322"/>
      <c r="V20" s="323">
        <f t="shared" si="1"/>
        <v>89</v>
      </c>
      <c r="W20" s="83"/>
      <c r="X20" s="83"/>
      <c r="Y20" s="83"/>
      <c r="Z20" s="83"/>
      <c r="AA20" s="83"/>
      <c r="AB20" s="326"/>
    </row>
    <row r="21" ht="15" spans="1:28">
      <c r="A21" s="37">
        <v>10</v>
      </c>
      <c r="B21" s="300" t="str">
        <f>'INPUT DATA'!B21:D21</f>
        <v>LARODA, STEVEN S.</v>
      </c>
      <c r="C21" s="302"/>
      <c r="D21" s="302"/>
      <c r="E21" s="311"/>
      <c r="F21" s="81">
        <v>86</v>
      </c>
      <c r="G21" s="82"/>
      <c r="H21" s="82"/>
      <c r="I21" s="93"/>
      <c r="J21" s="81">
        <v>84</v>
      </c>
      <c r="K21" s="82"/>
      <c r="L21" s="82"/>
      <c r="M21" s="93"/>
      <c r="N21" s="81">
        <v>80</v>
      </c>
      <c r="O21" s="82"/>
      <c r="P21" s="82"/>
      <c r="Q21" s="93"/>
      <c r="R21" s="81">
        <v>90</v>
      </c>
      <c r="S21" s="82"/>
      <c r="T21" s="82"/>
      <c r="U21" s="322"/>
      <c r="V21" s="323">
        <f t="shared" si="1"/>
        <v>85</v>
      </c>
      <c r="W21" s="83"/>
      <c r="X21" s="83"/>
      <c r="Y21" s="83"/>
      <c r="Z21" s="83"/>
      <c r="AA21" s="83"/>
      <c r="AB21" s="326"/>
    </row>
    <row r="22" ht="15" spans="1:28">
      <c r="A22" s="37">
        <v>11</v>
      </c>
      <c r="B22" s="300" t="str">
        <f>'INPUT DATA'!B22:D22</f>
        <v>MERINO, SEDRIK R.</v>
      </c>
      <c r="C22" s="302"/>
      <c r="D22" s="302">
        <v>0</v>
      </c>
      <c r="E22" s="311"/>
      <c r="F22" s="81">
        <v>85</v>
      </c>
      <c r="G22" s="82"/>
      <c r="H22" s="82"/>
      <c r="I22" s="93"/>
      <c r="J22" s="81">
        <v>72</v>
      </c>
      <c r="K22" s="82"/>
      <c r="L22" s="82"/>
      <c r="M22" s="93"/>
      <c r="N22" s="81">
        <v>70</v>
      </c>
      <c r="O22" s="82"/>
      <c r="P22" s="82"/>
      <c r="Q22" s="93"/>
      <c r="R22" s="81">
        <v>70</v>
      </c>
      <c r="S22" s="82"/>
      <c r="T22" s="82"/>
      <c r="U22" s="322"/>
      <c r="V22" s="323">
        <f t="shared" si="1"/>
        <v>74</v>
      </c>
      <c r="W22" s="83"/>
      <c r="X22" s="83"/>
      <c r="Y22" s="83"/>
      <c r="Z22" s="83"/>
      <c r="AA22" s="83"/>
      <c r="AB22" s="326"/>
    </row>
    <row r="23" ht="15" spans="1:28">
      <c r="A23" s="37">
        <v>12</v>
      </c>
      <c r="B23" s="300" t="str">
        <f>'INPUT DATA'!B23:D23</f>
        <v>MONTERAS, VINCENT S.</v>
      </c>
      <c r="C23" s="302"/>
      <c r="D23" s="302"/>
      <c r="E23" s="311"/>
      <c r="F23" s="81">
        <v>89</v>
      </c>
      <c r="G23" s="82"/>
      <c r="H23" s="82"/>
      <c r="I23" s="93"/>
      <c r="J23" s="81">
        <v>80</v>
      </c>
      <c r="K23" s="82"/>
      <c r="L23" s="82"/>
      <c r="M23" s="93"/>
      <c r="N23" s="81">
        <v>80</v>
      </c>
      <c r="O23" s="82"/>
      <c r="P23" s="82"/>
      <c r="Q23" s="93"/>
      <c r="R23" s="81">
        <v>78</v>
      </c>
      <c r="S23" s="82"/>
      <c r="T23" s="82"/>
      <c r="U23" s="322"/>
      <c r="V23" s="323">
        <f t="shared" si="1"/>
        <v>82</v>
      </c>
      <c r="W23" s="83"/>
      <c r="X23" s="83"/>
      <c r="Y23" s="83"/>
      <c r="Z23" s="83"/>
      <c r="AA23" s="83"/>
      <c r="AB23" s="326"/>
    </row>
    <row r="24" ht="15" spans="1:28">
      <c r="A24" s="37">
        <v>13</v>
      </c>
      <c r="B24" s="300" t="str">
        <f>'INPUT DATA'!B24:D24</f>
        <v>NACAWILI, ANDRIE L.</v>
      </c>
      <c r="C24" s="302"/>
      <c r="D24" s="302"/>
      <c r="E24" s="311"/>
      <c r="F24" s="81">
        <v>86</v>
      </c>
      <c r="G24" s="82"/>
      <c r="H24" s="82"/>
      <c r="I24" s="93"/>
      <c r="J24" s="81">
        <v>87</v>
      </c>
      <c r="K24" s="82"/>
      <c r="L24" s="82"/>
      <c r="M24" s="93"/>
      <c r="N24" s="81">
        <v>87</v>
      </c>
      <c r="O24" s="82"/>
      <c r="P24" s="82"/>
      <c r="Q24" s="93"/>
      <c r="R24" s="81">
        <v>90</v>
      </c>
      <c r="S24" s="82"/>
      <c r="T24" s="82"/>
      <c r="U24" s="322"/>
      <c r="V24" s="323">
        <f t="shared" si="1"/>
        <v>88</v>
      </c>
      <c r="W24" s="83"/>
      <c r="X24" s="83"/>
      <c r="Y24" s="83"/>
      <c r="Z24" s="83"/>
      <c r="AA24" s="83"/>
      <c r="AB24" s="326"/>
    </row>
    <row r="25" ht="15" spans="1:28">
      <c r="A25" s="37">
        <v>14</v>
      </c>
      <c r="B25" s="300" t="str">
        <f>'INPUT DATA'!B25:D25</f>
        <v>OLIVERIO, CYREL JAY G.</v>
      </c>
      <c r="C25" s="302"/>
      <c r="D25" s="302"/>
      <c r="E25" s="311"/>
      <c r="F25" s="81">
        <v>79</v>
      </c>
      <c r="G25" s="82"/>
      <c r="H25" s="82"/>
      <c r="I25" s="93"/>
      <c r="J25" s="81">
        <v>73</v>
      </c>
      <c r="K25" s="82"/>
      <c r="L25" s="82"/>
      <c r="M25" s="93"/>
      <c r="N25" s="81">
        <v>77</v>
      </c>
      <c r="O25" s="82"/>
      <c r="P25" s="82"/>
      <c r="Q25" s="93"/>
      <c r="R25" s="81">
        <v>70</v>
      </c>
      <c r="S25" s="82"/>
      <c r="T25" s="82"/>
      <c r="U25" s="322"/>
      <c r="V25" s="323">
        <f t="shared" si="1"/>
        <v>75</v>
      </c>
      <c r="W25" s="83"/>
      <c r="X25" s="83"/>
      <c r="Y25" s="83"/>
      <c r="Z25" s="83"/>
      <c r="AA25" s="83"/>
      <c r="AB25" s="326"/>
    </row>
    <row r="26" ht="15" spans="1:28">
      <c r="A26" s="37">
        <v>15</v>
      </c>
      <c r="B26" s="300" t="str">
        <f>'INPUT DATA'!B26:D26</f>
        <v>ORBITA,BRENN JOHN A.</v>
      </c>
      <c r="C26" s="302"/>
      <c r="D26" s="302"/>
      <c r="E26" s="311"/>
      <c r="F26" s="81">
        <v>85</v>
      </c>
      <c r="G26" s="82"/>
      <c r="H26" s="82"/>
      <c r="I26" s="93"/>
      <c r="J26" s="81">
        <v>85</v>
      </c>
      <c r="K26" s="82"/>
      <c r="L26" s="82"/>
      <c r="M26" s="93"/>
      <c r="N26" s="81">
        <v>85</v>
      </c>
      <c r="O26" s="82"/>
      <c r="P26" s="82"/>
      <c r="Q26" s="93"/>
      <c r="R26" s="81">
        <v>90</v>
      </c>
      <c r="S26" s="82"/>
      <c r="T26" s="82"/>
      <c r="U26" s="322"/>
      <c r="V26" s="323">
        <f t="shared" si="1"/>
        <v>86</v>
      </c>
      <c r="W26" s="83"/>
      <c r="X26" s="83"/>
      <c r="Y26" s="83"/>
      <c r="Z26" s="83"/>
      <c r="AA26" s="83"/>
      <c r="AB26" s="326"/>
    </row>
    <row r="27" ht="15" spans="1:28">
      <c r="A27" s="37">
        <v>16</v>
      </c>
      <c r="B27" s="300" t="str">
        <f>'INPUT DATA'!B27:D27</f>
        <v>PAINLO,SHERWIN V.</v>
      </c>
      <c r="C27" s="302"/>
      <c r="D27" s="302"/>
      <c r="E27" s="311"/>
      <c r="F27" s="81">
        <v>93</v>
      </c>
      <c r="G27" s="82"/>
      <c r="H27" s="82"/>
      <c r="I27" s="93"/>
      <c r="J27" s="81">
        <v>89</v>
      </c>
      <c r="K27" s="82"/>
      <c r="L27" s="82"/>
      <c r="M27" s="93"/>
      <c r="N27" s="81">
        <v>90</v>
      </c>
      <c r="O27" s="82"/>
      <c r="P27" s="82"/>
      <c r="Q27" s="93"/>
      <c r="R27" s="81">
        <v>95</v>
      </c>
      <c r="S27" s="82"/>
      <c r="T27" s="82"/>
      <c r="U27" s="322"/>
      <c r="V27" s="323">
        <f t="shared" si="1"/>
        <v>92</v>
      </c>
      <c r="W27" s="83"/>
      <c r="X27" s="83"/>
      <c r="Y27" s="83"/>
      <c r="Z27" s="83"/>
      <c r="AA27" s="83"/>
      <c r="AB27" s="326"/>
    </row>
    <row r="28" ht="15" spans="1:28">
      <c r="A28" s="37">
        <v>17</v>
      </c>
      <c r="B28" s="300" t="str">
        <f>'INPUT DATA'!B28:D28</f>
        <v>RAMIREZ, MATTEO JOHN DAVE D.</v>
      </c>
      <c r="C28" s="302"/>
      <c r="D28" s="302"/>
      <c r="E28" s="311"/>
      <c r="F28" s="81">
        <v>60</v>
      </c>
      <c r="G28" s="82"/>
      <c r="H28" s="82"/>
      <c r="I28" s="93"/>
      <c r="J28" s="81"/>
      <c r="K28" s="82"/>
      <c r="L28" s="82"/>
      <c r="M28" s="93"/>
      <c r="N28" s="81"/>
      <c r="O28" s="82"/>
      <c r="P28" s="82"/>
      <c r="Q28" s="93"/>
      <c r="R28" s="81"/>
      <c r="S28" s="82"/>
      <c r="T28" s="82"/>
      <c r="U28" s="322"/>
      <c r="V28" s="323" t="str">
        <f t="shared" si="1"/>
        <v/>
      </c>
      <c r="W28" s="83"/>
      <c r="X28" s="83"/>
      <c r="Y28" s="83"/>
      <c r="Z28" s="83"/>
      <c r="AA28" s="83"/>
      <c r="AB28" s="326"/>
    </row>
    <row r="29" ht="15" spans="1:28">
      <c r="A29" s="37">
        <v>18</v>
      </c>
      <c r="B29" s="300" t="str">
        <f>'INPUT DATA'!B29:D29</f>
        <v>SIGUIRA, JASTINE B.</v>
      </c>
      <c r="C29" s="302"/>
      <c r="D29" s="302"/>
      <c r="E29" s="311"/>
      <c r="F29" s="81">
        <v>74</v>
      </c>
      <c r="G29" s="82"/>
      <c r="H29" s="82"/>
      <c r="I29" s="93"/>
      <c r="J29" s="81"/>
      <c r="K29" s="82"/>
      <c r="L29" s="82"/>
      <c r="M29" s="93"/>
      <c r="N29" s="81"/>
      <c r="O29" s="82"/>
      <c r="P29" s="82"/>
      <c r="Q29" s="93"/>
      <c r="R29" s="81"/>
      <c r="S29" s="82"/>
      <c r="T29" s="82"/>
      <c r="U29" s="322"/>
      <c r="V29" s="323" t="str">
        <f t="shared" si="1"/>
        <v/>
      </c>
      <c r="W29" s="83"/>
      <c r="X29" s="83"/>
      <c r="Y29" s="83"/>
      <c r="Z29" s="83"/>
      <c r="AA29" s="83"/>
      <c r="AB29" s="326"/>
    </row>
    <row r="30" ht="15" spans="1:28">
      <c r="A30" s="37">
        <v>19</v>
      </c>
      <c r="B30" s="300" t="str">
        <f>'INPUT DATA'!B30:D30</f>
        <v>TAA, JHONVINZ Y.</v>
      </c>
      <c r="C30" s="302"/>
      <c r="D30" s="302"/>
      <c r="E30" s="311"/>
      <c r="F30" s="81">
        <v>84</v>
      </c>
      <c r="G30" s="82"/>
      <c r="H30" s="82"/>
      <c r="I30" s="93"/>
      <c r="J30" s="81">
        <v>77</v>
      </c>
      <c r="K30" s="82"/>
      <c r="L30" s="82"/>
      <c r="M30" s="93"/>
      <c r="N30" s="81">
        <v>79</v>
      </c>
      <c r="O30" s="82"/>
      <c r="P30" s="82"/>
      <c r="Q30" s="93"/>
      <c r="R30" s="81">
        <v>80</v>
      </c>
      <c r="S30" s="82"/>
      <c r="T30" s="82"/>
      <c r="U30" s="322"/>
      <c r="V30" s="323">
        <f t="shared" si="1"/>
        <v>80</v>
      </c>
      <c r="W30" s="83"/>
      <c r="X30" s="83"/>
      <c r="Y30" s="83"/>
      <c r="Z30" s="83"/>
      <c r="AA30" s="83"/>
      <c r="AB30" s="326"/>
    </row>
    <row r="31" ht="15" spans="1:28">
      <c r="A31" s="37">
        <v>20</v>
      </c>
      <c r="B31" s="300" t="str">
        <f>'INPUT DATA'!B31:D31</f>
        <v>ZOILO, JOHN LORENCE M.</v>
      </c>
      <c r="C31" s="302"/>
      <c r="D31" s="302"/>
      <c r="E31" s="311"/>
      <c r="F31" s="81">
        <v>82</v>
      </c>
      <c r="G31" s="82"/>
      <c r="H31" s="82"/>
      <c r="I31" s="93"/>
      <c r="J31" s="81">
        <v>85</v>
      </c>
      <c r="K31" s="82"/>
      <c r="L31" s="82"/>
      <c r="M31" s="93"/>
      <c r="N31" s="81">
        <v>86</v>
      </c>
      <c r="O31" s="82"/>
      <c r="P31" s="82"/>
      <c r="Q31" s="93"/>
      <c r="R31" s="81">
        <v>90</v>
      </c>
      <c r="S31" s="82"/>
      <c r="T31" s="82"/>
      <c r="U31" s="322"/>
      <c r="V31" s="323">
        <f t="shared" si="1"/>
        <v>86</v>
      </c>
      <c r="W31" s="83"/>
      <c r="X31" s="83"/>
      <c r="Y31" s="83"/>
      <c r="Z31" s="83"/>
      <c r="AA31" s="83"/>
      <c r="AB31" s="326"/>
    </row>
    <row r="32" ht="15.75" spans="1:28">
      <c r="A32" s="37">
        <v>21</v>
      </c>
      <c r="B32" s="286" t="s">
        <v>73</v>
      </c>
      <c r="C32" s="289"/>
      <c r="D32" s="302"/>
      <c r="E32" s="311"/>
      <c r="F32" s="81">
        <v>75</v>
      </c>
      <c r="G32" s="82"/>
      <c r="H32" s="82"/>
      <c r="I32" s="93"/>
      <c r="J32" s="81">
        <v>75</v>
      </c>
      <c r="K32" s="82"/>
      <c r="L32" s="82"/>
      <c r="M32" s="93"/>
      <c r="N32" s="81">
        <v>75</v>
      </c>
      <c r="O32" s="82"/>
      <c r="P32" s="82"/>
      <c r="Q32" s="93"/>
      <c r="R32" s="81">
        <v>90</v>
      </c>
      <c r="S32" s="82"/>
      <c r="T32" s="82"/>
      <c r="U32" s="322"/>
      <c r="V32" s="323">
        <f t="shared" si="1"/>
        <v>79</v>
      </c>
      <c r="W32" s="83"/>
      <c r="X32" s="83"/>
      <c r="Y32" s="83"/>
      <c r="Z32" s="83"/>
      <c r="AA32" s="83"/>
      <c r="AB32" s="326"/>
    </row>
    <row r="33" ht="15" hidden="1" spans="1:28">
      <c r="A33" s="37">
        <v>22</v>
      </c>
      <c r="B33" s="300">
        <f>'INPUT DATA'!B33:D33</f>
        <v>0</v>
      </c>
      <c r="C33" s="302"/>
      <c r="D33" s="302"/>
      <c r="E33" s="311"/>
      <c r="F33" s="81"/>
      <c r="G33" s="82"/>
      <c r="H33" s="82"/>
      <c r="I33" s="93"/>
      <c r="J33" s="81"/>
      <c r="K33" s="82"/>
      <c r="L33" s="82"/>
      <c r="M33" s="93"/>
      <c r="N33" s="81"/>
      <c r="O33" s="82"/>
      <c r="P33" s="82"/>
      <c r="Q33" s="93"/>
      <c r="R33" s="81"/>
      <c r="S33" s="82"/>
      <c r="T33" s="82"/>
      <c r="U33" s="322"/>
      <c r="V33" s="323" t="str">
        <f t="shared" si="1"/>
        <v/>
      </c>
      <c r="W33" s="83"/>
      <c r="X33" s="83"/>
      <c r="Y33" s="83"/>
      <c r="Z33" s="83"/>
      <c r="AA33" s="83"/>
      <c r="AB33" s="326"/>
    </row>
    <row r="34" ht="15" hidden="1" spans="1:28">
      <c r="A34" s="37">
        <v>23</v>
      </c>
      <c r="B34" s="300">
        <f>'INPUT DATA'!B34:D34</f>
        <v>0</v>
      </c>
      <c r="C34" s="302"/>
      <c r="D34" s="302"/>
      <c r="E34" s="311"/>
      <c r="F34" s="81"/>
      <c r="G34" s="82"/>
      <c r="H34" s="82"/>
      <c r="I34" s="93"/>
      <c r="J34" s="81"/>
      <c r="K34" s="82"/>
      <c r="L34" s="82"/>
      <c r="M34" s="93"/>
      <c r="N34" s="81"/>
      <c r="O34" s="82"/>
      <c r="P34" s="82"/>
      <c r="Q34" s="93"/>
      <c r="R34" s="81"/>
      <c r="S34" s="82"/>
      <c r="T34" s="82"/>
      <c r="U34" s="322"/>
      <c r="V34" s="323" t="str">
        <f t="shared" si="1"/>
        <v/>
      </c>
      <c r="W34" s="83"/>
      <c r="X34" s="83"/>
      <c r="Y34" s="83"/>
      <c r="Z34" s="83"/>
      <c r="AA34" s="83"/>
      <c r="AB34" s="326"/>
    </row>
    <row r="35" ht="15" hidden="1" spans="1:28">
      <c r="A35" s="37">
        <v>24</v>
      </c>
      <c r="B35" s="300">
        <f>'INPUT DATA'!B35:D35</f>
        <v>0</v>
      </c>
      <c r="C35" s="302"/>
      <c r="D35" s="302"/>
      <c r="E35" s="311"/>
      <c r="F35" s="81"/>
      <c r="G35" s="82"/>
      <c r="H35" s="82"/>
      <c r="I35" s="93"/>
      <c r="J35" s="81"/>
      <c r="K35" s="82"/>
      <c r="L35" s="82"/>
      <c r="M35" s="93"/>
      <c r="N35" s="81"/>
      <c r="O35" s="82"/>
      <c r="P35" s="82"/>
      <c r="Q35" s="93"/>
      <c r="R35" s="81"/>
      <c r="S35" s="82"/>
      <c r="T35" s="82"/>
      <c r="U35" s="322"/>
      <c r="V35" s="323" t="str">
        <f t="shared" si="1"/>
        <v/>
      </c>
      <c r="W35" s="83"/>
      <c r="X35" s="83"/>
      <c r="Y35" s="83"/>
      <c r="Z35" s="83"/>
      <c r="AA35" s="83"/>
      <c r="AB35" s="326"/>
    </row>
    <row r="36" ht="15" hidden="1" spans="1:28">
      <c r="A36" s="37">
        <v>25</v>
      </c>
      <c r="B36" s="300">
        <f>'INPUT DATA'!B36:D36</f>
        <v>0</v>
      </c>
      <c r="C36" s="303"/>
      <c r="D36" s="303"/>
      <c r="E36" s="303"/>
      <c r="F36" s="81"/>
      <c r="G36" s="82"/>
      <c r="H36" s="82"/>
      <c r="I36" s="93"/>
      <c r="J36" s="81"/>
      <c r="K36" s="82"/>
      <c r="L36" s="82"/>
      <c r="M36" s="93"/>
      <c r="N36" s="81"/>
      <c r="O36" s="82"/>
      <c r="P36" s="82"/>
      <c r="Q36" s="93"/>
      <c r="R36" s="81"/>
      <c r="S36" s="82"/>
      <c r="T36" s="82"/>
      <c r="U36" s="93"/>
      <c r="V36" s="323" t="str">
        <f t="shared" si="1"/>
        <v/>
      </c>
      <c r="W36" s="83"/>
      <c r="X36" s="83"/>
      <c r="Y36" s="83"/>
      <c r="Z36" s="83"/>
      <c r="AA36" s="83"/>
      <c r="AB36" s="326"/>
    </row>
    <row r="37" ht="15" hidden="1" spans="1:28">
      <c r="A37" s="42">
        <v>26</v>
      </c>
      <c r="B37" s="300">
        <f>'INPUT DATA'!B37:D37</f>
        <v>0</v>
      </c>
      <c r="C37" s="303"/>
      <c r="D37" s="303"/>
      <c r="E37" s="303"/>
      <c r="F37" s="81"/>
      <c r="G37" s="82"/>
      <c r="H37" s="82"/>
      <c r="I37" s="93"/>
      <c r="J37" s="81"/>
      <c r="K37" s="82"/>
      <c r="L37" s="82"/>
      <c r="M37" s="93"/>
      <c r="N37" s="81"/>
      <c r="O37" s="82"/>
      <c r="P37" s="82"/>
      <c r="Q37" s="93"/>
      <c r="R37" s="81"/>
      <c r="S37" s="82"/>
      <c r="T37" s="82"/>
      <c r="U37" s="322"/>
      <c r="V37" s="323" t="str">
        <f t="shared" si="1"/>
        <v/>
      </c>
      <c r="W37" s="83"/>
      <c r="X37" s="83"/>
      <c r="Y37" s="83"/>
      <c r="Z37" s="83"/>
      <c r="AA37" s="83"/>
      <c r="AB37" s="326"/>
    </row>
    <row r="38" ht="15" hidden="1" spans="1:28">
      <c r="A38" s="42">
        <v>27</v>
      </c>
      <c r="B38" s="300">
        <f>'INPUT DATA'!B38:D38</f>
        <v>0</v>
      </c>
      <c r="C38" s="303"/>
      <c r="D38" s="303"/>
      <c r="E38" s="303"/>
      <c r="F38" s="81"/>
      <c r="G38" s="82"/>
      <c r="H38" s="82"/>
      <c r="I38" s="93"/>
      <c r="J38" s="81"/>
      <c r="K38" s="82"/>
      <c r="L38" s="82"/>
      <c r="M38" s="93"/>
      <c r="N38" s="81"/>
      <c r="O38" s="82"/>
      <c r="P38" s="82"/>
      <c r="Q38" s="93"/>
      <c r="R38" s="81"/>
      <c r="S38" s="82"/>
      <c r="T38" s="82"/>
      <c r="U38" s="322"/>
      <c r="V38" s="323" t="str">
        <f t="shared" si="1"/>
        <v/>
      </c>
      <c r="W38" s="83"/>
      <c r="X38" s="83"/>
      <c r="Y38" s="83"/>
      <c r="Z38" s="83"/>
      <c r="AA38" s="83"/>
      <c r="AB38" s="326"/>
    </row>
    <row r="39" ht="15" hidden="1" spans="1:28">
      <c r="A39" s="42">
        <v>28</v>
      </c>
      <c r="B39" s="300">
        <f>'INPUT DATA'!B39:D39</f>
        <v>0</v>
      </c>
      <c r="C39" s="303"/>
      <c r="D39" s="303"/>
      <c r="E39" s="303"/>
      <c r="F39" s="81"/>
      <c r="G39" s="82"/>
      <c r="H39" s="82"/>
      <c r="I39" s="93"/>
      <c r="J39" s="81"/>
      <c r="K39" s="82"/>
      <c r="L39" s="82"/>
      <c r="M39" s="93"/>
      <c r="N39" s="81"/>
      <c r="O39" s="82"/>
      <c r="P39" s="82"/>
      <c r="Q39" s="93"/>
      <c r="R39" s="81"/>
      <c r="S39" s="82"/>
      <c r="T39" s="82"/>
      <c r="U39" s="322"/>
      <c r="V39" s="323" t="str">
        <f t="shared" si="1"/>
        <v/>
      </c>
      <c r="W39" s="83"/>
      <c r="X39" s="83"/>
      <c r="Y39" s="83"/>
      <c r="Z39" s="83"/>
      <c r="AA39" s="83"/>
      <c r="AB39" s="326"/>
    </row>
    <row r="40" ht="15" hidden="1" spans="1:28">
      <c r="A40" s="42">
        <v>29</v>
      </c>
      <c r="B40" s="300">
        <f>'INPUT DATA'!B40:D40</f>
        <v>0</v>
      </c>
      <c r="C40" s="303"/>
      <c r="D40" s="303"/>
      <c r="E40" s="303"/>
      <c r="F40" s="81"/>
      <c r="G40" s="82"/>
      <c r="H40" s="82"/>
      <c r="I40" s="93"/>
      <c r="J40" s="81"/>
      <c r="K40" s="82"/>
      <c r="L40" s="82"/>
      <c r="M40" s="93"/>
      <c r="N40" s="81"/>
      <c r="O40" s="82"/>
      <c r="P40" s="82"/>
      <c r="Q40" s="93"/>
      <c r="R40" s="81"/>
      <c r="S40" s="82"/>
      <c r="T40" s="82"/>
      <c r="U40" s="322"/>
      <c r="V40" s="323" t="str">
        <f t="shared" si="1"/>
        <v/>
      </c>
      <c r="W40" s="83"/>
      <c r="X40" s="83"/>
      <c r="Y40" s="83"/>
      <c r="Z40" s="83"/>
      <c r="AA40" s="83"/>
      <c r="AB40" s="326"/>
    </row>
    <row r="41" ht="15" hidden="1" spans="1:28">
      <c r="A41" s="42">
        <v>30</v>
      </c>
      <c r="B41" s="300">
        <f>'INPUT DATA'!B41:D41</f>
        <v>0</v>
      </c>
      <c r="C41" s="303"/>
      <c r="D41" s="303"/>
      <c r="E41" s="303"/>
      <c r="F41" s="81"/>
      <c r="G41" s="82"/>
      <c r="H41" s="82"/>
      <c r="I41" s="93"/>
      <c r="J41" s="81"/>
      <c r="K41" s="82"/>
      <c r="L41" s="82"/>
      <c r="M41" s="93"/>
      <c r="N41" s="81"/>
      <c r="O41" s="82"/>
      <c r="P41" s="82"/>
      <c r="Q41" s="93"/>
      <c r="R41" s="81"/>
      <c r="S41" s="82"/>
      <c r="T41" s="82"/>
      <c r="U41" s="322"/>
      <c r="V41" s="323" t="str">
        <f t="shared" si="1"/>
        <v/>
      </c>
      <c r="W41" s="83"/>
      <c r="X41" s="83"/>
      <c r="Y41" s="83"/>
      <c r="Z41" s="83"/>
      <c r="AA41" s="83"/>
      <c r="AB41" s="326"/>
    </row>
    <row r="42" ht="15" hidden="1" spans="1:28">
      <c r="A42" s="42">
        <v>31</v>
      </c>
      <c r="B42" s="300">
        <f>'INPUT DATA'!B42:D42</f>
        <v>0</v>
      </c>
      <c r="C42" s="303"/>
      <c r="D42" s="303"/>
      <c r="E42" s="303"/>
      <c r="F42" s="81"/>
      <c r="G42" s="82"/>
      <c r="H42" s="82"/>
      <c r="I42" s="93"/>
      <c r="J42" s="81"/>
      <c r="K42" s="82"/>
      <c r="L42" s="82"/>
      <c r="M42" s="93"/>
      <c r="N42" s="81"/>
      <c r="O42" s="82"/>
      <c r="P42" s="82"/>
      <c r="Q42" s="93"/>
      <c r="R42" s="81"/>
      <c r="S42" s="82"/>
      <c r="T42" s="82"/>
      <c r="U42" s="322"/>
      <c r="V42" s="323" t="str">
        <f t="shared" si="1"/>
        <v/>
      </c>
      <c r="W42" s="83"/>
      <c r="X42" s="83"/>
      <c r="Y42" s="83"/>
      <c r="Z42" s="83"/>
      <c r="AA42" s="83"/>
      <c r="AB42" s="326"/>
    </row>
    <row r="43" ht="15" hidden="1" spans="1:28">
      <c r="A43" s="42">
        <v>32</v>
      </c>
      <c r="B43" s="300">
        <f>'INPUT DATA'!B43:D43</f>
        <v>0</v>
      </c>
      <c r="C43" s="303"/>
      <c r="D43" s="303"/>
      <c r="E43" s="303"/>
      <c r="F43" s="81"/>
      <c r="G43" s="82"/>
      <c r="H43" s="82"/>
      <c r="I43" s="93"/>
      <c r="J43" s="81"/>
      <c r="K43" s="82"/>
      <c r="L43" s="82"/>
      <c r="M43" s="93"/>
      <c r="N43" s="81"/>
      <c r="O43" s="82"/>
      <c r="P43" s="82"/>
      <c r="Q43" s="93"/>
      <c r="R43" s="81"/>
      <c r="S43" s="82"/>
      <c r="T43" s="82"/>
      <c r="U43" s="322"/>
      <c r="V43" s="323" t="str">
        <f t="shared" si="1"/>
        <v/>
      </c>
      <c r="W43" s="83"/>
      <c r="X43" s="83"/>
      <c r="Y43" s="83"/>
      <c r="Z43" s="83"/>
      <c r="AA43" s="83"/>
      <c r="AB43" s="326"/>
    </row>
    <row r="44" ht="15" hidden="1" spans="1:28">
      <c r="A44" s="42">
        <v>33</v>
      </c>
      <c r="B44" s="300">
        <f>'INPUT DATA'!B44:D44</f>
        <v>0</v>
      </c>
      <c r="C44" s="303"/>
      <c r="D44" s="303"/>
      <c r="E44" s="303"/>
      <c r="F44" s="81"/>
      <c r="G44" s="82"/>
      <c r="H44" s="82"/>
      <c r="I44" s="93"/>
      <c r="J44" s="81"/>
      <c r="K44" s="82"/>
      <c r="L44" s="82"/>
      <c r="M44" s="93"/>
      <c r="N44" s="81"/>
      <c r="O44" s="82"/>
      <c r="P44" s="82"/>
      <c r="Q44" s="93"/>
      <c r="R44" s="81"/>
      <c r="S44" s="82"/>
      <c r="T44" s="82"/>
      <c r="U44" s="322"/>
      <c r="V44" s="323" t="str">
        <f t="shared" si="1"/>
        <v/>
      </c>
      <c r="W44" s="83"/>
      <c r="X44" s="83"/>
      <c r="Y44" s="83"/>
      <c r="Z44" s="83"/>
      <c r="AA44" s="83"/>
      <c r="AB44" s="326"/>
    </row>
    <row r="45" ht="15" hidden="1" spans="1:28">
      <c r="A45" s="42">
        <v>34</v>
      </c>
      <c r="B45" s="300">
        <f>'INPUT DATA'!B45:D45</f>
        <v>0</v>
      </c>
      <c r="C45" s="303"/>
      <c r="D45" s="303"/>
      <c r="E45" s="303"/>
      <c r="F45" s="81"/>
      <c r="G45" s="82"/>
      <c r="H45" s="82"/>
      <c r="I45" s="93"/>
      <c r="J45" s="81"/>
      <c r="K45" s="82"/>
      <c r="L45" s="82"/>
      <c r="M45" s="93"/>
      <c r="N45" s="81"/>
      <c r="O45" s="82"/>
      <c r="P45" s="82"/>
      <c r="Q45" s="93"/>
      <c r="R45" s="81"/>
      <c r="S45" s="82"/>
      <c r="T45" s="82"/>
      <c r="U45" s="322"/>
      <c r="V45" s="323" t="str">
        <f t="shared" si="1"/>
        <v/>
      </c>
      <c r="W45" s="83"/>
      <c r="X45" s="83"/>
      <c r="Y45" s="83"/>
      <c r="Z45" s="83"/>
      <c r="AA45" s="83"/>
      <c r="AB45" s="326"/>
    </row>
    <row r="46" ht="15" hidden="1" spans="1:28">
      <c r="A46" s="42">
        <v>35</v>
      </c>
      <c r="B46" s="300">
        <f>'INPUT DATA'!B46:D46</f>
        <v>0</v>
      </c>
      <c r="C46" s="303"/>
      <c r="D46" s="303"/>
      <c r="E46" s="303"/>
      <c r="F46" s="81"/>
      <c r="G46" s="82"/>
      <c r="H46" s="82"/>
      <c r="I46" s="93"/>
      <c r="J46" s="81"/>
      <c r="K46" s="82"/>
      <c r="L46" s="82"/>
      <c r="M46" s="93"/>
      <c r="N46" s="81"/>
      <c r="O46" s="82"/>
      <c r="P46" s="82"/>
      <c r="Q46" s="93"/>
      <c r="R46" s="81"/>
      <c r="S46" s="82"/>
      <c r="T46" s="82"/>
      <c r="U46" s="322"/>
      <c r="V46" s="323" t="str">
        <f t="shared" si="1"/>
        <v/>
      </c>
      <c r="W46" s="83"/>
      <c r="X46" s="83"/>
      <c r="Y46" s="83"/>
      <c r="Z46" s="83"/>
      <c r="AA46" s="83"/>
      <c r="AB46" s="326"/>
    </row>
    <row r="47" ht="15" hidden="1" spans="1:28">
      <c r="A47" s="42">
        <v>36</v>
      </c>
      <c r="B47" s="300">
        <f>'INPUT DATA'!B47:D47</f>
        <v>0</v>
      </c>
      <c r="C47" s="303"/>
      <c r="D47" s="303"/>
      <c r="E47" s="303"/>
      <c r="F47" s="81"/>
      <c r="G47" s="82"/>
      <c r="H47" s="82"/>
      <c r="I47" s="93"/>
      <c r="J47" s="81"/>
      <c r="K47" s="82"/>
      <c r="L47" s="82"/>
      <c r="M47" s="93"/>
      <c r="N47" s="81"/>
      <c r="O47" s="82"/>
      <c r="P47" s="82"/>
      <c r="Q47" s="93"/>
      <c r="R47" s="81"/>
      <c r="S47" s="82"/>
      <c r="T47" s="82"/>
      <c r="U47" s="322"/>
      <c r="V47" s="323" t="str">
        <f t="shared" si="1"/>
        <v/>
      </c>
      <c r="W47" s="83"/>
      <c r="X47" s="83"/>
      <c r="Y47" s="83"/>
      <c r="Z47" s="83"/>
      <c r="AA47" s="83"/>
      <c r="AB47" s="326"/>
    </row>
    <row r="48" ht="15" hidden="1" spans="1:28">
      <c r="A48" s="42">
        <v>37</v>
      </c>
      <c r="B48" s="300">
        <f>'INPUT DATA'!B48:D48</f>
        <v>0</v>
      </c>
      <c r="C48" s="303"/>
      <c r="D48" s="303"/>
      <c r="E48" s="303"/>
      <c r="F48" s="81"/>
      <c r="G48" s="82"/>
      <c r="H48" s="82"/>
      <c r="I48" s="93"/>
      <c r="J48" s="81"/>
      <c r="K48" s="82"/>
      <c r="L48" s="82"/>
      <c r="M48" s="93"/>
      <c r="N48" s="81"/>
      <c r="O48" s="82"/>
      <c r="P48" s="82"/>
      <c r="Q48" s="93"/>
      <c r="R48" s="81"/>
      <c r="S48" s="82"/>
      <c r="T48" s="82"/>
      <c r="U48" s="322"/>
      <c r="V48" s="323" t="str">
        <f t="shared" si="1"/>
        <v/>
      </c>
      <c r="W48" s="83"/>
      <c r="X48" s="83"/>
      <c r="Y48" s="83"/>
      <c r="Z48" s="83"/>
      <c r="AA48" s="83"/>
      <c r="AB48" s="326"/>
    </row>
    <row r="49" ht="15" hidden="1" spans="1:28">
      <c r="A49" s="42">
        <v>38</v>
      </c>
      <c r="B49" s="300">
        <f>'INPUT DATA'!B49:D49</f>
        <v>0</v>
      </c>
      <c r="C49" s="303"/>
      <c r="D49" s="303"/>
      <c r="E49" s="303"/>
      <c r="F49" s="81"/>
      <c r="G49" s="82"/>
      <c r="H49" s="82"/>
      <c r="I49" s="93"/>
      <c r="J49" s="81"/>
      <c r="K49" s="82"/>
      <c r="L49" s="82"/>
      <c r="M49" s="93"/>
      <c r="N49" s="81"/>
      <c r="O49" s="82"/>
      <c r="P49" s="82"/>
      <c r="Q49" s="93"/>
      <c r="R49" s="81"/>
      <c r="S49" s="82"/>
      <c r="T49" s="82"/>
      <c r="U49" s="322"/>
      <c r="V49" s="323" t="str">
        <f t="shared" si="1"/>
        <v/>
      </c>
      <c r="W49" s="83"/>
      <c r="X49" s="83"/>
      <c r="Y49" s="83"/>
      <c r="Z49" s="83"/>
      <c r="AA49" s="83"/>
      <c r="AB49" s="326"/>
    </row>
    <row r="50" ht="15.75" hidden="1" spans="1:28">
      <c r="A50" s="42">
        <v>39</v>
      </c>
      <c r="B50" s="300">
        <f>'INPUT DATA'!B50:D50</f>
        <v>0</v>
      </c>
      <c r="C50" s="305"/>
      <c r="D50" s="305"/>
      <c r="E50" s="305"/>
      <c r="F50" s="81"/>
      <c r="G50" s="82"/>
      <c r="H50" s="82"/>
      <c r="I50" s="93"/>
      <c r="J50" s="81"/>
      <c r="K50" s="82"/>
      <c r="L50" s="82"/>
      <c r="M50" s="93"/>
      <c r="N50" s="81"/>
      <c r="O50" s="82"/>
      <c r="P50" s="82"/>
      <c r="Q50" s="93"/>
      <c r="R50" s="81"/>
      <c r="S50" s="82"/>
      <c r="T50" s="82"/>
      <c r="U50" s="322"/>
      <c r="V50" s="323" t="str">
        <f t="shared" si="1"/>
        <v/>
      </c>
      <c r="W50" s="83"/>
      <c r="X50" s="83"/>
      <c r="Y50" s="83"/>
      <c r="Z50" s="83"/>
      <c r="AA50" s="83"/>
      <c r="AB50" s="326"/>
    </row>
    <row r="51" ht="15.75" spans="1:28">
      <c r="A51" s="27"/>
      <c r="B51" s="28" t="s">
        <v>39</v>
      </c>
      <c r="C51" s="29"/>
      <c r="D51" s="29"/>
      <c r="E51" s="50"/>
      <c r="F51" s="308"/>
      <c r="G51" s="309"/>
      <c r="H51" s="309"/>
      <c r="I51" s="315"/>
      <c r="J51" s="308"/>
      <c r="K51" s="309"/>
      <c r="L51" s="309"/>
      <c r="M51" s="315"/>
      <c r="N51" s="308"/>
      <c r="O51" s="309"/>
      <c r="P51" s="309"/>
      <c r="Q51" s="315"/>
      <c r="R51" s="308"/>
      <c r="S51" s="309"/>
      <c r="T51" s="309"/>
      <c r="U51" s="324"/>
      <c r="V51" s="333"/>
      <c r="W51" s="334"/>
      <c r="X51" s="334"/>
      <c r="Y51" s="334"/>
      <c r="Z51" s="334"/>
      <c r="AA51" s="334"/>
      <c r="AB51" s="335"/>
    </row>
    <row r="52" ht="15" spans="1:28">
      <c r="A52" s="32">
        <v>1</v>
      </c>
      <c r="B52" s="300" t="str">
        <f>'INPUT DATA'!B53:D53</f>
        <v>ANGCOY, PRINCESS NAILLE T.</v>
      </c>
      <c r="C52" s="301"/>
      <c r="D52" s="301"/>
      <c r="E52" s="310"/>
      <c r="F52" s="81">
        <v>90</v>
      </c>
      <c r="G52" s="82"/>
      <c r="H52" s="82"/>
      <c r="I52" s="93"/>
      <c r="J52" s="81">
        <v>86</v>
      </c>
      <c r="K52" s="82"/>
      <c r="L52" s="82"/>
      <c r="M52" s="93"/>
      <c r="N52" s="81">
        <v>85</v>
      </c>
      <c r="O52" s="82"/>
      <c r="P52" s="82"/>
      <c r="Q52" s="93"/>
      <c r="R52" s="81">
        <v>95</v>
      </c>
      <c r="S52" s="82"/>
      <c r="T52" s="82"/>
      <c r="U52" s="322"/>
      <c r="V52" s="323">
        <f>IF(OR(F52="",J52="",N52="",R52="",),"",IF(ISERROR(ROUND(AVERAGE(F52,J52,N52,R52),0)),"",ROUND(AVERAGE(F52,J52,N52,R52),0)))</f>
        <v>89</v>
      </c>
      <c r="W52" s="83"/>
      <c r="X52" s="83"/>
      <c r="Y52" s="83"/>
      <c r="Z52" s="83"/>
      <c r="AA52" s="83"/>
      <c r="AB52" s="326"/>
    </row>
    <row r="53" ht="15" spans="1:28">
      <c r="A53" s="37">
        <v>2</v>
      </c>
      <c r="B53" s="300" t="str">
        <f>'INPUT DATA'!B54:D54</f>
        <v>BIMOS, SHEILLA KATE O.</v>
      </c>
      <c r="C53" s="302"/>
      <c r="D53" s="302"/>
      <c r="E53" s="311"/>
      <c r="F53" s="81">
        <v>88</v>
      </c>
      <c r="G53" s="82"/>
      <c r="H53" s="82"/>
      <c r="I53" s="93"/>
      <c r="J53" s="81">
        <v>87</v>
      </c>
      <c r="K53" s="82"/>
      <c r="L53" s="82"/>
      <c r="M53" s="93"/>
      <c r="N53" s="81">
        <v>87</v>
      </c>
      <c r="O53" s="82"/>
      <c r="P53" s="82"/>
      <c r="Q53" s="93"/>
      <c r="R53" s="81">
        <v>95</v>
      </c>
      <c r="S53" s="82"/>
      <c r="T53" s="82"/>
      <c r="U53" s="322"/>
      <c r="V53" s="323">
        <f t="shared" ref="V53:V75" si="2">IF(OR(F53="",J53="",N53="",R53="",),"",IF(ISERROR(ROUND(AVERAGE(F53,J53,N53,R53),0)),"",ROUND(AVERAGE(F53,J53,N53,R53),0)))</f>
        <v>89</v>
      </c>
      <c r="W53" s="83"/>
      <c r="X53" s="83"/>
      <c r="Y53" s="83"/>
      <c r="Z53" s="83"/>
      <c r="AA53" s="83"/>
      <c r="AB53" s="326"/>
    </row>
    <row r="54" ht="15" spans="1:28">
      <c r="A54" s="37">
        <v>3</v>
      </c>
      <c r="B54" s="300" t="str">
        <f>'INPUT DATA'!B55:D55</f>
        <v>BONGABONG, DWEYN ZHAIRA A.</v>
      </c>
      <c r="C54" s="302"/>
      <c r="D54" s="302"/>
      <c r="E54" s="311"/>
      <c r="F54" s="81">
        <v>96</v>
      </c>
      <c r="G54" s="82"/>
      <c r="H54" s="82"/>
      <c r="I54" s="93"/>
      <c r="J54" s="81">
        <v>89</v>
      </c>
      <c r="K54" s="82"/>
      <c r="L54" s="82"/>
      <c r="M54" s="93"/>
      <c r="N54" s="81">
        <v>90</v>
      </c>
      <c r="O54" s="82"/>
      <c r="P54" s="82"/>
      <c r="Q54" s="93"/>
      <c r="R54" s="81">
        <v>91</v>
      </c>
      <c r="S54" s="82"/>
      <c r="T54" s="82"/>
      <c r="U54" s="322"/>
      <c r="V54" s="323">
        <f t="shared" si="2"/>
        <v>92</v>
      </c>
      <c r="W54" s="83"/>
      <c r="X54" s="83"/>
      <c r="Y54" s="83"/>
      <c r="Z54" s="83"/>
      <c r="AA54" s="83"/>
      <c r="AB54" s="326"/>
    </row>
    <row r="55" ht="15" spans="1:28">
      <c r="A55" s="37">
        <v>4</v>
      </c>
      <c r="B55" s="300" t="str">
        <f>'INPUT DATA'!B56:D56</f>
        <v>CABEL, LOURENE A.</v>
      </c>
      <c r="C55" s="302"/>
      <c r="D55" s="302"/>
      <c r="E55" s="311"/>
      <c r="F55" s="81">
        <v>93</v>
      </c>
      <c r="G55" s="82"/>
      <c r="H55" s="82"/>
      <c r="I55" s="93"/>
      <c r="J55" s="81">
        <v>93</v>
      </c>
      <c r="K55" s="82"/>
      <c r="L55" s="82"/>
      <c r="M55" s="93"/>
      <c r="N55" s="81">
        <v>92</v>
      </c>
      <c r="O55" s="82"/>
      <c r="P55" s="82"/>
      <c r="Q55" s="93"/>
      <c r="R55" s="81">
        <v>93</v>
      </c>
      <c r="S55" s="82"/>
      <c r="T55" s="82"/>
      <c r="U55" s="322"/>
      <c r="V55" s="323">
        <f t="shared" si="2"/>
        <v>93</v>
      </c>
      <c r="W55" s="83"/>
      <c r="X55" s="83"/>
      <c r="Y55" s="83"/>
      <c r="Z55" s="83"/>
      <c r="AA55" s="83"/>
      <c r="AB55" s="326"/>
    </row>
    <row r="56" ht="15" spans="1:28">
      <c r="A56" s="37">
        <v>5</v>
      </c>
      <c r="B56" s="300" t="str">
        <f>'INPUT DATA'!B57:D57</f>
        <v>CAMIGAO, DHENISE CLARE V.</v>
      </c>
      <c r="C56" s="302"/>
      <c r="D56" s="302"/>
      <c r="E56" s="311"/>
      <c r="F56" s="81">
        <v>94</v>
      </c>
      <c r="G56" s="82"/>
      <c r="H56" s="82"/>
      <c r="I56" s="93"/>
      <c r="J56" s="81">
        <v>89</v>
      </c>
      <c r="K56" s="82"/>
      <c r="L56" s="82"/>
      <c r="M56" s="93"/>
      <c r="N56" s="81">
        <v>85</v>
      </c>
      <c r="O56" s="82"/>
      <c r="P56" s="82"/>
      <c r="Q56" s="93"/>
      <c r="R56" s="81">
        <v>95</v>
      </c>
      <c r="S56" s="82"/>
      <c r="T56" s="82"/>
      <c r="U56" s="322"/>
      <c r="V56" s="323">
        <f t="shared" si="2"/>
        <v>91</v>
      </c>
      <c r="W56" s="83"/>
      <c r="X56" s="83"/>
      <c r="Y56" s="83"/>
      <c r="Z56" s="83"/>
      <c r="AA56" s="83"/>
      <c r="AB56" s="326"/>
    </row>
    <row r="57" ht="15" spans="1:28">
      <c r="A57" s="37">
        <v>6</v>
      </c>
      <c r="B57" s="300" t="str">
        <f>'INPUT DATA'!B58:D58</f>
        <v>CARISMA, NATHALIA MAE M.</v>
      </c>
      <c r="C57" s="302"/>
      <c r="D57" s="302"/>
      <c r="E57" s="311"/>
      <c r="F57" s="81">
        <v>87</v>
      </c>
      <c r="G57" s="82"/>
      <c r="H57" s="82"/>
      <c r="I57" s="93"/>
      <c r="J57" s="81">
        <v>90</v>
      </c>
      <c r="K57" s="82"/>
      <c r="L57" s="82"/>
      <c r="M57" s="93"/>
      <c r="N57" s="81">
        <v>88</v>
      </c>
      <c r="O57" s="82"/>
      <c r="P57" s="82"/>
      <c r="Q57" s="93"/>
      <c r="R57" s="81">
        <v>95</v>
      </c>
      <c r="S57" s="82"/>
      <c r="T57" s="82"/>
      <c r="U57" s="322"/>
      <c r="V57" s="323">
        <f t="shared" si="2"/>
        <v>90</v>
      </c>
      <c r="W57" s="83"/>
      <c r="X57" s="83"/>
      <c r="Y57" s="83"/>
      <c r="Z57" s="83"/>
      <c r="AA57" s="83"/>
      <c r="AB57" s="326"/>
    </row>
    <row r="58" ht="15" spans="1:28">
      <c r="A58" s="37">
        <v>7</v>
      </c>
      <c r="B58" s="300" t="str">
        <f>'INPUT DATA'!B59:D59</f>
        <v>CLARO, REANZ P.</v>
      </c>
      <c r="C58" s="302"/>
      <c r="D58" s="302"/>
      <c r="E58" s="311"/>
      <c r="F58" s="81">
        <v>89</v>
      </c>
      <c r="G58" s="82"/>
      <c r="H58" s="82"/>
      <c r="I58" s="93"/>
      <c r="J58" s="81">
        <v>87</v>
      </c>
      <c r="K58" s="82"/>
      <c r="L58" s="82"/>
      <c r="M58" s="93"/>
      <c r="N58" s="81">
        <v>87</v>
      </c>
      <c r="O58" s="82"/>
      <c r="P58" s="82"/>
      <c r="Q58" s="93"/>
      <c r="R58" s="81">
        <v>95</v>
      </c>
      <c r="S58" s="82"/>
      <c r="T58" s="82"/>
      <c r="U58" s="322"/>
      <c r="V58" s="323">
        <f t="shared" si="2"/>
        <v>90</v>
      </c>
      <c r="W58" s="83"/>
      <c r="X58" s="83"/>
      <c r="Y58" s="83"/>
      <c r="Z58" s="83"/>
      <c r="AA58" s="83"/>
      <c r="AB58" s="326"/>
    </row>
    <row r="59" ht="15" spans="1:28">
      <c r="A59" s="37">
        <v>8</v>
      </c>
      <c r="B59" s="300" t="str">
        <f>'INPUT DATA'!B60:D60</f>
        <v>FRANCISCO, YSABELLA BEATRICE B.</v>
      </c>
      <c r="C59" s="302"/>
      <c r="D59" s="302"/>
      <c r="E59" s="311"/>
      <c r="F59" s="81">
        <v>95</v>
      </c>
      <c r="G59" s="82"/>
      <c r="H59" s="82"/>
      <c r="I59" s="93"/>
      <c r="J59" s="81">
        <v>93</v>
      </c>
      <c r="K59" s="82"/>
      <c r="L59" s="82"/>
      <c r="M59" s="93"/>
      <c r="N59" s="81">
        <v>93</v>
      </c>
      <c r="O59" s="82"/>
      <c r="P59" s="82"/>
      <c r="Q59" s="93"/>
      <c r="R59" s="81">
        <v>95</v>
      </c>
      <c r="S59" s="82"/>
      <c r="T59" s="82"/>
      <c r="U59" s="322"/>
      <c r="V59" s="323">
        <f t="shared" si="2"/>
        <v>94</v>
      </c>
      <c r="W59" s="83"/>
      <c r="X59" s="83"/>
      <c r="Y59" s="83"/>
      <c r="Z59" s="83"/>
      <c r="AA59" s="83"/>
      <c r="AB59" s="326"/>
    </row>
    <row r="60" ht="15" spans="1:28">
      <c r="A60" s="37">
        <v>9</v>
      </c>
      <c r="B60" s="300" t="str">
        <f>'INPUT DATA'!B61:D61</f>
        <v>GALDO, ALYSSA RHIAN P.</v>
      </c>
      <c r="C60" s="302"/>
      <c r="D60" s="302"/>
      <c r="E60" s="311"/>
      <c r="F60" s="81">
        <v>89</v>
      </c>
      <c r="G60" s="82"/>
      <c r="H60" s="82"/>
      <c r="I60" s="93"/>
      <c r="J60" s="81"/>
      <c r="K60" s="82"/>
      <c r="L60" s="82"/>
      <c r="M60" s="93"/>
      <c r="N60" s="81"/>
      <c r="O60" s="82"/>
      <c r="P60" s="82"/>
      <c r="Q60" s="93"/>
      <c r="R60" s="81"/>
      <c r="S60" s="82"/>
      <c r="T60" s="82"/>
      <c r="U60" s="322"/>
      <c r="V60" s="323" t="str">
        <f t="shared" si="2"/>
        <v/>
      </c>
      <c r="W60" s="83"/>
      <c r="X60" s="83"/>
      <c r="Y60" s="83"/>
      <c r="Z60" s="83"/>
      <c r="AA60" s="83"/>
      <c r="AB60" s="326"/>
    </row>
    <row r="61" ht="15" spans="1:28">
      <c r="A61" s="37">
        <v>10</v>
      </c>
      <c r="B61" s="300" t="str">
        <f>'INPUT DATA'!B62:D62</f>
        <v>HURAÑO, RIOMI M.</v>
      </c>
      <c r="C61" s="302"/>
      <c r="D61" s="302"/>
      <c r="E61" s="311"/>
      <c r="F61" s="81">
        <v>91</v>
      </c>
      <c r="G61" s="82"/>
      <c r="H61" s="82"/>
      <c r="I61" s="93"/>
      <c r="J61" s="81">
        <v>90</v>
      </c>
      <c r="K61" s="82"/>
      <c r="L61" s="82"/>
      <c r="M61" s="93"/>
      <c r="N61" s="81">
        <v>90</v>
      </c>
      <c r="O61" s="82"/>
      <c r="P61" s="82"/>
      <c r="Q61" s="93"/>
      <c r="R61" s="81">
        <v>95</v>
      </c>
      <c r="S61" s="82"/>
      <c r="T61" s="82"/>
      <c r="U61" s="322"/>
      <c r="V61" s="323">
        <f t="shared" si="2"/>
        <v>92</v>
      </c>
      <c r="W61" s="83"/>
      <c r="X61" s="83"/>
      <c r="Y61" s="83"/>
      <c r="Z61" s="83"/>
      <c r="AA61" s="83"/>
      <c r="AB61" s="326"/>
    </row>
    <row r="62" ht="15" spans="1:28">
      <c r="A62" s="37">
        <v>11</v>
      </c>
      <c r="B62" s="300" t="str">
        <f>'INPUT DATA'!B63:D63</f>
        <v>LAGUNA, WELLAIZA O.</v>
      </c>
      <c r="C62" s="302"/>
      <c r="D62" s="302"/>
      <c r="E62" s="311"/>
      <c r="F62" s="81">
        <v>87</v>
      </c>
      <c r="G62" s="82"/>
      <c r="H62" s="82"/>
      <c r="I62" s="93"/>
      <c r="J62" s="81"/>
      <c r="K62" s="82"/>
      <c r="L62" s="82"/>
      <c r="M62" s="93"/>
      <c r="N62" s="81"/>
      <c r="O62" s="82"/>
      <c r="P62" s="82"/>
      <c r="Q62" s="93"/>
      <c r="R62" s="81"/>
      <c r="S62" s="82"/>
      <c r="T62" s="82"/>
      <c r="U62" s="322"/>
      <c r="V62" s="323" t="str">
        <f t="shared" si="2"/>
        <v/>
      </c>
      <c r="W62" s="83"/>
      <c r="X62" s="83"/>
      <c r="Y62" s="83"/>
      <c r="Z62" s="83"/>
      <c r="AA62" s="83"/>
      <c r="AB62" s="326"/>
    </row>
    <row r="63" ht="15" spans="1:28">
      <c r="A63" s="37">
        <v>12</v>
      </c>
      <c r="B63" s="300" t="str">
        <f>'INPUT DATA'!B64:D64</f>
        <v>LAZAGA, PRINCESS JEAN O.</v>
      </c>
      <c r="C63" s="302"/>
      <c r="D63" s="302"/>
      <c r="E63" s="311"/>
      <c r="F63" s="81">
        <v>90</v>
      </c>
      <c r="G63" s="82"/>
      <c r="H63" s="82"/>
      <c r="I63" s="93"/>
      <c r="J63" s="81">
        <v>89</v>
      </c>
      <c r="K63" s="82"/>
      <c r="L63" s="82"/>
      <c r="M63" s="93"/>
      <c r="N63" s="81">
        <v>89</v>
      </c>
      <c r="O63" s="82"/>
      <c r="P63" s="82"/>
      <c r="Q63" s="93"/>
      <c r="R63" s="81">
        <v>95</v>
      </c>
      <c r="S63" s="82"/>
      <c r="T63" s="82"/>
      <c r="U63" s="322"/>
      <c r="V63" s="323">
        <f t="shared" si="2"/>
        <v>91</v>
      </c>
      <c r="W63" s="83"/>
      <c r="X63" s="83"/>
      <c r="Y63" s="83"/>
      <c r="Z63" s="83"/>
      <c r="AA63" s="83"/>
      <c r="AB63" s="326"/>
    </row>
    <row r="64" ht="15" spans="1:28">
      <c r="A64" s="37">
        <v>13</v>
      </c>
      <c r="B64" s="300" t="str">
        <f>'INPUT DATA'!B65:D65</f>
        <v>LIBRES, MIKYLLA B.</v>
      </c>
      <c r="C64" s="302"/>
      <c r="D64" s="302"/>
      <c r="E64" s="311"/>
      <c r="F64" s="81">
        <v>83</v>
      </c>
      <c r="G64" s="82"/>
      <c r="H64" s="82"/>
      <c r="I64" s="93"/>
      <c r="J64" s="81">
        <v>78</v>
      </c>
      <c r="K64" s="82"/>
      <c r="L64" s="82"/>
      <c r="M64" s="93"/>
      <c r="N64" s="81">
        <v>80</v>
      </c>
      <c r="O64" s="82"/>
      <c r="P64" s="82"/>
      <c r="Q64" s="93"/>
      <c r="R64" s="81">
        <v>90</v>
      </c>
      <c r="S64" s="82"/>
      <c r="T64" s="82"/>
      <c r="U64" s="322"/>
      <c r="V64" s="323">
        <f t="shared" si="2"/>
        <v>83</v>
      </c>
      <c r="W64" s="83"/>
      <c r="X64" s="83"/>
      <c r="Y64" s="83"/>
      <c r="Z64" s="83"/>
      <c r="AA64" s="83"/>
      <c r="AB64" s="326"/>
    </row>
    <row r="65" ht="15" spans="1:28">
      <c r="A65" s="37">
        <v>14</v>
      </c>
      <c r="B65" s="300" t="str">
        <f>'INPUT DATA'!B66:D66</f>
        <v>LIM, LENNIE GRACE S.</v>
      </c>
      <c r="C65" s="302"/>
      <c r="D65" s="302"/>
      <c r="E65" s="311"/>
      <c r="F65" s="81">
        <v>92</v>
      </c>
      <c r="G65" s="82"/>
      <c r="H65" s="82"/>
      <c r="I65" s="93"/>
      <c r="J65" s="81">
        <v>86</v>
      </c>
      <c r="K65" s="82"/>
      <c r="L65" s="82"/>
      <c r="M65" s="93"/>
      <c r="N65" s="81">
        <v>88</v>
      </c>
      <c r="O65" s="82"/>
      <c r="P65" s="82"/>
      <c r="Q65" s="93"/>
      <c r="R65" s="81">
        <v>95</v>
      </c>
      <c r="S65" s="82"/>
      <c r="T65" s="82"/>
      <c r="U65" s="322"/>
      <c r="V65" s="323">
        <f t="shared" si="2"/>
        <v>90</v>
      </c>
      <c r="W65" s="83"/>
      <c r="X65" s="83"/>
      <c r="Y65" s="83"/>
      <c r="Z65" s="83"/>
      <c r="AA65" s="83"/>
      <c r="AB65" s="326"/>
    </row>
    <row r="66" ht="15" spans="1:28">
      <c r="A66" s="37">
        <v>15</v>
      </c>
      <c r="B66" s="300" t="str">
        <f>'INPUT DATA'!B67:D67</f>
        <v>MASAYON, RHEA JANE L.</v>
      </c>
      <c r="C66" s="302"/>
      <c r="D66" s="302"/>
      <c r="E66" s="311"/>
      <c r="F66" s="81">
        <v>81</v>
      </c>
      <c r="G66" s="82"/>
      <c r="H66" s="82"/>
      <c r="I66" s="93"/>
      <c r="J66" s="81">
        <v>76</v>
      </c>
      <c r="K66" s="82"/>
      <c r="L66" s="82"/>
      <c r="M66" s="93"/>
      <c r="N66" s="81">
        <v>75</v>
      </c>
      <c r="O66" s="82"/>
      <c r="P66" s="82"/>
      <c r="Q66" s="93"/>
      <c r="R66" s="81">
        <v>90</v>
      </c>
      <c r="S66" s="82"/>
      <c r="T66" s="82"/>
      <c r="U66" s="322"/>
      <c r="V66" s="323">
        <f t="shared" si="2"/>
        <v>81</v>
      </c>
      <c r="W66" s="83"/>
      <c r="X66" s="83"/>
      <c r="Y66" s="83"/>
      <c r="Z66" s="83"/>
      <c r="AA66" s="83"/>
      <c r="AB66" s="326"/>
    </row>
    <row r="67" ht="15" spans="1:28">
      <c r="A67" s="37">
        <v>16</v>
      </c>
      <c r="B67" s="300" t="str">
        <f>'INPUT DATA'!B68:D68</f>
        <v>MORANCIL, JENEVI A.</v>
      </c>
      <c r="C67" s="302"/>
      <c r="D67" s="302"/>
      <c r="E67" s="311"/>
      <c r="F67" s="81">
        <v>89</v>
      </c>
      <c r="G67" s="82"/>
      <c r="H67" s="82"/>
      <c r="I67" s="93"/>
      <c r="J67" s="81">
        <v>90</v>
      </c>
      <c r="K67" s="82"/>
      <c r="L67" s="82"/>
      <c r="M67" s="93"/>
      <c r="N67" s="81">
        <v>90</v>
      </c>
      <c r="O67" s="82"/>
      <c r="P67" s="82"/>
      <c r="Q67" s="93"/>
      <c r="R67" s="81">
        <v>95</v>
      </c>
      <c r="S67" s="82"/>
      <c r="T67" s="82"/>
      <c r="U67" s="322"/>
      <c r="V67" s="323">
        <f t="shared" si="2"/>
        <v>91</v>
      </c>
      <c r="W67" s="83"/>
      <c r="X67" s="83"/>
      <c r="Y67" s="83"/>
      <c r="Z67" s="83"/>
      <c r="AA67" s="83"/>
      <c r="AB67" s="326"/>
    </row>
    <row r="68" ht="15" spans="1:28">
      <c r="A68" s="37">
        <v>17</v>
      </c>
      <c r="B68" s="300" t="str">
        <f>'INPUT DATA'!B69:D69</f>
        <v>PATRICIO, MICHA ELLA P.</v>
      </c>
      <c r="C68" s="302"/>
      <c r="D68" s="302"/>
      <c r="E68" s="311"/>
      <c r="F68" s="81">
        <v>81</v>
      </c>
      <c r="G68" s="82"/>
      <c r="H68" s="82"/>
      <c r="I68" s="93"/>
      <c r="J68" s="81">
        <v>73</v>
      </c>
      <c r="K68" s="82"/>
      <c r="L68" s="82"/>
      <c r="M68" s="93"/>
      <c r="N68" s="81">
        <v>80</v>
      </c>
      <c r="O68" s="82"/>
      <c r="P68" s="82"/>
      <c r="Q68" s="93"/>
      <c r="R68" s="81">
        <v>90</v>
      </c>
      <c r="S68" s="82"/>
      <c r="T68" s="82"/>
      <c r="U68" s="322"/>
      <c r="V68" s="323">
        <f t="shared" si="2"/>
        <v>81</v>
      </c>
      <c r="W68" s="83"/>
      <c r="X68" s="83"/>
      <c r="Y68" s="83"/>
      <c r="Z68" s="83"/>
      <c r="AA68" s="83"/>
      <c r="AB68" s="326"/>
    </row>
    <row r="69" ht="15" spans="1:28">
      <c r="A69" s="37">
        <v>18</v>
      </c>
      <c r="B69" s="300" t="str">
        <f>'INPUT DATA'!B70:D70</f>
        <v>PELINGON , ASHLEY C.</v>
      </c>
      <c r="C69" s="302"/>
      <c r="D69" s="302"/>
      <c r="E69" s="311"/>
      <c r="F69" s="81">
        <v>88</v>
      </c>
      <c r="G69" s="82"/>
      <c r="H69" s="82"/>
      <c r="I69" s="93"/>
      <c r="J69" s="81">
        <v>84</v>
      </c>
      <c r="K69" s="82"/>
      <c r="L69" s="82"/>
      <c r="M69" s="93"/>
      <c r="N69" s="81">
        <v>85</v>
      </c>
      <c r="O69" s="82"/>
      <c r="P69" s="82"/>
      <c r="Q69" s="93"/>
      <c r="R69" s="81">
        <v>90</v>
      </c>
      <c r="S69" s="82"/>
      <c r="T69" s="82"/>
      <c r="U69" s="322"/>
      <c r="V69" s="323">
        <f t="shared" si="2"/>
        <v>87</v>
      </c>
      <c r="W69" s="83"/>
      <c r="X69" s="83"/>
      <c r="Y69" s="83"/>
      <c r="Z69" s="83"/>
      <c r="AA69" s="83"/>
      <c r="AB69" s="326"/>
    </row>
    <row r="70" ht="15" spans="1:28">
      <c r="A70" s="37">
        <v>19</v>
      </c>
      <c r="B70" s="300" t="str">
        <f>'INPUT DATA'!B71:D71</f>
        <v>PEREZ, MERCY JEAN T.</v>
      </c>
      <c r="C70" s="302"/>
      <c r="D70" s="302"/>
      <c r="E70" s="311"/>
      <c r="F70" s="81">
        <v>83</v>
      </c>
      <c r="G70" s="82"/>
      <c r="H70" s="82"/>
      <c r="I70" s="93"/>
      <c r="J70" s="81">
        <v>77</v>
      </c>
      <c r="K70" s="82"/>
      <c r="L70" s="82"/>
      <c r="M70" s="93"/>
      <c r="N70" s="81">
        <v>77</v>
      </c>
      <c r="O70" s="82"/>
      <c r="P70" s="82"/>
      <c r="Q70" s="93"/>
      <c r="R70" s="81">
        <v>90</v>
      </c>
      <c r="S70" s="82"/>
      <c r="T70" s="82"/>
      <c r="U70" s="322"/>
      <c r="V70" s="323">
        <f t="shared" si="2"/>
        <v>82</v>
      </c>
      <c r="W70" s="83"/>
      <c r="X70" s="83"/>
      <c r="Y70" s="83"/>
      <c r="Z70" s="83"/>
      <c r="AA70" s="83"/>
      <c r="AB70" s="326"/>
    </row>
    <row r="71" ht="15" spans="1:28">
      <c r="A71" s="37">
        <v>20</v>
      </c>
      <c r="B71" s="300" t="str">
        <f>'INPUT DATA'!B72:D72</f>
        <v>PINGOT, RHEA L.</v>
      </c>
      <c r="C71" s="302"/>
      <c r="D71" s="302"/>
      <c r="E71" s="311"/>
      <c r="F71" s="81">
        <v>81</v>
      </c>
      <c r="G71" s="82"/>
      <c r="H71" s="82"/>
      <c r="I71" s="93"/>
      <c r="J71" s="81">
        <v>73</v>
      </c>
      <c r="K71" s="82"/>
      <c r="L71" s="82"/>
      <c r="M71" s="93"/>
      <c r="N71" s="81">
        <v>72</v>
      </c>
      <c r="O71" s="82"/>
      <c r="P71" s="82"/>
      <c r="Q71" s="93"/>
      <c r="R71" s="81">
        <v>70</v>
      </c>
      <c r="S71" s="82"/>
      <c r="T71" s="82"/>
      <c r="U71" s="322"/>
      <c r="V71" s="323">
        <f t="shared" si="2"/>
        <v>74</v>
      </c>
      <c r="W71" s="83"/>
      <c r="X71" s="83"/>
      <c r="Y71" s="83"/>
      <c r="Z71" s="83"/>
      <c r="AA71" s="83"/>
      <c r="AB71" s="326"/>
    </row>
    <row r="72" ht="15" spans="1:28">
      <c r="A72" s="37">
        <v>21</v>
      </c>
      <c r="B72" s="300" t="str">
        <f>'INPUT DATA'!B73:D73</f>
        <v>QUILAT, FERRA MAE</v>
      </c>
      <c r="C72" s="302"/>
      <c r="D72" s="302"/>
      <c r="E72" s="311"/>
      <c r="F72" s="81">
        <v>78</v>
      </c>
      <c r="G72" s="82"/>
      <c r="H72" s="82"/>
      <c r="I72" s="93"/>
      <c r="J72" s="81">
        <v>70</v>
      </c>
      <c r="K72" s="82"/>
      <c r="L72" s="82"/>
      <c r="M72" s="93"/>
      <c r="N72" s="81">
        <v>73</v>
      </c>
      <c r="O72" s="82"/>
      <c r="P72" s="82"/>
      <c r="Q72" s="93"/>
      <c r="R72" s="81">
        <v>77</v>
      </c>
      <c r="S72" s="82"/>
      <c r="T72" s="82"/>
      <c r="U72" s="322"/>
      <c r="V72" s="323">
        <f t="shared" si="2"/>
        <v>75</v>
      </c>
      <c r="W72" s="83"/>
      <c r="X72" s="83"/>
      <c r="Y72" s="83"/>
      <c r="Z72" s="83"/>
      <c r="AA72" s="83"/>
      <c r="AB72" s="326"/>
    </row>
    <row r="73" ht="15" spans="1:28">
      <c r="A73" s="37">
        <v>22</v>
      </c>
      <c r="B73" s="300" t="str">
        <f>'INPUT DATA'!B74:D74</f>
        <v>ROSALES, RYZA MAE C.</v>
      </c>
      <c r="C73" s="302"/>
      <c r="D73" s="302"/>
      <c r="E73" s="311"/>
      <c r="F73" s="81">
        <v>91</v>
      </c>
      <c r="G73" s="82"/>
      <c r="H73" s="82"/>
      <c r="I73" s="93"/>
      <c r="J73" s="81">
        <v>84</v>
      </c>
      <c r="K73" s="82"/>
      <c r="L73" s="82"/>
      <c r="M73" s="93"/>
      <c r="N73" s="81">
        <v>87</v>
      </c>
      <c r="O73" s="82"/>
      <c r="P73" s="82"/>
      <c r="Q73" s="93"/>
      <c r="R73" s="81">
        <v>90</v>
      </c>
      <c r="S73" s="82"/>
      <c r="T73" s="82"/>
      <c r="U73" s="322"/>
      <c r="V73" s="323">
        <f t="shared" si="2"/>
        <v>88</v>
      </c>
      <c r="W73" s="83"/>
      <c r="X73" s="83"/>
      <c r="Y73" s="83"/>
      <c r="Z73" s="83"/>
      <c r="AA73" s="83"/>
      <c r="AB73" s="326"/>
    </row>
    <row r="74" ht="15" spans="1:28">
      <c r="A74" s="37">
        <v>23</v>
      </c>
      <c r="B74" s="300">
        <f>'INPUT DATA'!B75:D75</f>
        <v>0</v>
      </c>
      <c r="C74" s="302"/>
      <c r="D74" s="302"/>
      <c r="E74" s="311"/>
      <c r="F74" s="81"/>
      <c r="G74" s="82"/>
      <c r="H74" s="82"/>
      <c r="I74" s="93"/>
      <c r="J74" s="81"/>
      <c r="K74" s="82"/>
      <c r="L74" s="82"/>
      <c r="M74" s="93"/>
      <c r="N74" s="81"/>
      <c r="O74" s="82"/>
      <c r="P74" s="82"/>
      <c r="Q74" s="93"/>
      <c r="R74" s="81"/>
      <c r="S74" s="82"/>
      <c r="T74" s="82"/>
      <c r="U74" s="322"/>
      <c r="V74" s="323" t="str">
        <f t="shared" si="2"/>
        <v/>
      </c>
      <c r="W74" s="83"/>
      <c r="X74" s="83"/>
      <c r="Y74" s="83"/>
      <c r="Z74" s="83"/>
      <c r="AA74" s="83"/>
      <c r="AB74" s="326"/>
    </row>
    <row r="75" ht="15" spans="1:28">
      <c r="A75" s="37">
        <v>24</v>
      </c>
      <c r="B75" s="300">
        <f>'INPUT DATA'!B76:D76</f>
        <v>0</v>
      </c>
      <c r="C75" s="302"/>
      <c r="D75" s="302"/>
      <c r="E75" s="311"/>
      <c r="F75" s="81"/>
      <c r="G75" s="82"/>
      <c r="H75" s="82"/>
      <c r="I75" s="93"/>
      <c r="J75" s="81"/>
      <c r="K75" s="82"/>
      <c r="L75" s="82"/>
      <c r="M75" s="93"/>
      <c r="N75" s="81"/>
      <c r="O75" s="82"/>
      <c r="P75" s="82"/>
      <c r="Q75" s="93"/>
      <c r="R75" s="81"/>
      <c r="S75" s="82"/>
      <c r="T75" s="82"/>
      <c r="U75" s="322"/>
      <c r="V75" s="323" t="str">
        <f t="shared" si="2"/>
        <v/>
      </c>
      <c r="W75" s="83"/>
      <c r="X75" s="83"/>
      <c r="Y75" s="83"/>
      <c r="Z75" s="83"/>
      <c r="AA75" s="83"/>
      <c r="AB75" s="326"/>
    </row>
    <row r="76" ht="15" spans="1:28">
      <c r="A76" s="37">
        <v>25</v>
      </c>
      <c r="B76" s="300">
        <f>'INPUT DATA'!B77:D77</f>
        <v>0</v>
      </c>
      <c r="C76" s="302"/>
      <c r="D76" s="302"/>
      <c r="E76" s="311"/>
      <c r="F76" s="81"/>
      <c r="G76" s="82"/>
      <c r="H76" s="82"/>
      <c r="I76" s="93"/>
      <c r="J76" s="81"/>
      <c r="K76" s="82"/>
      <c r="L76" s="82"/>
      <c r="M76" s="93"/>
      <c r="N76" s="81"/>
      <c r="O76" s="82"/>
      <c r="P76" s="82"/>
      <c r="Q76" s="93"/>
      <c r="R76" s="81"/>
      <c r="S76" s="82"/>
      <c r="T76" s="82"/>
      <c r="U76" s="322"/>
      <c r="V76" s="323" t="s">
        <v>74</v>
      </c>
      <c r="W76" s="83"/>
      <c r="X76" s="83"/>
      <c r="Y76" s="83"/>
      <c r="Z76" s="83"/>
      <c r="AA76" s="83"/>
      <c r="AB76" s="326"/>
    </row>
    <row r="77" ht="15" hidden="1" spans="1:28">
      <c r="A77" s="42">
        <v>26</v>
      </c>
      <c r="B77" s="300">
        <f>'INPUT DATA'!B78:D78</f>
        <v>0</v>
      </c>
      <c r="C77" s="107"/>
      <c r="D77" s="107"/>
      <c r="E77" s="108"/>
      <c r="F77" s="81"/>
      <c r="G77" s="82"/>
      <c r="H77" s="82"/>
      <c r="I77" s="93"/>
      <c r="J77" s="81"/>
      <c r="K77" s="82"/>
      <c r="L77" s="82"/>
      <c r="M77" s="93"/>
      <c r="N77" s="81"/>
      <c r="O77" s="82"/>
      <c r="P77" s="82"/>
      <c r="Q77" s="93"/>
      <c r="R77" s="81"/>
      <c r="S77" s="82"/>
      <c r="T77" s="82"/>
      <c r="U77" s="322"/>
      <c r="V77" s="323" t="s">
        <v>74</v>
      </c>
      <c r="W77" s="83"/>
      <c r="X77" s="83"/>
      <c r="Y77" s="83"/>
      <c r="Z77" s="83"/>
      <c r="AA77" s="83"/>
      <c r="AB77" s="326"/>
    </row>
    <row r="78" ht="15" hidden="1" spans="1:28">
      <c r="A78" s="42">
        <v>27</v>
      </c>
      <c r="B78" s="300">
        <f>'INPUT DATA'!B79:D79</f>
        <v>0</v>
      </c>
      <c r="C78" s="107"/>
      <c r="D78" s="107"/>
      <c r="E78" s="108"/>
      <c r="F78" s="81"/>
      <c r="G78" s="82"/>
      <c r="H78" s="82"/>
      <c r="I78" s="93"/>
      <c r="J78" s="81"/>
      <c r="K78" s="82"/>
      <c r="L78" s="82"/>
      <c r="M78" s="93"/>
      <c r="N78" s="81"/>
      <c r="O78" s="82"/>
      <c r="P78" s="82"/>
      <c r="Q78" s="93"/>
      <c r="R78" s="81"/>
      <c r="S78" s="82"/>
      <c r="T78" s="82"/>
      <c r="U78" s="322"/>
      <c r="V78" s="323" t="s">
        <v>74</v>
      </c>
      <c r="W78" s="83"/>
      <c r="X78" s="83"/>
      <c r="Y78" s="83"/>
      <c r="Z78" s="83"/>
      <c r="AA78" s="83"/>
      <c r="AB78" s="326"/>
    </row>
    <row r="79" ht="15" hidden="1" spans="1:28">
      <c r="A79" s="42">
        <v>28</v>
      </c>
      <c r="B79" s="300">
        <f>'INPUT DATA'!B80:D80</f>
        <v>0</v>
      </c>
      <c r="C79" s="107"/>
      <c r="D79" s="107"/>
      <c r="E79" s="108"/>
      <c r="F79" s="81"/>
      <c r="G79" s="82"/>
      <c r="H79" s="82"/>
      <c r="I79" s="93"/>
      <c r="J79" s="81"/>
      <c r="K79" s="82"/>
      <c r="L79" s="82"/>
      <c r="M79" s="93"/>
      <c r="N79" s="81"/>
      <c r="O79" s="82"/>
      <c r="P79" s="82"/>
      <c r="Q79" s="93"/>
      <c r="R79" s="81"/>
      <c r="S79" s="82"/>
      <c r="T79" s="82"/>
      <c r="U79" s="322"/>
      <c r="V79" s="323" t="s">
        <v>74</v>
      </c>
      <c r="W79" s="83"/>
      <c r="X79" s="83"/>
      <c r="Y79" s="83"/>
      <c r="Z79" s="83"/>
      <c r="AA79" s="83"/>
      <c r="AB79" s="326"/>
    </row>
    <row r="80" ht="15" hidden="1" spans="1:28">
      <c r="A80" s="42">
        <v>29</v>
      </c>
      <c r="B80" s="300">
        <f>'INPUT DATA'!B81:D81</f>
        <v>0</v>
      </c>
      <c r="C80" s="107"/>
      <c r="D80" s="107"/>
      <c r="E80" s="108"/>
      <c r="F80" s="81"/>
      <c r="G80" s="82"/>
      <c r="H80" s="82"/>
      <c r="I80" s="93"/>
      <c r="J80" s="81"/>
      <c r="K80" s="82"/>
      <c r="L80" s="82"/>
      <c r="M80" s="93"/>
      <c r="N80" s="81"/>
      <c r="O80" s="82"/>
      <c r="P80" s="82"/>
      <c r="Q80" s="93"/>
      <c r="R80" s="81"/>
      <c r="S80" s="82"/>
      <c r="T80" s="82"/>
      <c r="U80" s="322"/>
      <c r="V80" s="323" t="s">
        <v>74</v>
      </c>
      <c r="W80" s="83"/>
      <c r="X80" s="83"/>
      <c r="Y80" s="83"/>
      <c r="Z80" s="83"/>
      <c r="AA80" s="83"/>
      <c r="AB80" s="326"/>
    </row>
    <row r="81" ht="15" hidden="1" spans="1:28">
      <c r="A81" s="42">
        <v>30</v>
      </c>
      <c r="B81" s="336">
        <f>'INPUT DATA'!B82:D82</f>
        <v>0</v>
      </c>
      <c r="C81" s="107"/>
      <c r="D81" s="107"/>
      <c r="E81" s="108"/>
      <c r="F81" s="81"/>
      <c r="G81" s="82"/>
      <c r="H81" s="82"/>
      <c r="I81" s="93"/>
      <c r="J81" s="81"/>
      <c r="K81" s="82"/>
      <c r="L81" s="82"/>
      <c r="M81" s="93"/>
      <c r="N81" s="81"/>
      <c r="O81" s="82"/>
      <c r="P81" s="82"/>
      <c r="Q81" s="93"/>
      <c r="R81" s="81"/>
      <c r="S81" s="82"/>
      <c r="T81" s="82"/>
      <c r="U81" s="322"/>
      <c r="V81" s="323" t="s">
        <v>74</v>
      </c>
      <c r="W81" s="83"/>
      <c r="X81" s="83"/>
      <c r="Y81" s="83"/>
      <c r="Z81" s="83"/>
      <c r="AA81" s="83"/>
      <c r="AB81" s="326"/>
    </row>
    <row r="82" ht="15" hidden="1" spans="1:28">
      <c r="A82" s="42">
        <v>31</v>
      </c>
      <c r="B82" s="300">
        <f>'INPUT DATA'!B83:D83</f>
        <v>0</v>
      </c>
      <c r="C82" s="107"/>
      <c r="D82" s="107"/>
      <c r="E82" s="108"/>
      <c r="F82" s="81"/>
      <c r="G82" s="82"/>
      <c r="H82" s="82"/>
      <c r="I82" s="93"/>
      <c r="J82" s="81"/>
      <c r="K82" s="82"/>
      <c r="L82" s="82"/>
      <c r="M82" s="93"/>
      <c r="N82" s="81"/>
      <c r="O82" s="82"/>
      <c r="P82" s="82"/>
      <c r="Q82" s="93"/>
      <c r="R82" s="81"/>
      <c r="S82" s="82"/>
      <c r="T82" s="82"/>
      <c r="U82" s="322"/>
      <c r="V82" s="323" t="s">
        <v>74</v>
      </c>
      <c r="W82" s="83"/>
      <c r="X82" s="83"/>
      <c r="Y82" s="83"/>
      <c r="Z82" s="83"/>
      <c r="AA82" s="83"/>
      <c r="AB82" s="326"/>
    </row>
    <row r="83" ht="15" hidden="1" spans="1:28">
      <c r="A83" s="42">
        <v>32</v>
      </c>
      <c r="B83" s="336">
        <f>'INPUT DATA'!B84:D84</f>
        <v>0</v>
      </c>
      <c r="C83" s="107"/>
      <c r="D83" s="107"/>
      <c r="E83" s="108"/>
      <c r="F83" s="81"/>
      <c r="G83" s="82"/>
      <c r="H83" s="82"/>
      <c r="I83" s="93"/>
      <c r="J83" s="81"/>
      <c r="K83" s="82"/>
      <c r="L83" s="82"/>
      <c r="M83" s="93"/>
      <c r="N83" s="81"/>
      <c r="O83" s="82"/>
      <c r="P83" s="82"/>
      <c r="Q83" s="93"/>
      <c r="R83" s="81"/>
      <c r="S83" s="82"/>
      <c r="T83" s="82"/>
      <c r="U83" s="322"/>
      <c r="V83" s="323" t="s">
        <v>74</v>
      </c>
      <c r="W83" s="83"/>
      <c r="X83" s="83"/>
      <c r="Y83" s="83"/>
      <c r="Z83" s="83"/>
      <c r="AA83" s="83"/>
      <c r="AB83" s="326"/>
    </row>
    <row r="84" ht="15" hidden="1" spans="1:28">
      <c r="A84" s="42">
        <v>33</v>
      </c>
      <c r="B84" s="300">
        <f>'INPUT DATA'!B85:D85</f>
        <v>0</v>
      </c>
      <c r="C84" s="107"/>
      <c r="D84" s="107"/>
      <c r="E84" s="108"/>
      <c r="F84" s="81"/>
      <c r="G84" s="82"/>
      <c r="H84" s="82"/>
      <c r="I84" s="93"/>
      <c r="J84" s="81"/>
      <c r="K84" s="82"/>
      <c r="L84" s="82"/>
      <c r="M84" s="93"/>
      <c r="N84" s="81"/>
      <c r="O84" s="82"/>
      <c r="P84" s="82"/>
      <c r="Q84" s="93"/>
      <c r="R84" s="81"/>
      <c r="S84" s="82"/>
      <c r="T84" s="82"/>
      <c r="U84" s="322"/>
      <c r="V84" s="323" t="s">
        <v>74</v>
      </c>
      <c r="W84" s="83"/>
      <c r="X84" s="83"/>
      <c r="Y84" s="83"/>
      <c r="Z84" s="83"/>
      <c r="AA84" s="83"/>
      <c r="AB84" s="326"/>
    </row>
    <row r="85" ht="15" hidden="1" spans="1:28">
      <c r="A85" s="42">
        <v>34</v>
      </c>
      <c r="B85" s="300">
        <f>'INPUT DATA'!B86:D86</f>
        <v>0</v>
      </c>
      <c r="C85" s="107"/>
      <c r="D85" s="107"/>
      <c r="E85" s="108"/>
      <c r="F85" s="81"/>
      <c r="G85" s="82"/>
      <c r="H85" s="82"/>
      <c r="I85" s="93"/>
      <c r="J85" s="81"/>
      <c r="K85" s="82"/>
      <c r="L85" s="82"/>
      <c r="M85" s="93"/>
      <c r="N85" s="81"/>
      <c r="O85" s="82"/>
      <c r="P85" s="82"/>
      <c r="Q85" s="93"/>
      <c r="R85" s="81"/>
      <c r="S85" s="82"/>
      <c r="T85" s="82"/>
      <c r="U85" s="322"/>
      <c r="V85" s="323" t="s">
        <v>74</v>
      </c>
      <c r="W85" s="83"/>
      <c r="X85" s="83"/>
      <c r="Y85" s="83"/>
      <c r="Z85" s="83"/>
      <c r="AA85" s="83"/>
      <c r="AB85" s="326"/>
    </row>
    <row r="86" ht="15" hidden="1" spans="1:28">
      <c r="A86" s="42">
        <v>35</v>
      </c>
      <c r="B86" s="300">
        <f>'INPUT DATA'!B87:D87</f>
        <v>0</v>
      </c>
      <c r="C86" s="107"/>
      <c r="D86" s="107"/>
      <c r="E86" s="108"/>
      <c r="F86" s="81"/>
      <c r="G86" s="82"/>
      <c r="H86" s="82"/>
      <c r="I86" s="93"/>
      <c r="J86" s="81"/>
      <c r="K86" s="82"/>
      <c r="L86" s="82"/>
      <c r="M86" s="93"/>
      <c r="N86" s="81"/>
      <c r="O86" s="82"/>
      <c r="P86" s="82"/>
      <c r="Q86" s="93"/>
      <c r="R86" s="81"/>
      <c r="S86" s="82"/>
      <c r="T86" s="82"/>
      <c r="U86" s="322"/>
      <c r="V86" s="323" t="s">
        <v>74</v>
      </c>
      <c r="W86" s="83"/>
      <c r="X86" s="83"/>
      <c r="Y86" s="83"/>
      <c r="Z86" s="83"/>
      <c r="AA86" s="83"/>
      <c r="AB86" s="326"/>
    </row>
    <row r="87" hidden="1"/>
    <row r="88" hidden="1"/>
  </sheetData>
  <mergeCells count="414">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AB9"/>
    <mergeCell ref="F10:I10"/>
    <mergeCell ref="J10:M10"/>
    <mergeCell ref="N10:Q10"/>
    <mergeCell ref="R10:U10"/>
    <mergeCell ref="V10:AB10"/>
    <mergeCell ref="B11:E11"/>
    <mergeCell ref="F11:I11"/>
    <mergeCell ref="J11:M11"/>
    <mergeCell ref="N11:Q11"/>
    <mergeCell ref="R11:U11"/>
    <mergeCell ref="V11:AB11"/>
    <mergeCell ref="F12:I12"/>
    <mergeCell ref="J12:M12"/>
    <mergeCell ref="N12:Q12"/>
    <mergeCell ref="R12:U12"/>
    <mergeCell ref="V12:AB12"/>
    <mergeCell ref="F13:I13"/>
    <mergeCell ref="J13:M13"/>
    <mergeCell ref="N13:Q13"/>
    <mergeCell ref="R13:U13"/>
    <mergeCell ref="V13:AB13"/>
    <mergeCell ref="F14:I14"/>
    <mergeCell ref="J14:M14"/>
    <mergeCell ref="N14:Q14"/>
    <mergeCell ref="R14:U14"/>
    <mergeCell ref="V14:AB14"/>
    <mergeCell ref="F15:I15"/>
    <mergeCell ref="J15:M15"/>
    <mergeCell ref="N15:Q15"/>
    <mergeCell ref="R15:U15"/>
    <mergeCell ref="V15:AB15"/>
    <mergeCell ref="F16:I16"/>
    <mergeCell ref="J16:M16"/>
    <mergeCell ref="N16:Q16"/>
    <mergeCell ref="R16:U16"/>
    <mergeCell ref="V16:AB16"/>
    <mergeCell ref="F17:I17"/>
    <mergeCell ref="J17:M17"/>
    <mergeCell ref="N17:Q17"/>
    <mergeCell ref="R17:U17"/>
    <mergeCell ref="V17:AB17"/>
    <mergeCell ref="F18:I18"/>
    <mergeCell ref="J18:M18"/>
    <mergeCell ref="N18:Q18"/>
    <mergeCell ref="R18:U18"/>
    <mergeCell ref="V18:AB18"/>
    <mergeCell ref="F19:I19"/>
    <mergeCell ref="J19:M19"/>
    <mergeCell ref="N19:Q19"/>
    <mergeCell ref="R19:U19"/>
    <mergeCell ref="V19:AB19"/>
    <mergeCell ref="F20:I20"/>
    <mergeCell ref="J20:M20"/>
    <mergeCell ref="N20:Q20"/>
    <mergeCell ref="R20:U20"/>
    <mergeCell ref="V20:AB20"/>
    <mergeCell ref="F21:I21"/>
    <mergeCell ref="J21:M21"/>
    <mergeCell ref="N21:Q21"/>
    <mergeCell ref="R21:U21"/>
    <mergeCell ref="V21:AB21"/>
    <mergeCell ref="F22:I22"/>
    <mergeCell ref="J22:M22"/>
    <mergeCell ref="N22:Q22"/>
    <mergeCell ref="R22:U22"/>
    <mergeCell ref="V22:AB22"/>
    <mergeCell ref="F23:I23"/>
    <mergeCell ref="J23:M23"/>
    <mergeCell ref="N23:Q23"/>
    <mergeCell ref="R23:U23"/>
    <mergeCell ref="V23:AB23"/>
    <mergeCell ref="F24:I24"/>
    <mergeCell ref="J24:M24"/>
    <mergeCell ref="N24:Q24"/>
    <mergeCell ref="R24:U24"/>
    <mergeCell ref="V24:AB24"/>
    <mergeCell ref="F25:I25"/>
    <mergeCell ref="J25:M25"/>
    <mergeCell ref="N25:Q25"/>
    <mergeCell ref="R25:U25"/>
    <mergeCell ref="V25:AB25"/>
    <mergeCell ref="F26:I26"/>
    <mergeCell ref="J26:M26"/>
    <mergeCell ref="N26:Q26"/>
    <mergeCell ref="R26:U26"/>
    <mergeCell ref="V26:AB26"/>
    <mergeCell ref="F27:I27"/>
    <mergeCell ref="J27:M27"/>
    <mergeCell ref="N27:Q27"/>
    <mergeCell ref="R27:U27"/>
    <mergeCell ref="V27:AB27"/>
    <mergeCell ref="F28:I28"/>
    <mergeCell ref="J28:M28"/>
    <mergeCell ref="N28:Q28"/>
    <mergeCell ref="R28:U28"/>
    <mergeCell ref="V28:AB28"/>
    <mergeCell ref="F29:I29"/>
    <mergeCell ref="J29:M29"/>
    <mergeCell ref="N29:Q29"/>
    <mergeCell ref="R29:U29"/>
    <mergeCell ref="V29:AB29"/>
    <mergeCell ref="F30:I30"/>
    <mergeCell ref="J30:M30"/>
    <mergeCell ref="N30:Q30"/>
    <mergeCell ref="R30:U30"/>
    <mergeCell ref="V30:AB30"/>
    <mergeCell ref="F31:I31"/>
    <mergeCell ref="J31:M31"/>
    <mergeCell ref="N31:Q31"/>
    <mergeCell ref="R31:U31"/>
    <mergeCell ref="V31:AB31"/>
    <mergeCell ref="B32:C32"/>
    <mergeCell ref="F32:I32"/>
    <mergeCell ref="J32:M32"/>
    <mergeCell ref="N32:Q32"/>
    <mergeCell ref="R32:U32"/>
    <mergeCell ref="V32:AB32"/>
    <mergeCell ref="F33:I33"/>
    <mergeCell ref="J33:M33"/>
    <mergeCell ref="N33:Q33"/>
    <mergeCell ref="R33:U33"/>
    <mergeCell ref="V33:AB33"/>
    <mergeCell ref="F34:I34"/>
    <mergeCell ref="J34:M34"/>
    <mergeCell ref="N34:Q34"/>
    <mergeCell ref="R34:U34"/>
    <mergeCell ref="V34:AB34"/>
    <mergeCell ref="F35:I35"/>
    <mergeCell ref="J35:M35"/>
    <mergeCell ref="N35:Q35"/>
    <mergeCell ref="R35:U35"/>
    <mergeCell ref="V35:AB35"/>
    <mergeCell ref="F36:I36"/>
    <mergeCell ref="J36:M36"/>
    <mergeCell ref="N36:Q36"/>
    <mergeCell ref="R36:U36"/>
    <mergeCell ref="V36:AB36"/>
    <mergeCell ref="F37:I37"/>
    <mergeCell ref="J37:M37"/>
    <mergeCell ref="N37:Q37"/>
    <mergeCell ref="R37:U37"/>
    <mergeCell ref="V37:AB37"/>
    <mergeCell ref="F38:I38"/>
    <mergeCell ref="J38:M38"/>
    <mergeCell ref="N38:Q38"/>
    <mergeCell ref="R38:U38"/>
    <mergeCell ref="V38:AB38"/>
    <mergeCell ref="F39:I39"/>
    <mergeCell ref="J39:M39"/>
    <mergeCell ref="N39:Q39"/>
    <mergeCell ref="R39:U39"/>
    <mergeCell ref="V39:AB39"/>
    <mergeCell ref="F40:I40"/>
    <mergeCell ref="J40:M40"/>
    <mergeCell ref="N40:Q40"/>
    <mergeCell ref="R40:U40"/>
    <mergeCell ref="V40:AB40"/>
    <mergeCell ref="F41:I41"/>
    <mergeCell ref="J41:M41"/>
    <mergeCell ref="N41:Q41"/>
    <mergeCell ref="R41:U41"/>
    <mergeCell ref="V41:AB41"/>
    <mergeCell ref="F42:I42"/>
    <mergeCell ref="J42:M42"/>
    <mergeCell ref="N42:Q42"/>
    <mergeCell ref="R42:U42"/>
    <mergeCell ref="V42:AB42"/>
    <mergeCell ref="F43:I43"/>
    <mergeCell ref="J43:M43"/>
    <mergeCell ref="N43:Q43"/>
    <mergeCell ref="R43:U43"/>
    <mergeCell ref="V43:AB43"/>
    <mergeCell ref="F44:I44"/>
    <mergeCell ref="J44:M44"/>
    <mergeCell ref="N44:Q44"/>
    <mergeCell ref="R44:U44"/>
    <mergeCell ref="V44:AB44"/>
    <mergeCell ref="F45:I45"/>
    <mergeCell ref="J45:M45"/>
    <mergeCell ref="N45:Q45"/>
    <mergeCell ref="R45:U45"/>
    <mergeCell ref="V45:AB45"/>
    <mergeCell ref="F46:I46"/>
    <mergeCell ref="J46:M46"/>
    <mergeCell ref="N46:Q46"/>
    <mergeCell ref="R46:U46"/>
    <mergeCell ref="V46:AB46"/>
    <mergeCell ref="F47:I47"/>
    <mergeCell ref="J47:M47"/>
    <mergeCell ref="N47:Q47"/>
    <mergeCell ref="R47:U47"/>
    <mergeCell ref="V47:AB47"/>
    <mergeCell ref="F48:I48"/>
    <mergeCell ref="J48:M48"/>
    <mergeCell ref="N48:Q48"/>
    <mergeCell ref="R48:U48"/>
    <mergeCell ref="V48:AB48"/>
    <mergeCell ref="F49:I49"/>
    <mergeCell ref="J49:M49"/>
    <mergeCell ref="N49:Q49"/>
    <mergeCell ref="R49:U49"/>
    <mergeCell ref="V49:AB49"/>
    <mergeCell ref="F50:I50"/>
    <mergeCell ref="J50:M50"/>
    <mergeCell ref="N50:Q50"/>
    <mergeCell ref="R50:U50"/>
    <mergeCell ref="V50:AB50"/>
    <mergeCell ref="B51:E51"/>
    <mergeCell ref="F51:I51"/>
    <mergeCell ref="J51:M51"/>
    <mergeCell ref="N51:Q51"/>
    <mergeCell ref="R51:U51"/>
    <mergeCell ref="V51:AB51"/>
    <mergeCell ref="F52:I52"/>
    <mergeCell ref="J52:M52"/>
    <mergeCell ref="N52:Q52"/>
    <mergeCell ref="R52:U52"/>
    <mergeCell ref="V52:AB52"/>
    <mergeCell ref="F53:I53"/>
    <mergeCell ref="J53:M53"/>
    <mergeCell ref="N53:Q53"/>
    <mergeCell ref="R53:U53"/>
    <mergeCell ref="V53:AB53"/>
    <mergeCell ref="F54:I54"/>
    <mergeCell ref="J54:M54"/>
    <mergeCell ref="N54:Q54"/>
    <mergeCell ref="R54:U54"/>
    <mergeCell ref="V54:AB54"/>
    <mergeCell ref="F55:I55"/>
    <mergeCell ref="J55:M55"/>
    <mergeCell ref="N55:Q55"/>
    <mergeCell ref="R55:U55"/>
    <mergeCell ref="V55:AB55"/>
    <mergeCell ref="F56:I56"/>
    <mergeCell ref="J56:M56"/>
    <mergeCell ref="N56:Q56"/>
    <mergeCell ref="R56:U56"/>
    <mergeCell ref="V56:AB56"/>
    <mergeCell ref="F57:I57"/>
    <mergeCell ref="J57:M57"/>
    <mergeCell ref="N57:Q57"/>
    <mergeCell ref="R57:U57"/>
    <mergeCell ref="V57:AB57"/>
    <mergeCell ref="F58:I58"/>
    <mergeCell ref="J58:M58"/>
    <mergeCell ref="N58:Q58"/>
    <mergeCell ref="R58:U58"/>
    <mergeCell ref="V58:AB58"/>
    <mergeCell ref="F59:I59"/>
    <mergeCell ref="J59:M59"/>
    <mergeCell ref="N59:Q59"/>
    <mergeCell ref="R59:U59"/>
    <mergeCell ref="V59:AB59"/>
    <mergeCell ref="F60:I60"/>
    <mergeCell ref="J60:M60"/>
    <mergeCell ref="N60:Q60"/>
    <mergeCell ref="R60:U60"/>
    <mergeCell ref="V60:AB60"/>
    <mergeCell ref="F61:I61"/>
    <mergeCell ref="J61:M61"/>
    <mergeCell ref="N61:Q61"/>
    <mergeCell ref="R61:U61"/>
    <mergeCell ref="V61:AB61"/>
    <mergeCell ref="F62:I62"/>
    <mergeCell ref="J62:M62"/>
    <mergeCell ref="N62:Q62"/>
    <mergeCell ref="R62:U62"/>
    <mergeCell ref="V62:AB62"/>
    <mergeCell ref="F63:I63"/>
    <mergeCell ref="J63:M63"/>
    <mergeCell ref="N63:Q63"/>
    <mergeCell ref="R63:U63"/>
    <mergeCell ref="V63:AB63"/>
    <mergeCell ref="F64:I64"/>
    <mergeCell ref="J64:M64"/>
    <mergeCell ref="N64:Q64"/>
    <mergeCell ref="R64:U64"/>
    <mergeCell ref="V64:AB64"/>
    <mergeCell ref="F65:I65"/>
    <mergeCell ref="J65:M65"/>
    <mergeCell ref="N65:Q65"/>
    <mergeCell ref="R65:U65"/>
    <mergeCell ref="V65:AB65"/>
    <mergeCell ref="F66:I66"/>
    <mergeCell ref="J66:M66"/>
    <mergeCell ref="N66:Q66"/>
    <mergeCell ref="R66:U66"/>
    <mergeCell ref="V66:AB66"/>
    <mergeCell ref="F67:I67"/>
    <mergeCell ref="J67:M67"/>
    <mergeCell ref="N67:Q67"/>
    <mergeCell ref="R67:U67"/>
    <mergeCell ref="V67:AB67"/>
    <mergeCell ref="F68:I68"/>
    <mergeCell ref="J68:M68"/>
    <mergeCell ref="N68:Q68"/>
    <mergeCell ref="R68:U68"/>
    <mergeCell ref="V68:AB68"/>
    <mergeCell ref="F69:I69"/>
    <mergeCell ref="J69:M69"/>
    <mergeCell ref="N69:Q69"/>
    <mergeCell ref="R69:U69"/>
    <mergeCell ref="V69:AB69"/>
    <mergeCell ref="F70:I70"/>
    <mergeCell ref="J70:M70"/>
    <mergeCell ref="N70:Q70"/>
    <mergeCell ref="R70:U70"/>
    <mergeCell ref="V70:AB70"/>
    <mergeCell ref="F71:I71"/>
    <mergeCell ref="J71:M71"/>
    <mergeCell ref="N71:Q71"/>
    <mergeCell ref="R71:U71"/>
    <mergeCell ref="V71:AB71"/>
    <mergeCell ref="F72:I72"/>
    <mergeCell ref="J72:M72"/>
    <mergeCell ref="N72:Q72"/>
    <mergeCell ref="R72:U72"/>
    <mergeCell ref="V72:AB72"/>
    <mergeCell ref="F73:I73"/>
    <mergeCell ref="J73:M73"/>
    <mergeCell ref="N73:Q73"/>
    <mergeCell ref="R73:U73"/>
    <mergeCell ref="V73:AB73"/>
    <mergeCell ref="F74:I74"/>
    <mergeCell ref="J74:M74"/>
    <mergeCell ref="N74:Q74"/>
    <mergeCell ref="R74:U74"/>
    <mergeCell ref="V74:AB74"/>
    <mergeCell ref="F75:I75"/>
    <mergeCell ref="J75:M75"/>
    <mergeCell ref="N75:Q75"/>
    <mergeCell ref="R75:U75"/>
    <mergeCell ref="V75:AB75"/>
    <mergeCell ref="F76:I76"/>
    <mergeCell ref="J76:M76"/>
    <mergeCell ref="N76:Q76"/>
    <mergeCell ref="R76:U76"/>
    <mergeCell ref="V76:AB76"/>
    <mergeCell ref="F77:I77"/>
    <mergeCell ref="J77:M77"/>
    <mergeCell ref="N77:Q77"/>
    <mergeCell ref="R77:U77"/>
    <mergeCell ref="V77:AB77"/>
    <mergeCell ref="F78:I78"/>
    <mergeCell ref="J78:M78"/>
    <mergeCell ref="N78:Q78"/>
    <mergeCell ref="R78:U78"/>
    <mergeCell ref="V78:AB78"/>
    <mergeCell ref="F79:I79"/>
    <mergeCell ref="J79:M79"/>
    <mergeCell ref="N79:Q79"/>
    <mergeCell ref="R79:U79"/>
    <mergeCell ref="V79:AB79"/>
    <mergeCell ref="F80:I80"/>
    <mergeCell ref="J80:M80"/>
    <mergeCell ref="N80:Q80"/>
    <mergeCell ref="R80:U80"/>
    <mergeCell ref="V80:AB80"/>
    <mergeCell ref="F81:I81"/>
    <mergeCell ref="J81:M81"/>
    <mergeCell ref="N81:Q81"/>
    <mergeCell ref="R81:U81"/>
    <mergeCell ref="V81:AB81"/>
    <mergeCell ref="F82:I82"/>
    <mergeCell ref="J82:M82"/>
    <mergeCell ref="N82:Q82"/>
    <mergeCell ref="R82:U82"/>
    <mergeCell ref="V82:AB82"/>
    <mergeCell ref="F83:I83"/>
    <mergeCell ref="J83:M83"/>
    <mergeCell ref="N83:Q83"/>
    <mergeCell ref="R83:U83"/>
    <mergeCell ref="V83:AB83"/>
    <mergeCell ref="F84:I84"/>
    <mergeCell ref="J84:M84"/>
    <mergeCell ref="N84:Q84"/>
    <mergeCell ref="R84:U84"/>
    <mergeCell ref="V84:AB84"/>
    <mergeCell ref="F85:I85"/>
    <mergeCell ref="J85:M85"/>
    <mergeCell ref="N85:Q85"/>
    <mergeCell ref="R85:U85"/>
    <mergeCell ref="V85:AB85"/>
    <mergeCell ref="F86:I86"/>
    <mergeCell ref="J86:M86"/>
    <mergeCell ref="N86:Q86"/>
    <mergeCell ref="R86:U86"/>
    <mergeCell ref="V86:AB86"/>
    <mergeCell ref="A7:A10"/>
    <mergeCell ref="B7:E10"/>
    <mergeCell ref="A1:AB2"/>
  </mergeCells>
  <dataValidations count="3">
    <dataValidation allowBlank="1" showErrorMessage="1" prompt="EITHER WRITE YOUR OWN HPS OR EMPTY" sqref="F9:I9 J9:M9 N9:Q9 R9:U9 V9 F10:V10"/>
    <dataValidation allowBlank="1" showErrorMessage="1" sqref="A11:AB11 A51:I51 J51:M51 N51:V51 V15:V16 F15:I16 N15:Q16 R15:U16 F77:V86 F12:I14 F52:I76 J52:M76 N12:V14 F17:I50 N17:V50 N52:V76 J12:M50"/>
    <dataValidation allowBlank="1" showInputMessage="1" showErrorMessage="1" prompt="Do not type name of learners here. Go to INPUT DATA sheet." sqref="B12:B31 B33:B50 B52:B86"/>
  </dataValidations>
  <pageMargins left="0.2" right="0.2" top="0.25" bottom="0.25" header="0.3" footer="0.3"/>
  <pageSetup paperSize="9" scale="70"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AB87"/>
  <sheetViews>
    <sheetView zoomScale="96" zoomScaleNormal="96" topLeftCell="A27" workbookViewId="0">
      <selection activeCell="B32" sqref="B32"/>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293" t="s">
        <v>62</v>
      </c>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row>
    <row r="2" spans="1:28">
      <c r="A2" s="293"/>
      <c r="B2" s="293"/>
      <c r="C2" s="293"/>
      <c r="D2" s="293"/>
      <c r="E2" s="293"/>
      <c r="F2" s="293"/>
      <c r="G2" s="293"/>
      <c r="H2" s="293"/>
      <c r="I2" s="293"/>
      <c r="J2" s="293"/>
      <c r="K2" s="293"/>
      <c r="L2" s="293"/>
      <c r="M2" s="293"/>
      <c r="N2" s="293"/>
      <c r="O2" s="293"/>
      <c r="P2" s="293"/>
      <c r="Q2" s="293"/>
      <c r="R2" s="293"/>
      <c r="S2" s="293"/>
      <c r="T2" s="293"/>
      <c r="U2" s="293"/>
      <c r="V2" s="293"/>
      <c r="W2" s="293"/>
      <c r="X2" s="293"/>
      <c r="Y2" s="293"/>
      <c r="Z2" s="293"/>
      <c r="AA2" s="293"/>
      <c r="AB2" s="293"/>
    </row>
    <row r="3" ht="27" spans="1:28">
      <c r="A3" s="293"/>
      <c r="B3" s="293"/>
      <c r="C3" s="293"/>
      <c r="D3" s="293"/>
      <c r="E3" s="293"/>
      <c r="F3" s="293"/>
      <c r="G3" s="293"/>
      <c r="H3" s="293"/>
      <c r="I3" s="293"/>
      <c r="J3" s="293"/>
      <c r="K3" s="293"/>
      <c r="L3" s="293"/>
      <c r="M3" s="293"/>
      <c r="N3" s="293"/>
      <c r="O3" s="293"/>
      <c r="P3" s="293"/>
      <c r="Q3" s="293"/>
      <c r="R3" s="293"/>
      <c r="S3" s="293"/>
      <c r="T3" s="293"/>
      <c r="U3" s="293"/>
      <c r="V3" s="293"/>
      <c r="W3" s="293"/>
      <c r="X3" s="293"/>
      <c r="Y3" s="293"/>
      <c r="Z3" s="293"/>
      <c r="AA3" s="293"/>
      <c r="AB3" s="293"/>
    </row>
    <row r="4" spans="1:28">
      <c r="A4" s="294"/>
      <c r="B4" s="294"/>
      <c r="C4" s="294"/>
      <c r="D4" s="294"/>
      <c r="E4" s="294"/>
      <c r="F4" s="294"/>
      <c r="G4" s="294"/>
      <c r="H4" s="294"/>
      <c r="I4" s="294"/>
      <c r="J4" s="294"/>
      <c r="K4" s="294"/>
      <c r="L4" s="294"/>
      <c r="M4" s="294"/>
      <c r="N4" s="294"/>
      <c r="O4" s="294"/>
      <c r="P4" s="294"/>
      <c r="Q4" s="294"/>
      <c r="R4" s="294"/>
      <c r="S4" s="294"/>
      <c r="T4" s="294"/>
      <c r="U4" s="294"/>
      <c r="V4" s="294"/>
      <c r="W4" s="294"/>
      <c r="X4" s="294"/>
      <c r="Y4" s="294"/>
      <c r="Z4" s="294"/>
      <c r="AA4" s="294"/>
      <c r="AB4" s="294"/>
    </row>
    <row r="5" ht="17.4" spans="1:28">
      <c r="A5" s="3"/>
      <c r="B5" s="4"/>
      <c r="C5" s="295" t="s">
        <v>1</v>
      </c>
      <c r="D5" s="295"/>
      <c r="E5" s="295"/>
      <c r="F5" s="296"/>
      <c r="G5" s="297" t="s">
        <v>2</v>
      </c>
      <c r="H5" s="297"/>
      <c r="I5" s="297"/>
      <c r="J5" s="297"/>
      <c r="K5" s="56"/>
      <c r="L5" s="312" t="s">
        <v>3</v>
      </c>
      <c r="M5" s="312"/>
      <c r="N5" s="313"/>
      <c r="O5" s="298" t="s">
        <v>4</v>
      </c>
      <c r="P5" s="299"/>
      <c r="Q5" s="299"/>
      <c r="R5" s="316"/>
      <c r="S5" s="317"/>
      <c r="T5" s="317"/>
      <c r="U5" s="317"/>
      <c r="V5" s="317"/>
      <c r="W5" s="318"/>
      <c r="X5" s="318"/>
      <c r="Y5" s="318"/>
      <c r="Z5" s="318"/>
      <c r="AA5" s="318"/>
      <c r="AB5" s="318"/>
    </row>
    <row r="6" ht="18.15" spans="1:28">
      <c r="A6" s="3"/>
      <c r="B6" s="295" t="s">
        <v>5</v>
      </c>
      <c r="C6" s="295"/>
      <c r="D6" s="295"/>
      <c r="E6" s="295"/>
      <c r="F6" s="295"/>
      <c r="G6" s="298" t="s">
        <v>6</v>
      </c>
      <c r="H6" s="299"/>
      <c r="I6" s="299"/>
      <c r="J6" s="299"/>
      <c r="K6" s="299"/>
      <c r="L6" s="299"/>
      <c r="M6" s="299"/>
      <c r="N6" s="299"/>
      <c r="O6" s="299"/>
      <c r="P6" s="299"/>
      <c r="Q6" s="299"/>
      <c r="R6" s="316"/>
      <c r="S6" s="317" t="s">
        <v>7</v>
      </c>
      <c r="T6" s="317"/>
      <c r="U6" s="317"/>
      <c r="V6" s="317"/>
      <c r="W6" s="298">
        <v>316405</v>
      </c>
      <c r="X6" s="299"/>
      <c r="Y6" s="299"/>
      <c r="Z6" s="299"/>
      <c r="AA6" s="299"/>
      <c r="AB6" s="316"/>
    </row>
    <row r="7" ht="14.55" spans="1:28">
      <c r="A7" s="10"/>
      <c r="B7" s="11" t="s">
        <v>16</v>
      </c>
      <c r="C7" s="11"/>
      <c r="D7" s="11"/>
      <c r="E7" s="12"/>
      <c r="F7" s="13" t="s">
        <v>11</v>
      </c>
      <c r="G7" s="14"/>
      <c r="H7" s="14"/>
      <c r="I7" s="14"/>
      <c r="J7" s="14"/>
      <c r="K7" s="59" t="str">
        <f>'PE-HEALTH'!K7</f>
        <v>8 - ARIES</v>
      </c>
      <c r="L7" s="59"/>
      <c r="M7" s="59"/>
      <c r="N7" s="59"/>
      <c r="O7" s="59"/>
      <c r="P7" s="59"/>
      <c r="Q7" s="59"/>
      <c r="R7" s="78"/>
      <c r="S7" s="18" t="s">
        <v>64</v>
      </c>
      <c r="T7" s="19"/>
      <c r="U7" s="19"/>
      <c r="V7" s="19"/>
      <c r="W7" s="59" t="str">
        <f>'PE-HEALTH'!W7</f>
        <v>2025 - 2026</v>
      </c>
      <c r="X7" s="59"/>
      <c r="Y7" s="59"/>
      <c r="Z7" s="59"/>
      <c r="AA7" s="59"/>
      <c r="AB7" s="78"/>
    </row>
    <row r="8" ht="14.55" spans="1:28">
      <c r="A8" s="15"/>
      <c r="B8" s="16"/>
      <c r="C8" s="16"/>
      <c r="D8" s="16"/>
      <c r="E8" s="17"/>
      <c r="F8" s="18" t="s">
        <v>13</v>
      </c>
      <c r="G8" s="19"/>
      <c r="H8" s="19"/>
      <c r="I8" s="19"/>
      <c r="J8" s="19"/>
      <c r="K8" s="60" t="str">
        <f>'PE-HEALTH'!K8</f>
        <v>JUVELYN MATUTIS</v>
      </c>
      <c r="L8" s="60"/>
      <c r="M8" s="60"/>
      <c r="N8" s="60"/>
      <c r="O8" s="60"/>
      <c r="P8" s="60"/>
      <c r="Q8" s="60"/>
      <c r="R8" s="79"/>
      <c r="S8" s="18" t="s">
        <v>15</v>
      </c>
      <c r="T8" s="19"/>
      <c r="U8" s="19"/>
      <c r="V8" s="19"/>
      <c r="W8" s="59" t="s">
        <v>96</v>
      </c>
      <c r="X8" s="59"/>
      <c r="Y8" s="59"/>
      <c r="Z8" s="59"/>
      <c r="AA8" s="59"/>
      <c r="AB8" s="78"/>
    </row>
    <row r="9" ht="15.6" spans="1:28">
      <c r="A9" s="15"/>
      <c r="B9" s="16"/>
      <c r="C9" s="16"/>
      <c r="D9" s="16"/>
      <c r="E9" s="17"/>
      <c r="F9" s="20" t="s">
        <v>96</v>
      </c>
      <c r="G9" s="21"/>
      <c r="H9" s="21"/>
      <c r="I9" s="61"/>
      <c r="J9" s="20" t="s">
        <v>96</v>
      </c>
      <c r="K9" s="21"/>
      <c r="L9" s="21"/>
      <c r="M9" s="61"/>
      <c r="N9" s="20" t="s">
        <v>96</v>
      </c>
      <c r="O9" s="21"/>
      <c r="P9" s="21"/>
      <c r="Q9" s="61"/>
      <c r="R9" s="20" t="s">
        <v>96</v>
      </c>
      <c r="S9" s="21"/>
      <c r="T9" s="21"/>
      <c r="U9" s="61"/>
      <c r="V9" s="20" t="s">
        <v>96</v>
      </c>
      <c r="W9" s="21"/>
      <c r="X9" s="21"/>
      <c r="Y9" s="21"/>
      <c r="Z9" s="21"/>
      <c r="AA9" s="21"/>
      <c r="AB9" s="61"/>
    </row>
    <row r="10" ht="16.35" spans="1:28">
      <c r="A10" s="22"/>
      <c r="B10" s="23"/>
      <c r="C10" s="23"/>
      <c r="D10" s="23"/>
      <c r="E10" s="24"/>
      <c r="F10" s="25" t="s">
        <v>68</v>
      </c>
      <c r="G10" s="26"/>
      <c r="H10" s="26"/>
      <c r="I10" s="62"/>
      <c r="J10" s="25" t="s">
        <v>69</v>
      </c>
      <c r="K10" s="26"/>
      <c r="L10" s="26"/>
      <c r="M10" s="62"/>
      <c r="N10" s="25" t="s">
        <v>70</v>
      </c>
      <c r="O10" s="26"/>
      <c r="P10" s="26"/>
      <c r="Q10" s="62"/>
      <c r="R10" s="25" t="s">
        <v>71</v>
      </c>
      <c r="S10" s="26"/>
      <c r="T10" s="26"/>
      <c r="U10" s="62"/>
      <c r="V10" s="25" t="s">
        <v>92</v>
      </c>
      <c r="W10" s="26"/>
      <c r="X10" s="26"/>
      <c r="Y10" s="26"/>
      <c r="Z10" s="26"/>
      <c r="AA10" s="26"/>
      <c r="AB10" s="62"/>
    </row>
    <row r="11" ht="14.55" spans="1:28">
      <c r="A11" s="27"/>
      <c r="B11" s="28" t="s">
        <v>17</v>
      </c>
      <c r="C11" s="29"/>
      <c r="D11" s="29"/>
      <c r="E11" s="29"/>
      <c r="F11" s="30"/>
      <c r="G11" s="31"/>
      <c r="H11" s="31"/>
      <c r="I11" s="63"/>
      <c r="J11" s="31"/>
      <c r="K11" s="31"/>
      <c r="L11" s="31"/>
      <c r="M11" s="63"/>
      <c r="N11" s="27"/>
      <c r="O11" s="314"/>
      <c r="P11" s="314"/>
      <c r="Q11" s="319"/>
      <c r="R11" s="27"/>
      <c r="S11" s="314"/>
      <c r="T11" s="314"/>
      <c r="U11" s="319"/>
      <c r="V11" s="320"/>
      <c r="W11" s="321"/>
      <c r="X11" s="321"/>
      <c r="Y11" s="321"/>
      <c r="Z11" s="321"/>
      <c r="AA11" s="321"/>
      <c r="AB11" s="325"/>
    </row>
    <row r="12" ht="15" spans="1:28">
      <c r="A12" s="32">
        <v>1</v>
      </c>
      <c r="B12" s="300" t="str">
        <f>'INPUT DATA'!B12:D12</f>
        <v>ANUBLING, REGIE C.</v>
      </c>
      <c r="C12" s="301"/>
      <c r="D12" s="301"/>
      <c r="E12" s="301"/>
      <c r="F12" s="81"/>
      <c r="G12" s="82"/>
      <c r="H12" s="82"/>
      <c r="I12" s="93"/>
      <c r="J12" s="81"/>
      <c r="K12" s="82"/>
      <c r="L12" s="82"/>
      <c r="M12" s="93"/>
      <c r="N12" s="81"/>
      <c r="O12" s="82"/>
      <c r="P12" s="82"/>
      <c r="Q12" s="93"/>
      <c r="R12" s="81"/>
      <c r="S12" s="82"/>
      <c r="T12" s="82"/>
      <c r="U12" s="322"/>
      <c r="V12" s="323" t="str">
        <f>IF(OR(F12="",J12="",N12="",R12="",),"",IF(ISERROR(ROUND(AVERAGE(F12,J12,N12,R12),0)),"",ROUND(AVERAGE(F12,J12,N12,R12),0)))</f>
        <v/>
      </c>
      <c r="W12" s="83"/>
      <c r="X12" s="83"/>
      <c r="Y12" s="83"/>
      <c r="Z12" s="83"/>
      <c r="AA12" s="83"/>
      <c r="AB12" s="326"/>
    </row>
    <row r="13" ht="15" spans="1:28">
      <c r="A13" s="37">
        <v>2</v>
      </c>
      <c r="B13" s="300" t="str">
        <f>'INPUT DATA'!B13:D13</f>
        <v>BANGCOY, JOHN PAUL P.</v>
      </c>
      <c r="C13" s="302"/>
      <c r="D13" s="302"/>
      <c r="E13" s="302"/>
      <c r="F13" s="81"/>
      <c r="G13" s="82"/>
      <c r="H13" s="82"/>
      <c r="I13" s="93"/>
      <c r="J13" s="81"/>
      <c r="K13" s="82"/>
      <c r="L13" s="82"/>
      <c r="M13" s="93"/>
      <c r="N13" s="81"/>
      <c r="O13" s="82"/>
      <c r="P13" s="82"/>
      <c r="Q13" s="93"/>
      <c r="R13" s="81"/>
      <c r="S13" s="82"/>
      <c r="T13" s="82"/>
      <c r="U13" s="322"/>
      <c r="V13" s="323" t="str">
        <f>IF(OR(F13="",J13="",N13="",R13="",),"",IF(ISERROR(ROUND(AVERAGE(F13,J13,N13,R13),0)),"",ROUND(AVERAGE(F13,J13,N13,R13),0)))</f>
        <v/>
      </c>
      <c r="W13" s="83"/>
      <c r="X13" s="83"/>
      <c r="Y13" s="83"/>
      <c r="Z13" s="83"/>
      <c r="AA13" s="83"/>
      <c r="AB13" s="326"/>
    </row>
    <row r="14" ht="15" spans="1:28">
      <c r="A14" s="37">
        <v>3</v>
      </c>
      <c r="B14" s="300" t="str">
        <f>'INPUT DATA'!B14:D14</f>
        <v>BARRIENTOS, JOHN PAUL M.</v>
      </c>
      <c r="C14" s="302"/>
      <c r="D14" s="302"/>
      <c r="E14" s="302"/>
      <c r="F14" s="81"/>
      <c r="G14" s="82"/>
      <c r="H14" s="82"/>
      <c r="I14" s="93"/>
      <c r="J14" s="81"/>
      <c r="K14" s="82"/>
      <c r="L14" s="82"/>
      <c r="M14" s="93"/>
      <c r="N14" s="81"/>
      <c r="O14" s="82"/>
      <c r="P14" s="82"/>
      <c r="Q14" s="93"/>
      <c r="R14" s="81"/>
      <c r="S14" s="82"/>
      <c r="T14" s="82"/>
      <c r="U14" s="322"/>
      <c r="V14" s="323" t="str">
        <f>IF(OR(F14="",J14="",N14="",R14="",),"",IF(ISERROR(ROUND(AVERAGE(F14,J14,N14,R14),0)),"",ROUND(AVERAGE(F14,J14,N14,R14),0)))</f>
        <v/>
      </c>
      <c r="W14" s="83"/>
      <c r="X14" s="83"/>
      <c r="Y14" s="83"/>
      <c r="Z14" s="83"/>
      <c r="AA14" s="83"/>
      <c r="AB14" s="326"/>
    </row>
    <row r="15" ht="15" spans="1:28">
      <c r="A15" s="37">
        <v>4</v>
      </c>
      <c r="B15" s="300" t="str">
        <f>'INPUT DATA'!B15:D15</f>
        <v>BRIGOLE, ROMEL</v>
      </c>
      <c r="C15" s="302"/>
      <c r="D15" s="302"/>
      <c r="E15" s="302"/>
      <c r="F15" s="81"/>
      <c r="G15" s="82"/>
      <c r="H15" s="82"/>
      <c r="I15" s="93"/>
      <c r="J15" s="81"/>
      <c r="K15" s="82"/>
      <c r="L15" s="82"/>
      <c r="M15" s="93"/>
      <c r="N15" s="81"/>
      <c r="O15" s="82"/>
      <c r="P15" s="82"/>
      <c r="Q15" s="93"/>
      <c r="R15" s="81"/>
      <c r="S15" s="82"/>
      <c r="T15" s="82"/>
      <c r="U15" s="322"/>
      <c r="V15" s="323" t="str">
        <f t="shared" ref="V15:V50" si="0">IF(OR(F15="",J15="",N15="",R15="",),"",IF(ISERROR(ROUND(AVERAGE(F15,J15,N15,R15),0)),"",ROUND(AVERAGE(F15,J15,N15,R15),0)))</f>
        <v/>
      </c>
      <c r="W15" s="83"/>
      <c r="X15" s="83"/>
      <c r="Y15" s="83"/>
      <c r="Z15" s="83"/>
      <c r="AA15" s="83"/>
      <c r="AB15" s="326"/>
    </row>
    <row r="16" ht="15" spans="1:28">
      <c r="A16" s="37">
        <v>5</v>
      </c>
      <c r="B16" s="300" t="str">
        <f>'INPUT DATA'!B16:D16</f>
        <v>BULAHAN,ROVIC L.</v>
      </c>
      <c r="C16" s="302"/>
      <c r="D16" s="302"/>
      <c r="E16" s="302"/>
      <c r="F16" s="81"/>
      <c r="G16" s="82"/>
      <c r="H16" s="82"/>
      <c r="I16" s="93"/>
      <c r="J16" s="81"/>
      <c r="K16" s="82"/>
      <c r="L16" s="82"/>
      <c r="M16" s="93"/>
      <c r="N16" s="81"/>
      <c r="O16" s="82"/>
      <c r="P16" s="82"/>
      <c r="Q16" s="93"/>
      <c r="R16" s="81"/>
      <c r="S16" s="82"/>
      <c r="T16" s="82"/>
      <c r="U16" s="322"/>
      <c r="V16" s="323" t="str">
        <f t="shared" si="0"/>
        <v/>
      </c>
      <c r="W16" s="83"/>
      <c r="X16" s="83"/>
      <c r="Y16" s="83"/>
      <c r="Z16" s="83"/>
      <c r="AA16" s="83"/>
      <c r="AB16" s="326"/>
    </row>
    <row r="17" ht="15" spans="1:28">
      <c r="A17" s="37">
        <v>6</v>
      </c>
      <c r="B17" s="300" t="str">
        <f>'INPUT DATA'!B17:D17</f>
        <v>CIJAS, ROLIE JR. A.</v>
      </c>
      <c r="C17" s="302"/>
      <c r="D17" s="302"/>
      <c r="E17" s="302"/>
      <c r="F17" s="81"/>
      <c r="G17" s="82"/>
      <c r="H17" s="82"/>
      <c r="I17" s="93"/>
      <c r="J17" s="81"/>
      <c r="K17" s="82"/>
      <c r="L17" s="82"/>
      <c r="M17" s="93"/>
      <c r="N17" s="81"/>
      <c r="O17" s="82"/>
      <c r="P17" s="82"/>
      <c r="Q17" s="93"/>
      <c r="R17" s="81"/>
      <c r="S17" s="82"/>
      <c r="T17" s="82"/>
      <c r="U17" s="322"/>
      <c r="V17" s="323" t="str">
        <f t="shared" si="0"/>
        <v/>
      </c>
      <c r="W17" s="83"/>
      <c r="X17" s="83"/>
      <c r="Y17" s="83"/>
      <c r="Z17" s="83"/>
      <c r="AA17" s="83"/>
      <c r="AB17" s="326"/>
    </row>
    <row r="18" ht="15" spans="1:28">
      <c r="A18" s="37">
        <v>7</v>
      </c>
      <c r="B18" s="300" t="str">
        <f>'INPUT DATA'!B18:D18</f>
        <v>GARCIA, DAVE P.</v>
      </c>
      <c r="C18" s="302"/>
      <c r="D18" s="302"/>
      <c r="E18" s="302"/>
      <c r="F18" s="81"/>
      <c r="G18" s="82"/>
      <c r="H18" s="82"/>
      <c r="I18" s="93"/>
      <c r="J18" s="81"/>
      <c r="K18" s="82"/>
      <c r="L18" s="82"/>
      <c r="M18" s="93"/>
      <c r="N18" s="81"/>
      <c r="O18" s="82"/>
      <c r="P18" s="82"/>
      <c r="Q18" s="93"/>
      <c r="R18" s="81"/>
      <c r="S18" s="82"/>
      <c r="T18" s="82"/>
      <c r="U18" s="322"/>
      <c r="V18" s="323" t="str">
        <f t="shared" si="0"/>
        <v/>
      </c>
      <c r="W18" s="83"/>
      <c r="X18" s="83"/>
      <c r="Y18" s="83"/>
      <c r="Z18" s="83"/>
      <c r="AA18" s="83"/>
      <c r="AB18" s="326"/>
    </row>
    <row r="19" ht="15" spans="1:28">
      <c r="A19" s="37">
        <v>8</v>
      </c>
      <c r="B19" s="300" t="str">
        <f>'INPUT DATA'!B19:D19</f>
        <v>GONZALES, JAMES A.</v>
      </c>
      <c r="C19" s="302"/>
      <c r="D19" s="302">
        <v>0</v>
      </c>
      <c r="E19" s="302"/>
      <c r="F19" s="81"/>
      <c r="G19" s="82"/>
      <c r="H19" s="82"/>
      <c r="I19" s="93"/>
      <c r="J19" s="81"/>
      <c r="K19" s="82"/>
      <c r="L19" s="82"/>
      <c r="M19" s="93"/>
      <c r="N19" s="81"/>
      <c r="O19" s="82"/>
      <c r="P19" s="82"/>
      <c r="Q19" s="93"/>
      <c r="R19" s="81"/>
      <c r="S19" s="82"/>
      <c r="T19" s="82"/>
      <c r="U19" s="322"/>
      <c r="V19" s="323" t="str">
        <f t="shared" si="0"/>
        <v/>
      </c>
      <c r="W19" s="83"/>
      <c r="X19" s="83"/>
      <c r="Y19" s="83"/>
      <c r="Z19" s="83"/>
      <c r="AA19" s="83"/>
      <c r="AB19" s="326"/>
    </row>
    <row r="20" ht="15" spans="1:28">
      <c r="A20" s="37">
        <v>9</v>
      </c>
      <c r="B20" s="300" t="str">
        <f>'INPUT DATA'!B20:D20</f>
        <v>LAGUNA, J.B. B.</v>
      </c>
      <c r="C20" s="302"/>
      <c r="D20" s="302"/>
      <c r="E20" s="302"/>
      <c r="F20" s="81"/>
      <c r="G20" s="82"/>
      <c r="H20" s="82"/>
      <c r="I20" s="93"/>
      <c r="J20" s="81"/>
      <c r="K20" s="82"/>
      <c r="L20" s="82"/>
      <c r="M20" s="93"/>
      <c r="N20" s="81"/>
      <c r="O20" s="82"/>
      <c r="P20" s="82"/>
      <c r="Q20" s="93"/>
      <c r="R20" s="81"/>
      <c r="S20" s="82"/>
      <c r="T20" s="82"/>
      <c r="U20" s="322"/>
      <c r="V20" s="323" t="str">
        <f t="shared" si="0"/>
        <v/>
      </c>
      <c r="W20" s="83"/>
      <c r="X20" s="83"/>
      <c r="Y20" s="83"/>
      <c r="Z20" s="83"/>
      <c r="AA20" s="83"/>
      <c r="AB20" s="326"/>
    </row>
    <row r="21" ht="15" spans="1:28">
      <c r="A21" s="37">
        <v>10</v>
      </c>
      <c r="B21" s="300" t="str">
        <f>'INPUT DATA'!B21:D21</f>
        <v>LARODA, STEVEN S.</v>
      </c>
      <c r="C21" s="302"/>
      <c r="D21" s="302"/>
      <c r="E21" s="302"/>
      <c r="F21" s="81"/>
      <c r="G21" s="82"/>
      <c r="H21" s="82"/>
      <c r="I21" s="93"/>
      <c r="J21" s="81"/>
      <c r="K21" s="82"/>
      <c r="L21" s="82"/>
      <c r="M21" s="93"/>
      <c r="N21" s="81"/>
      <c r="O21" s="82"/>
      <c r="P21" s="82"/>
      <c r="Q21" s="93"/>
      <c r="R21" s="81"/>
      <c r="S21" s="82"/>
      <c r="T21" s="82"/>
      <c r="U21" s="322"/>
      <c r="V21" s="323" t="str">
        <f t="shared" si="0"/>
        <v/>
      </c>
      <c r="W21" s="83"/>
      <c r="X21" s="83"/>
      <c r="Y21" s="83"/>
      <c r="Z21" s="83"/>
      <c r="AA21" s="83"/>
      <c r="AB21" s="326"/>
    </row>
    <row r="22" ht="15" spans="1:28">
      <c r="A22" s="37">
        <v>11</v>
      </c>
      <c r="B22" s="300" t="str">
        <f>'INPUT DATA'!B22:D22</f>
        <v>MERINO, SEDRIK R.</v>
      </c>
      <c r="C22" s="302"/>
      <c r="D22" s="302">
        <v>0</v>
      </c>
      <c r="E22" s="302"/>
      <c r="F22" s="81"/>
      <c r="G22" s="82"/>
      <c r="H22" s="82"/>
      <c r="I22" s="93"/>
      <c r="J22" s="81"/>
      <c r="K22" s="82"/>
      <c r="L22" s="82"/>
      <c r="M22" s="93"/>
      <c r="N22" s="81"/>
      <c r="O22" s="82"/>
      <c r="P22" s="82"/>
      <c r="Q22" s="93"/>
      <c r="R22" s="81"/>
      <c r="S22" s="82"/>
      <c r="T22" s="82"/>
      <c r="U22" s="322"/>
      <c r="V22" s="323" t="str">
        <f t="shared" si="0"/>
        <v/>
      </c>
      <c r="W22" s="83"/>
      <c r="X22" s="83"/>
      <c r="Y22" s="83"/>
      <c r="Z22" s="83"/>
      <c r="AA22" s="83"/>
      <c r="AB22" s="326"/>
    </row>
    <row r="23" ht="15" spans="1:28">
      <c r="A23" s="37">
        <v>12</v>
      </c>
      <c r="B23" s="300" t="str">
        <f>'INPUT DATA'!B23:D23</f>
        <v>MONTERAS, VINCENT S.</v>
      </c>
      <c r="C23" s="302"/>
      <c r="D23" s="302"/>
      <c r="E23" s="302"/>
      <c r="F23" s="81"/>
      <c r="G23" s="82"/>
      <c r="H23" s="82"/>
      <c r="I23" s="93"/>
      <c r="J23" s="81"/>
      <c r="K23" s="82"/>
      <c r="L23" s="82"/>
      <c r="M23" s="93"/>
      <c r="N23" s="81"/>
      <c r="O23" s="82"/>
      <c r="P23" s="82"/>
      <c r="Q23" s="93"/>
      <c r="R23" s="81"/>
      <c r="S23" s="82"/>
      <c r="T23" s="82"/>
      <c r="U23" s="322"/>
      <c r="V23" s="323" t="str">
        <f t="shared" si="0"/>
        <v/>
      </c>
      <c r="W23" s="83"/>
      <c r="X23" s="83"/>
      <c r="Y23" s="83"/>
      <c r="Z23" s="83"/>
      <c r="AA23" s="83"/>
      <c r="AB23" s="326"/>
    </row>
    <row r="24" ht="15" spans="1:28">
      <c r="A24" s="37">
        <v>13</v>
      </c>
      <c r="B24" s="300" t="str">
        <f>'INPUT DATA'!B24:D24</f>
        <v>NACAWILI, ANDRIE L.</v>
      </c>
      <c r="C24" s="302"/>
      <c r="D24" s="302"/>
      <c r="E24" s="302"/>
      <c r="F24" s="81"/>
      <c r="G24" s="82"/>
      <c r="H24" s="82"/>
      <c r="I24" s="93"/>
      <c r="J24" s="81"/>
      <c r="K24" s="82"/>
      <c r="L24" s="82"/>
      <c r="M24" s="93"/>
      <c r="N24" s="81"/>
      <c r="O24" s="82"/>
      <c r="P24" s="82"/>
      <c r="Q24" s="93"/>
      <c r="R24" s="81"/>
      <c r="S24" s="82"/>
      <c r="T24" s="82"/>
      <c r="U24" s="322"/>
      <c r="V24" s="323" t="str">
        <f t="shared" si="0"/>
        <v/>
      </c>
      <c r="W24" s="83"/>
      <c r="X24" s="83"/>
      <c r="Y24" s="83"/>
      <c r="Z24" s="83"/>
      <c r="AA24" s="83"/>
      <c r="AB24" s="326"/>
    </row>
    <row r="25" ht="15" spans="1:28">
      <c r="A25" s="37">
        <v>14</v>
      </c>
      <c r="B25" s="300" t="str">
        <f>'INPUT DATA'!B25:D25</f>
        <v>OLIVERIO, CYREL JAY G.</v>
      </c>
      <c r="C25" s="302"/>
      <c r="D25" s="302"/>
      <c r="E25" s="302"/>
      <c r="F25" s="81"/>
      <c r="G25" s="82"/>
      <c r="H25" s="82"/>
      <c r="I25" s="93"/>
      <c r="J25" s="81"/>
      <c r="K25" s="82"/>
      <c r="L25" s="82"/>
      <c r="M25" s="93"/>
      <c r="N25" s="81"/>
      <c r="O25" s="82"/>
      <c r="P25" s="82"/>
      <c r="Q25" s="93"/>
      <c r="R25" s="81"/>
      <c r="S25" s="82"/>
      <c r="T25" s="82"/>
      <c r="U25" s="322"/>
      <c r="V25" s="323" t="str">
        <f t="shared" si="0"/>
        <v/>
      </c>
      <c r="W25" s="83"/>
      <c r="X25" s="83"/>
      <c r="Y25" s="83"/>
      <c r="Z25" s="83"/>
      <c r="AA25" s="83"/>
      <c r="AB25" s="326"/>
    </row>
    <row r="26" ht="15" spans="1:28">
      <c r="A26" s="37">
        <v>15</v>
      </c>
      <c r="B26" s="300" t="str">
        <f>'INPUT DATA'!B26:D26</f>
        <v>ORBITA,BRENN JOHN A.</v>
      </c>
      <c r="C26" s="302"/>
      <c r="D26" s="302"/>
      <c r="E26" s="302"/>
      <c r="F26" s="81"/>
      <c r="G26" s="82"/>
      <c r="H26" s="82"/>
      <c r="I26" s="93"/>
      <c r="J26" s="81"/>
      <c r="K26" s="82"/>
      <c r="L26" s="82"/>
      <c r="M26" s="93"/>
      <c r="N26" s="81"/>
      <c r="O26" s="82"/>
      <c r="P26" s="82"/>
      <c r="Q26" s="93"/>
      <c r="R26" s="81"/>
      <c r="S26" s="82"/>
      <c r="T26" s="82"/>
      <c r="U26" s="322"/>
      <c r="V26" s="323" t="str">
        <f t="shared" si="0"/>
        <v/>
      </c>
      <c r="W26" s="83"/>
      <c r="X26" s="83"/>
      <c r="Y26" s="83"/>
      <c r="Z26" s="83"/>
      <c r="AA26" s="83"/>
      <c r="AB26" s="326"/>
    </row>
    <row r="27" ht="15" spans="1:28">
      <c r="A27" s="37">
        <v>16</v>
      </c>
      <c r="B27" s="300" t="str">
        <f>'INPUT DATA'!B27:D27</f>
        <v>PAINLO,SHERWIN V.</v>
      </c>
      <c r="C27" s="302"/>
      <c r="D27" s="302"/>
      <c r="E27" s="302"/>
      <c r="F27" s="81"/>
      <c r="G27" s="82"/>
      <c r="H27" s="82"/>
      <c r="I27" s="93"/>
      <c r="J27" s="81"/>
      <c r="K27" s="82"/>
      <c r="L27" s="82"/>
      <c r="M27" s="93"/>
      <c r="N27" s="81"/>
      <c r="O27" s="82"/>
      <c r="P27" s="82"/>
      <c r="Q27" s="93"/>
      <c r="R27" s="81"/>
      <c r="S27" s="82"/>
      <c r="T27" s="82"/>
      <c r="U27" s="322"/>
      <c r="V27" s="323" t="str">
        <f t="shared" si="0"/>
        <v/>
      </c>
      <c r="W27" s="83"/>
      <c r="X27" s="83"/>
      <c r="Y27" s="83"/>
      <c r="Z27" s="83"/>
      <c r="AA27" s="83"/>
      <c r="AB27" s="326"/>
    </row>
    <row r="28" ht="15" spans="1:28">
      <c r="A28" s="37">
        <v>17</v>
      </c>
      <c r="B28" s="300" t="str">
        <f>'INPUT DATA'!B28:D28</f>
        <v>RAMIREZ, MATTEO JOHN DAVE D.</v>
      </c>
      <c r="C28" s="302"/>
      <c r="D28" s="302"/>
      <c r="E28" s="302"/>
      <c r="F28" s="81"/>
      <c r="G28" s="82"/>
      <c r="H28" s="82"/>
      <c r="I28" s="93"/>
      <c r="J28" s="81"/>
      <c r="K28" s="82"/>
      <c r="L28" s="82"/>
      <c r="M28" s="93"/>
      <c r="N28" s="81"/>
      <c r="O28" s="82"/>
      <c r="P28" s="82"/>
      <c r="Q28" s="93"/>
      <c r="R28" s="81"/>
      <c r="S28" s="82"/>
      <c r="T28" s="82"/>
      <c r="U28" s="322"/>
      <c r="V28" s="323" t="str">
        <f t="shared" si="0"/>
        <v/>
      </c>
      <c r="W28" s="83"/>
      <c r="X28" s="83"/>
      <c r="Y28" s="83"/>
      <c r="Z28" s="83"/>
      <c r="AA28" s="83"/>
      <c r="AB28" s="326"/>
    </row>
    <row r="29" ht="15" spans="1:28">
      <c r="A29" s="37">
        <v>18</v>
      </c>
      <c r="B29" s="300" t="str">
        <f>'INPUT DATA'!B29:D29</f>
        <v>SIGUIRA, JASTINE B.</v>
      </c>
      <c r="C29" s="302"/>
      <c r="D29" s="302"/>
      <c r="E29" s="302"/>
      <c r="F29" s="81"/>
      <c r="G29" s="82"/>
      <c r="H29" s="82"/>
      <c r="I29" s="93"/>
      <c r="J29" s="81"/>
      <c r="K29" s="82"/>
      <c r="L29" s="82"/>
      <c r="M29" s="93"/>
      <c r="N29" s="81"/>
      <c r="O29" s="82"/>
      <c r="P29" s="82"/>
      <c r="Q29" s="93"/>
      <c r="R29" s="81"/>
      <c r="S29" s="82"/>
      <c r="T29" s="82"/>
      <c r="U29" s="322"/>
      <c r="V29" s="323" t="str">
        <f t="shared" si="0"/>
        <v/>
      </c>
      <c r="W29" s="83"/>
      <c r="X29" s="83"/>
      <c r="Y29" s="83"/>
      <c r="Z29" s="83"/>
      <c r="AA29" s="83"/>
      <c r="AB29" s="326"/>
    </row>
    <row r="30" ht="15" spans="1:28">
      <c r="A30" s="37">
        <v>19</v>
      </c>
      <c r="B30" s="300" t="str">
        <f>'INPUT DATA'!B30:D30</f>
        <v>TAA, JHONVINZ Y.</v>
      </c>
      <c r="C30" s="302"/>
      <c r="D30" s="302"/>
      <c r="E30" s="302"/>
      <c r="F30" s="81"/>
      <c r="G30" s="82"/>
      <c r="H30" s="82"/>
      <c r="I30" s="93"/>
      <c r="J30" s="81"/>
      <c r="K30" s="82"/>
      <c r="L30" s="82"/>
      <c r="M30" s="93"/>
      <c r="N30" s="81"/>
      <c r="O30" s="82"/>
      <c r="P30" s="82"/>
      <c r="Q30" s="93"/>
      <c r="R30" s="81"/>
      <c r="S30" s="82"/>
      <c r="T30" s="82"/>
      <c r="U30" s="322"/>
      <c r="V30" s="323" t="str">
        <f t="shared" si="0"/>
        <v/>
      </c>
      <c r="W30" s="83"/>
      <c r="X30" s="83"/>
      <c r="Y30" s="83"/>
      <c r="Z30" s="83"/>
      <c r="AA30" s="83"/>
      <c r="AB30" s="326"/>
    </row>
    <row r="31" ht="15" spans="1:28">
      <c r="A31" s="37">
        <v>20</v>
      </c>
      <c r="B31" s="300" t="str">
        <f>'INPUT DATA'!B31:D31</f>
        <v>ZOILO, JOHN LORENCE M.</v>
      </c>
      <c r="C31" s="302"/>
      <c r="D31" s="302"/>
      <c r="E31" s="302"/>
      <c r="F31" s="81"/>
      <c r="G31" s="82"/>
      <c r="H31" s="82"/>
      <c r="I31" s="93"/>
      <c r="J31" s="81"/>
      <c r="K31" s="82"/>
      <c r="L31" s="82"/>
      <c r="M31" s="93"/>
      <c r="N31" s="81"/>
      <c r="O31" s="82"/>
      <c r="P31" s="82"/>
      <c r="Q31" s="93"/>
      <c r="R31" s="81"/>
      <c r="S31" s="82"/>
      <c r="T31" s="82"/>
      <c r="U31" s="322"/>
      <c r="V31" s="323" t="str">
        <f t="shared" si="0"/>
        <v/>
      </c>
      <c r="W31" s="83"/>
      <c r="X31" s="83"/>
      <c r="Y31" s="83"/>
      <c r="Z31" s="83"/>
      <c r="AA31" s="83"/>
      <c r="AB31" s="326"/>
    </row>
    <row r="32" ht="15" spans="1:28">
      <c r="A32" s="37">
        <v>21</v>
      </c>
      <c r="B32" s="300">
        <f>'INPUT DATA'!B32:D32</f>
        <v>0</v>
      </c>
      <c r="C32" s="302"/>
      <c r="D32" s="302"/>
      <c r="E32" s="302"/>
      <c r="F32" s="81"/>
      <c r="G32" s="82"/>
      <c r="H32" s="82"/>
      <c r="I32" s="93"/>
      <c r="J32" s="81"/>
      <c r="K32" s="82"/>
      <c r="L32" s="82"/>
      <c r="M32" s="93"/>
      <c r="N32" s="81"/>
      <c r="O32" s="82"/>
      <c r="P32" s="82"/>
      <c r="Q32" s="93"/>
      <c r="R32" s="81"/>
      <c r="S32" s="82"/>
      <c r="T32" s="82"/>
      <c r="U32" s="322"/>
      <c r="V32" s="323" t="str">
        <f t="shared" si="0"/>
        <v/>
      </c>
      <c r="W32" s="83"/>
      <c r="X32" s="83"/>
      <c r="Y32" s="83"/>
      <c r="Z32" s="83"/>
      <c r="AA32" s="83"/>
      <c r="AB32" s="326"/>
    </row>
    <row r="33" ht="15" spans="1:28">
      <c r="A33" s="37">
        <v>22</v>
      </c>
      <c r="B33" s="300">
        <f>'INPUT DATA'!B33:D33</f>
        <v>0</v>
      </c>
      <c r="C33" s="302"/>
      <c r="D33" s="302"/>
      <c r="E33" s="302"/>
      <c r="F33" s="81"/>
      <c r="G33" s="82"/>
      <c r="H33" s="82"/>
      <c r="I33" s="93"/>
      <c r="J33" s="81"/>
      <c r="K33" s="82"/>
      <c r="L33" s="82"/>
      <c r="M33" s="93"/>
      <c r="N33" s="81"/>
      <c r="O33" s="82"/>
      <c r="P33" s="82"/>
      <c r="Q33" s="93"/>
      <c r="R33" s="81"/>
      <c r="S33" s="82"/>
      <c r="T33" s="82"/>
      <c r="U33" s="322"/>
      <c r="V33" s="323" t="str">
        <f t="shared" si="0"/>
        <v/>
      </c>
      <c r="W33" s="83"/>
      <c r="X33" s="83"/>
      <c r="Y33" s="83"/>
      <c r="Z33" s="83"/>
      <c r="AA33" s="83"/>
      <c r="AB33" s="326"/>
    </row>
    <row r="34" ht="15" spans="1:28">
      <c r="A34" s="37">
        <v>23</v>
      </c>
      <c r="B34" s="300">
        <f>'INPUT DATA'!B34:D34</f>
        <v>0</v>
      </c>
      <c r="C34" s="302"/>
      <c r="D34" s="302"/>
      <c r="E34" s="302"/>
      <c r="F34" s="81"/>
      <c r="G34" s="82"/>
      <c r="H34" s="82"/>
      <c r="I34" s="93"/>
      <c r="J34" s="81"/>
      <c r="K34" s="82"/>
      <c r="L34" s="82"/>
      <c r="M34" s="93"/>
      <c r="N34" s="81"/>
      <c r="O34" s="82"/>
      <c r="P34" s="82"/>
      <c r="Q34" s="93"/>
      <c r="R34" s="81"/>
      <c r="S34" s="82"/>
      <c r="T34" s="82"/>
      <c r="U34" s="322"/>
      <c r="V34" s="323" t="str">
        <f t="shared" si="0"/>
        <v/>
      </c>
      <c r="W34" s="83"/>
      <c r="X34" s="83"/>
      <c r="Y34" s="83"/>
      <c r="Z34" s="83"/>
      <c r="AA34" s="83"/>
      <c r="AB34" s="326"/>
    </row>
    <row r="35" ht="15" spans="1:28">
      <c r="A35" s="37">
        <v>24</v>
      </c>
      <c r="B35" s="300">
        <f>'INPUT DATA'!B35:D35</f>
        <v>0</v>
      </c>
      <c r="C35" s="302"/>
      <c r="D35" s="302"/>
      <c r="E35" s="302"/>
      <c r="F35" s="81"/>
      <c r="G35" s="82"/>
      <c r="H35" s="82"/>
      <c r="I35" s="93"/>
      <c r="J35" s="81"/>
      <c r="K35" s="82"/>
      <c r="L35" s="82"/>
      <c r="M35" s="93"/>
      <c r="N35" s="81"/>
      <c r="O35" s="82"/>
      <c r="P35" s="82"/>
      <c r="Q35" s="93"/>
      <c r="R35" s="81"/>
      <c r="S35" s="82"/>
      <c r="T35" s="82"/>
      <c r="U35" s="322"/>
      <c r="V35" s="323" t="str">
        <f t="shared" si="0"/>
        <v/>
      </c>
      <c r="W35" s="83"/>
      <c r="X35" s="83"/>
      <c r="Y35" s="83"/>
      <c r="Z35" s="83"/>
      <c r="AA35" s="83"/>
      <c r="AB35" s="326"/>
    </row>
    <row r="36" ht="15" spans="1:28">
      <c r="A36" s="37">
        <v>25</v>
      </c>
      <c r="B36" s="300">
        <f>'INPUT DATA'!B36:D36</f>
        <v>0</v>
      </c>
      <c r="C36" s="303"/>
      <c r="D36" s="303"/>
      <c r="E36" s="302"/>
      <c r="F36" s="81"/>
      <c r="G36" s="82"/>
      <c r="H36" s="82"/>
      <c r="I36" s="93"/>
      <c r="J36" s="81"/>
      <c r="K36" s="82"/>
      <c r="L36" s="82"/>
      <c r="M36" s="93"/>
      <c r="N36" s="81"/>
      <c r="O36" s="82"/>
      <c r="P36" s="82"/>
      <c r="Q36" s="93"/>
      <c r="R36" s="81"/>
      <c r="S36" s="82"/>
      <c r="T36" s="82"/>
      <c r="U36" s="93"/>
      <c r="V36" s="323" t="str">
        <f t="shared" si="0"/>
        <v/>
      </c>
      <c r="W36" s="83"/>
      <c r="X36" s="83"/>
      <c r="Y36" s="83"/>
      <c r="Z36" s="83"/>
      <c r="AA36" s="83"/>
      <c r="AB36" s="326"/>
    </row>
    <row r="37" ht="15" spans="1:28">
      <c r="A37" s="304">
        <v>26</v>
      </c>
      <c r="B37" s="300">
        <f>'INPUT DATA'!B37:D37</f>
        <v>0</v>
      </c>
      <c r="C37" s="303"/>
      <c r="D37" s="303"/>
      <c r="E37" s="302"/>
      <c r="F37" s="81"/>
      <c r="G37" s="82"/>
      <c r="H37" s="82"/>
      <c r="I37" s="93"/>
      <c r="J37" s="81"/>
      <c r="K37" s="82"/>
      <c r="L37" s="82"/>
      <c r="M37" s="93"/>
      <c r="N37" s="81"/>
      <c r="O37" s="82"/>
      <c r="P37" s="82"/>
      <c r="Q37" s="93"/>
      <c r="R37" s="81"/>
      <c r="S37" s="82"/>
      <c r="T37" s="82"/>
      <c r="U37" s="322"/>
      <c r="V37" s="323" t="str">
        <f t="shared" si="0"/>
        <v/>
      </c>
      <c r="W37" s="83"/>
      <c r="X37" s="83"/>
      <c r="Y37" s="83"/>
      <c r="Z37" s="83"/>
      <c r="AA37" s="83"/>
      <c r="AB37" s="326"/>
    </row>
    <row r="38" ht="15" spans="1:28">
      <c r="A38" s="304">
        <v>27</v>
      </c>
      <c r="B38" s="300">
        <f>'INPUT DATA'!B38:D38</f>
        <v>0</v>
      </c>
      <c r="C38" s="303"/>
      <c r="D38" s="303"/>
      <c r="E38" s="302"/>
      <c r="F38" s="81"/>
      <c r="G38" s="82"/>
      <c r="H38" s="82"/>
      <c r="I38" s="93"/>
      <c r="J38" s="81"/>
      <c r="K38" s="82"/>
      <c r="L38" s="82"/>
      <c r="M38" s="93"/>
      <c r="N38" s="81"/>
      <c r="O38" s="82"/>
      <c r="P38" s="82"/>
      <c r="Q38" s="93"/>
      <c r="R38" s="81"/>
      <c r="S38" s="82"/>
      <c r="T38" s="82"/>
      <c r="U38" s="322"/>
      <c r="V38" s="323" t="str">
        <f t="shared" si="0"/>
        <v/>
      </c>
      <c r="W38" s="83"/>
      <c r="X38" s="83"/>
      <c r="Y38" s="83"/>
      <c r="Z38" s="83"/>
      <c r="AA38" s="83"/>
      <c r="AB38" s="326"/>
    </row>
    <row r="39" ht="15" spans="1:28">
      <c r="A39" s="304">
        <v>28</v>
      </c>
      <c r="B39" s="300">
        <f>'INPUT DATA'!B39:D39</f>
        <v>0</v>
      </c>
      <c r="C39" s="303"/>
      <c r="D39" s="303"/>
      <c r="E39" s="302"/>
      <c r="F39" s="81"/>
      <c r="G39" s="82"/>
      <c r="H39" s="82"/>
      <c r="I39" s="93"/>
      <c r="J39" s="81"/>
      <c r="K39" s="82"/>
      <c r="L39" s="82"/>
      <c r="M39" s="93"/>
      <c r="N39" s="81"/>
      <c r="O39" s="82"/>
      <c r="P39" s="82"/>
      <c r="Q39" s="93"/>
      <c r="R39" s="81"/>
      <c r="S39" s="82"/>
      <c r="T39" s="82"/>
      <c r="U39" s="322"/>
      <c r="V39" s="323" t="str">
        <f t="shared" si="0"/>
        <v/>
      </c>
      <c r="W39" s="83"/>
      <c r="X39" s="83"/>
      <c r="Y39" s="83"/>
      <c r="Z39" s="83"/>
      <c r="AA39" s="83"/>
      <c r="AB39" s="326"/>
    </row>
    <row r="40" ht="15" spans="1:28">
      <c r="A40" s="304">
        <v>29</v>
      </c>
      <c r="B40" s="300">
        <f>'INPUT DATA'!B40:D40</f>
        <v>0</v>
      </c>
      <c r="C40" s="303"/>
      <c r="D40" s="303"/>
      <c r="E40" s="302"/>
      <c r="F40" s="81"/>
      <c r="G40" s="82"/>
      <c r="H40" s="82"/>
      <c r="I40" s="93"/>
      <c r="J40" s="81"/>
      <c r="K40" s="82"/>
      <c r="L40" s="82"/>
      <c r="M40" s="93"/>
      <c r="N40" s="81"/>
      <c r="O40" s="82"/>
      <c r="P40" s="82"/>
      <c r="Q40" s="93"/>
      <c r="R40" s="81"/>
      <c r="S40" s="82"/>
      <c r="T40" s="82"/>
      <c r="U40" s="322"/>
      <c r="V40" s="323" t="str">
        <f t="shared" si="0"/>
        <v/>
      </c>
      <c r="W40" s="83"/>
      <c r="X40" s="83"/>
      <c r="Y40" s="83"/>
      <c r="Z40" s="83"/>
      <c r="AA40" s="83"/>
      <c r="AB40" s="326"/>
    </row>
    <row r="41" ht="15" spans="1:28">
      <c r="A41" s="304">
        <v>30</v>
      </c>
      <c r="B41" s="300">
        <f>'INPUT DATA'!B41:D41</f>
        <v>0</v>
      </c>
      <c r="C41" s="303"/>
      <c r="D41" s="303"/>
      <c r="E41" s="302"/>
      <c r="F41" s="81"/>
      <c r="G41" s="82"/>
      <c r="H41" s="82"/>
      <c r="I41" s="93"/>
      <c r="J41" s="81"/>
      <c r="K41" s="82"/>
      <c r="L41" s="82"/>
      <c r="M41" s="93"/>
      <c r="N41" s="81"/>
      <c r="O41" s="82"/>
      <c r="P41" s="82"/>
      <c r="Q41" s="93"/>
      <c r="R41" s="81"/>
      <c r="S41" s="82"/>
      <c r="T41" s="82"/>
      <c r="U41" s="322"/>
      <c r="V41" s="323" t="str">
        <f t="shared" si="0"/>
        <v/>
      </c>
      <c r="W41" s="83"/>
      <c r="X41" s="83"/>
      <c r="Y41" s="83"/>
      <c r="Z41" s="83"/>
      <c r="AA41" s="83"/>
      <c r="AB41" s="326"/>
    </row>
    <row r="42" ht="15" spans="1:28">
      <c r="A42" s="304">
        <v>31</v>
      </c>
      <c r="B42" s="300">
        <f>'INPUT DATA'!B42:D42</f>
        <v>0</v>
      </c>
      <c r="C42" s="303"/>
      <c r="D42" s="303"/>
      <c r="E42" s="302"/>
      <c r="F42" s="81"/>
      <c r="G42" s="82"/>
      <c r="H42" s="82"/>
      <c r="I42" s="93"/>
      <c r="J42" s="81"/>
      <c r="K42" s="82"/>
      <c r="L42" s="82"/>
      <c r="M42" s="93"/>
      <c r="N42" s="81"/>
      <c r="O42" s="82"/>
      <c r="P42" s="82"/>
      <c r="Q42" s="93"/>
      <c r="R42" s="81"/>
      <c r="S42" s="82"/>
      <c r="T42" s="82"/>
      <c r="U42" s="322"/>
      <c r="V42" s="323" t="str">
        <f t="shared" si="0"/>
        <v/>
      </c>
      <c r="W42" s="83"/>
      <c r="X42" s="83"/>
      <c r="Y42" s="83"/>
      <c r="Z42" s="83"/>
      <c r="AA42" s="83"/>
      <c r="AB42" s="326"/>
    </row>
    <row r="43" ht="15" spans="1:28">
      <c r="A43" s="304">
        <v>32</v>
      </c>
      <c r="B43" s="300">
        <f>'INPUT DATA'!B43:D43</f>
        <v>0</v>
      </c>
      <c r="C43" s="303"/>
      <c r="D43" s="303"/>
      <c r="E43" s="302"/>
      <c r="F43" s="81"/>
      <c r="G43" s="82"/>
      <c r="H43" s="82"/>
      <c r="I43" s="93"/>
      <c r="J43" s="81"/>
      <c r="K43" s="82"/>
      <c r="L43" s="82"/>
      <c r="M43" s="93"/>
      <c r="N43" s="81"/>
      <c r="O43" s="82"/>
      <c r="P43" s="82"/>
      <c r="Q43" s="93"/>
      <c r="R43" s="81"/>
      <c r="S43" s="82"/>
      <c r="T43" s="82"/>
      <c r="U43" s="322"/>
      <c r="V43" s="323" t="str">
        <f t="shared" si="0"/>
        <v/>
      </c>
      <c r="W43" s="83"/>
      <c r="X43" s="83"/>
      <c r="Y43" s="83"/>
      <c r="Z43" s="83"/>
      <c r="AA43" s="83"/>
      <c r="AB43" s="326"/>
    </row>
    <row r="44" ht="15" spans="1:28">
      <c r="A44" s="304">
        <v>33</v>
      </c>
      <c r="B44" s="300">
        <f>'INPUT DATA'!B44:D44</f>
        <v>0</v>
      </c>
      <c r="C44" s="303"/>
      <c r="D44" s="303"/>
      <c r="E44" s="302"/>
      <c r="F44" s="81"/>
      <c r="G44" s="82"/>
      <c r="H44" s="82"/>
      <c r="I44" s="93"/>
      <c r="J44" s="81"/>
      <c r="K44" s="82"/>
      <c r="L44" s="82"/>
      <c r="M44" s="93"/>
      <c r="N44" s="81"/>
      <c r="O44" s="82"/>
      <c r="P44" s="82"/>
      <c r="Q44" s="93"/>
      <c r="R44" s="81"/>
      <c r="S44" s="82"/>
      <c r="T44" s="82"/>
      <c r="U44" s="322"/>
      <c r="V44" s="323" t="str">
        <f t="shared" si="0"/>
        <v/>
      </c>
      <c r="W44" s="83"/>
      <c r="X44" s="83"/>
      <c r="Y44" s="83"/>
      <c r="Z44" s="83"/>
      <c r="AA44" s="83"/>
      <c r="AB44" s="326"/>
    </row>
    <row r="45" ht="15" spans="1:28">
      <c r="A45" s="304">
        <v>34</v>
      </c>
      <c r="B45" s="300">
        <f>'INPUT DATA'!B45:D45</f>
        <v>0</v>
      </c>
      <c r="C45" s="303"/>
      <c r="D45" s="303"/>
      <c r="E45" s="302"/>
      <c r="F45" s="81"/>
      <c r="G45" s="82"/>
      <c r="H45" s="82"/>
      <c r="I45" s="93"/>
      <c r="J45" s="81"/>
      <c r="K45" s="82"/>
      <c r="L45" s="82"/>
      <c r="M45" s="93"/>
      <c r="N45" s="81"/>
      <c r="O45" s="82"/>
      <c r="P45" s="82"/>
      <c r="Q45" s="93"/>
      <c r="R45" s="81"/>
      <c r="S45" s="82"/>
      <c r="T45" s="82"/>
      <c r="U45" s="322"/>
      <c r="V45" s="323" t="str">
        <f t="shared" si="0"/>
        <v/>
      </c>
      <c r="W45" s="83"/>
      <c r="X45" s="83"/>
      <c r="Y45" s="83"/>
      <c r="Z45" s="83"/>
      <c r="AA45" s="83"/>
      <c r="AB45" s="326"/>
    </row>
    <row r="46" ht="15" spans="1:28">
      <c r="A46" s="304">
        <v>35</v>
      </c>
      <c r="B46" s="300">
        <f>'INPUT DATA'!B46:D46</f>
        <v>0</v>
      </c>
      <c r="C46" s="303"/>
      <c r="D46" s="303"/>
      <c r="E46" s="302"/>
      <c r="F46" s="81"/>
      <c r="G46" s="82"/>
      <c r="H46" s="82"/>
      <c r="I46" s="93"/>
      <c r="J46" s="81"/>
      <c r="K46" s="82"/>
      <c r="L46" s="82"/>
      <c r="M46" s="93"/>
      <c r="N46" s="81"/>
      <c r="O46" s="82"/>
      <c r="P46" s="82"/>
      <c r="Q46" s="93"/>
      <c r="R46" s="81"/>
      <c r="S46" s="82"/>
      <c r="T46" s="82"/>
      <c r="U46" s="322"/>
      <c r="V46" s="323" t="str">
        <f t="shared" si="0"/>
        <v/>
      </c>
      <c r="W46" s="83"/>
      <c r="X46" s="83"/>
      <c r="Y46" s="83"/>
      <c r="Z46" s="83"/>
      <c r="AA46" s="83"/>
      <c r="AB46" s="326"/>
    </row>
    <row r="47" ht="15" spans="1:28">
      <c r="A47" s="304">
        <v>36</v>
      </c>
      <c r="B47" s="300">
        <f>'INPUT DATA'!B47:D47</f>
        <v>0</v>
      </c>
      <c r="C47" s="303"/>
      <c r="D47" s="303"/>
      <c r="E47" s="302"/>
      <c r="F47" s="81"/>
      <c r="G47" s="82"/>
      <c r="H47" s="82"/>
      <c r="I47" s="93"/>
      <c r="J47" s="81"/>
      <c r="K47" s="82"/>
      <c r="L47" s="82"/>
      <c r="M47" s="93"/>
      <c r="N47" s="81"/>
      <c r="O47" s="82"/>
      <c r="P47" s="82"/>
      <c r="Q47" s="93"/>
      <c r="R47" s="81"/>
      <c r="S47" s="82"/>
      <c r="T47" s="82"/>
      <c r="U47" s="322"/>
      <c r="V47" s="323" t="str">
        <f t="shared" si="0"/>
        <v/>
      </c>
      <c r="W47" s="83"/>
      <c r="X47" s="83"/>
      <c r="Y47" s="83"/>
      <c r="Z47" s="83"/>
      <c r="AA47" s="83"/>
      <c r="AB47" s="326"/>
    </row>
    <row r="48" ht="15" spans="1:28">
      <c r="A48" s="304">
        <v>37</v>
      </c>
      <c r="B48" s="300">
        <f>'INPUT DATA'!B48:D48</f>
        <v>0</v>
      </c>
      <c r="C48" s="303"/>
      <c r="D48" s="303"/>
      <c r="E48" s="302"/>
      <c r="F48" s="81"/>
      <c r="G48" s="82"/>
      <c r="H48" s="82"/>
      <c r="I48" s="93"/>
      <c r="J48" s="81"/>
      <c r="K48" s="82"/>
      <c r="L48" s="82"/>
      <c r="M48" s="93"/>
      <c r="N48" s="81"/>
      <c r="O48" s="82"/>
      <c r="P48" s="82"/>
      <c r="Q48" s="93"/>
      <c r="R48" s="81"/>
      <c r="S48" s="82"/>
      <c r="T48" s="82"/>
      <c r="U48" s="322"/>
      <c r="V48" s="323" t="str">
        <f t="shared" si="0"/>
        <v/>
      </c>
      <c r="W48" s="83"/>
      <c r="X48" s="83"/>
      <c r="Y48" s="83"/>
      <c r="Z48" s="83"/>
      <c r="AA48" s="83"/>
      <c r="AB48" s="326"/>
    </row>
    <row r="49" ht="15" spans="1:28">
      <c r="A49" s="304">
        <v>38</v>
      </c>
      <c r="B49" s="300">
        <f>'INPUT DATA'!B49:D49</f>
        <v>0</v>
      </c>
      <c r="C49" s="303"/>
      <c r="D49" s="303"/>
      <c r="E49" s="302"/>
      <c r="F49" s="81"/>
      <c r="G49" s="82"/>
      <c r="H49" s="82"/>
      <c r="I49" s="93"/>
      <c r="J49" s="81"/>
      <c r="K49" s="82"/>
      <c r="L49" s="82"/>
      <c r="M49" s="93"/>
      <c r="N49" s="81"/>
      <c r="O49" s="82"/>
      <c r="P49" s="82"/>
      <c r="Q49" s="93"/>
      <c r="R49" s="81"/>
      <c r="S49" s="82"/>
      <c r="T49" s="82"/>
      <c r="U49" s="322"/>
      <c r="V49" s="323" t="str">
        <f t="shared" si="0"/>
        <v/>
      </c>
      <c r="W49" s="83"/>
      <c r="X49" s="83"/>
      <c r="Y49" s="83"/>
      <c r="Z49" s="83"/>
      <c r="AA49" s="83"/>
      <c r="AB49" s="326"/>
    </row>
    <row r="50" ht="15.75" spans="1:28">
      <c r="A50" s="42">
        <v>39</v>
      </c>
      <c r="B50" s="300">
        <f>'INPUT DATA'!B50:D50</f>
        <v>0</v>
      </c>
      <c r="C50" s="305"/>
      <c r="D50" s="305"/>
      <c r="E50" s="302"/>
      <c r="F50" s="81"/>
      <c r="G50" s="82"/>
      <c r="H50" s="82"/>
      <c r="I50" s="93"/>
      <c r="J50" s="81"/>
      <c r="K50" s="82"/>
      <c r="L50" s="82"/>
      <c r="M50" s="93"/>
      <c r="N50" s="81"/>
      <c r="O50" s="82"/>
      <c r="P50" s="82"/>
      <c r="Q50" s="93"/>
      <c r="R50" s="81"/>
      <c r="S50" s="82"/>
      <c r="T50" s="82"/>
      <c r="U50" s="322"/>
      <c r="V50" s="323" t="str">
        <f t="shared" si="0"/>
        <v/>
      </c>
      <c r="W50" s="83"/>
      <c r="X50" s="83"/>
      <c r="Y50" s="83"/>
      <c r="Z50" s="83"/>
      <c r="AA50" s="83"/>
      <c r="AB50" s="326"/>
    </row>
    <row r="51" ht="15.75" spans="1:28">
      <c r="A51" s="27"/>
      <c r="B51" s="28" t="s">
        <v>39</v>
      </c>
      <c r="C51" s="306"/>
      <c r="D51" s="306"/>
      <c r="E51" s="307"/>
      <c r="F51" s="308"/>
      <c r="G51" s="309"/>
      <c r="H51" s="309"/>
      <c r="I51" s="315"/>
      <c r="J51" s="308"/>
      <c r="K51" s="309"/>
      <c r="L51" s="309"/>
      <c r="M51" s="315"/>
      <c r="N51" s="308"/>
      <c r="O51" s="309"/>
      <c r="P51" s="309"/>
      <c r="Q51" s="315"/>
      <c r="R51" s="308"/>
      <c r="S51" s="309"/>
      <c r="T51" s="309"/>
      <c r="U51" s="324"/>
      <c r="V51" s="84"/>
      <c r="W51" s="85"/>
      <c r="X51" s="85"/>
      <c r="Y51" s="85"/>
      <c r="Z51" s="85"/>
      <c r="AA51" s="85"/>
      <c r="AB51" s="100"/>
    </row>
    <row r="52" ht="15" spans="1:28">
      <c r="A52" s="32">
        <v>1</v>
      </c>
      <c r="B52" s="300" t="str">
        <f>'INPUT DATA'!B53:D53</f>
        <v>ANGCOY, PRINCESS NAILLE T.</v>
      </c>
      <c r="C52" s="301"/>
      <c r="D52" s="301"/>
      <c r="E52" s="310"/>
      <c r="F52" s="81"/>
      <c r="G52" s="82"/>
      <c r="H52" s="82"/>
      <c r="I52" s="93"/>
      <c r="J52" s="81"/>
      <c r="K52" s="82"/>
      <c r="L52" s="82"/>
      <c r="M52" s="93"/>
      <c r="N52" s="81"/>
      <c r="O52" s="82"/>
      <c r="P52" s="82"/>
      <c r="Q52" s="93"/>
      <c r="R52" s="81"/>
      <c r="S52" s="82"/>
      <c r="T52" s="82"/>
      <c r="U52" s="322"/>
      <c r="V52" s="323" t="str">
        <f>IF(OR(F52="",J52="",N52="",R52="",),"",IF(ISERROR(ROUND(AVERAGE(F52,J52,N52,R52),0)),"",ROUND(AVERAGE(F52,J52,N52,R52),0)))</f>
        <v/>
      </c>
      <c r="W52" s="83"/>
      <c r="X52" s="83"/>
      <c r="Y52" s="83"/>
      <c r="Z52" s="83"/>
      <c r="AA52" s="83"/>
      <c r="AB52" s="326"/>
    </row>
    <row r="53" ht="15" spans="1:28">
      <c r="A53" s="37">
        <v>2</v>
      </c>
      <c r="B53" s="300" t="str">
        <f>'INPUT DATA'!B54:D54</f>
        <v>BIMOS, SHEILLA KATE O.</v>
      </c>
      <c r="C53" s="302"/>
      <c r="D53" s="302"/>
      <c r="E53" s="311"/>
      <c r="F53" s="81"/>
      <c r="G53" s="82"/>
      <c r="H53" s="82"/>
      <c r="I53" s="93"/>
      <c r="J53" s="81"/>
      <c r="K53" s="82"/>
      <c r="L53" s="82"/>
      <c r="M53" s="93"/>
      <c r="N53" s="81"/>
      <c r="O53" s="82"/>
      <c r="P53" s="82"/>
      <c r="Q53" s="93"/>
      <c r="R53" s="81"/>
      <c r="S53" s="82"/>
      <c r="T53" s="82"/>
      <c r="U53" s="322"/>
      <c r="V53" s="323" t="str">
        <f t="shared" ref="V53:V75" si="1">IF(OR(F53="",J53="",N53="",R53="",),"",IF(ISERROR(ROUND(AVERAGE(F53,J53,N53,R53),0)),"",ROUND(AVERAGE(F53,J53,N53,R53),0)))</f>
        <v/>
      </c>
      <c r="W53" s="83"/>
      <c r="X53" s="83"/>
      <c r="Y53" s="83"/>
      <c r="Z53" s="83"/>
      <c r="AA53" s="83"/>
      <c r="AB53" s="326"/>
    </row>
    <row r="54" ht="15" spans="1:28">
      <c r="A54" s="37">
        <v>3</v>
      </c>
      <c r="B54" s="300" t="str">
        <f>'INPUT DATA'!B55:D55</f>
        <v>BONGABONG, DWEYN ZHAIRA A.</v>
      </c>
      <c r="C54" s="302"/>
      <c r="D54" s="302"/>
      <c r="E54" s="311"/>
      <c r="F54" s="81"/>
      <c r="G54" s="82"/>
      <c r="H54" s="82"/>
      <c r="I54" s="93"/>
      <c r="J54" s="81"/>
      <c r="K54" s="82"/>
      <c r="L54" s="82"/>
      <c r="M54" s="93"/>
      <c r="N54" s="81"/>
      <c r="O54" s="82"/>
      <c r="P54" s="82"/>
      <c r="Q54" s="93"/>
      <c r="R54" s="81"/>
      <c r="S54" s="82"/>
      <c r="T54" s="82"/>
      <c r="U54" s="322"/>
      <c r="V54" s="323" t="str">
        <f t="shared" si="1"/>
        <v/>
      </c>
      <c r="W54" s="83"/>
      <c r="X54" s="83"/>
      <c r="Y54" s="83"/>
      <c r="Z54" s="83"/>
      <c r="AA54" s="83"/>
      <c r="AB54" s="326"/>
    </row>
    <row r="55" ht="15" spans="1:28">
      <c r="A55" s="37">
        <v>4</v>
      </c>
      <c r="B55" s="300" t="str">
        <f>'INPUT DATA'!B56:D56</f>
        <v>CABEL, LOURENE A.</v>
      </c>
      <c r="C55" s="302"/>
      <c r="D55" s="302"/>
      <c r="E55" s="311"/>
      <c r="F55" s="81"/>
      <c r="G55" s="82"/>
      <c r="H55" s="82"/>
      <c r="I55" s="93"/>
      <c r="J55" s="81"/>
      <c r="K55" s="82"/>
      <c r="L55" s="82"/>
      <c r="M55" s="93"/>
      <c r="N55" s="81"/>
      <c r="O55" s="82"/>
      <c r="P55" s="82"/>
      <c r="Q55" s="93"/>
      <c r="R55" s="81"/>
      <c r="S55" s="82"/>
      <c r="T55" s="82"/>
      <c r="U55" s="322"/>
      <c r="V55" s="323" t="str">
        <f t="shared" si="1"/>
        <v/>
      </c>
      <c r="W55" s="83"/>
      <c r="X55" s="83"/>
      <c r="Y55" s="83"/>
      <c r="Z55" s="83"/>
      <c r="AA55" s="83"/>
      <c r="AB55" s="326"/>
    </row>
    <row r="56" ht="15" spans="1:28">
      <c r="A56" s="37">
        <v>5</v>
      </c>
      <c r="B56" s="300" t="str">
        <f>'INPUT DATA'!B57:D57</f>
        <v>CAMIGAO, DHENISE CLARE V.</v>
      </c>
      <c r="C56" s="302"/>
      <c r="D56" s="302"/>
      <c r="E56" s="311"/>
      <c r="F56" s="81"/>
      <c r="G56" s="82"/>
      <c r="H56" s="82"/>
      <c r="I56" s="93"/>
      <c r="J56" s="81"/>
      <c r="K56" s="82"/>
      <c r="L56" s="82"/>
      <c r="M56" s="93"/>
      <c r="N56" s="81"/>
      <c r="O56" s="82"/>
      <c r="P56" s="82"/>
      <c r="Q56" s="93"/>
      <c r="R56" s="81"/>
      <c r="S56" s="82"/>
      <c r="T56" s="82"/>
      <c r="U56" s="322"/>
      <c r="V56" s="323" t="str">
        <f t="shared" si="1"/>
        <v/>
      </c>
      <c r="W56" s="83"/>
      <c r="X56" s="83"/>
      <c r="Y56" s="83"/>
      <c r="Z56" s="83"/>
      <c r="AA56" s="83"/>
      <c r="AB56" s="326"/>
    </row>
    <row r="57" ht="15" spans="1:28">
      <c r="A57" s="37">
        <v>6</v>
      </c>
      <c r="B57" s="300" t="str">
        <f>'INPUT DATA'!B58:D58</f>
        <v>CARISMA, NATHALIA MAE M.</v>
      </c>
      <c r="C57" s="302"/>
      <c r="D57" s="302"/>
      <c r="E57" s="311"/>
      <c r="F57" s="81"/>
      <c r="G57" s="82"/>
      <c r="H57" s="82"/>
      <c r="I57" s="93"/>
      <c r="J57" s="81"/>
      <c r="K57" s="82"/>
      <c r="L57" s="82"/>
      <c r="M57" s="93"/>
      <c r="N57" s="81"/>
      <c r="O57" s="82"/>
      <c r="P57" s="82"/>
      <c r="Q57" s="93"/>
      <c r="R57" s="81"/>
      <c r="S57" s="82"/>
      <c r="T57" s="82"/>
      <c r="U57" s="322"/>
      <c r="V57" s="323" t="str">
        <f t="shared" si="1"/>
        <v/>
      </c>
      <c r="W57" s="83"/>
      <c r="X57" s="83"/>
      <c r="Y57" s="83"/>
      <c r="Z57" s="83"/>
      <c r="AA57" s="83"/>
      <c r="AB57" s="326"/>
    </row>
    <row r="58" ht="15" spans="1:28">
      <c r="A58" s="37">
        <v>7</v>
      </c>
      <c r="B58" s="300" t="str">
        <f>'INPUT DATA'!B59:D59</f>
        <v>CLARO, REANZ P.</v>
      </c>
      <c r="C58" s="302"/>
      <c r="D58" s="302"/>
      <c r="E58" s="311"/>
      <c r="F58" s="81"/>
      <c r="G58" s="82"/>
      <c r="H58" s="82"/>
      <c r="I58" s="93"/>
      <c r="J58" s="81"/>
      <c r="K58" s="82"/>
      <c r="L58" s="82"/>
      <c r="M58" s="93"/>
      <c r="N58" s="81"/>
      <c r="O58" s="82"/>
      <c r="P58" s="82"/>
      <c r="Q58" s="93"/>
      <c r="R58" s="81"/>
      <c r="S58" s="82"/>
      <c r="T58" s="82"/>
      <c r="U58" s="322"/>
      <c r="V58" s="323" t="str">
        <f t="shared" si="1"/>
        <v/>
      </c>
      <c r="W58" s="83"/>
      <c r="X58" s="83"/>
      <c r="Y58" s="83"/>
      <c r="Z58" s="83"/>
      <c r="AA58" s="83"/>
      <c r="AB58" s="326"/>
    </row>
    <row r="59" ht="15" spans="1:28">
      <c r="A59" s="37">
        <v>8</v>
      </c>
      <c r="B59" s="300" t="str">
        <f>'INPUT DATA'!B60:D60</f>
        <v>FRANCISCO, YSABELLA BEATRICE B.</v>
      </c>
      <c r="C59" s="302"/>
      <c r="D59" s="302"/>
      <c r="E59" s="311"/>
      <c r="F59" s="81"/>
      <c r="G59" s="82"/>
      <c r="H59" s="82"/>
      <c r="I59" s="93"/>
      <c r="J59" s="81"/>
      <c r="K59" s="82"/>
      <c r="L59" s="82"/>
      <c r="M59" s="93"/>
      <c r="N59" s="81"/>
      <c r="O59" s="82"/>
      <c r="P59" s="82"/>
      <c r="Q59" s="93"/>
      <c r="R59" s="81"/>
      <c r="S59" s="82"/>
      <c r="T59" s="82"/>
      <c r="U59" s="322"/>
      <c r="V59" s="323" t="str">
        <f t="shared" si="1"/>
        <v/>
      </c>
      <c r="W59" s="83"/>
      <c r="X59" s="83"/>
      <c r="Y59" s="83"/>
      <c r="Z59" s="83"/>
      <c r="AA59" s="83"/>
      <c r="AB59" s="326"/>
    </row>
    <row r="60" ht="15" spans="1:28">
      <c r="A60" s="37">
        <v>9</v>
      </c>
      <c r="B60" s="300" t="str">
        <f>'INPUT DATA'!B61:D61</f>
        <v>GALDO, ALYSSA RHIAN P.</v>
      </c>
      <c r="C60" s="302"/>
      <c r="D60" s="302"/>
      <c r="E60" s="311"/>
      <c r="F60" s="81"/>
      <c r="G60" s="82"/>
      <c r="H60" s="82"/>
      <c r="I60" s="93"/>
      <c r="J60" s="81"/>
      <c r="K60" s="82"/>
      <c r="L60" s="82"/>
      <c r="M60" s="93"/>
      <c r="N60" s="81"/>
      <c r="O60" s="82"/>
      <c r="P60" s="82"/>
      <c r="Q60" s="93"/>
      <c r="R60" s="81"/>
      <c r="S60" s="82"/>
      <c r="T60" s="82"/>
      <c r="U60" s="322"/>
      <c r="V60" s="323" t="str">
        <f t="shared" si="1"/>
        <v/>
      </c>
      <c r="W60" s="83"/>
      <c r="X60" s="83"/>
      <c r="Y60" s="83"/>
      <c r="Z60" s="83"/>
      <c r="AA60" s="83"/>
      <c r="AB60" s="326"/>
    </row>
    <row r="61" ht="15" spans="1:28">
      <c r="A61" s="37">
        <v>10</v>
      </c>
      <c r="B61" s="300" t="str">
        <f>'INPUT DATA'!B62:D62</f>
        <v>HURAÑO, RIOMI M.</v>
      </c>
      <c r="C61" s="302"/>
      <c r="D61" s="302"/>
      <c r="E61" s="311"/>
      <c r="F61" s="81"/>
      <c r="G61" s="82"/>
      <c r="H61" s="82"/>
      <c r="I61" s="93"/>
      <c r="J61" s="81"/>
      <c r="K61" s="82"/>
      <c r="L61" s="82"/>
      <c r="M61" s="93"/>
      <c r="N61" s="81"/>
      <c r="O61" s="82"/>
      <c r="P61" s="82"/>
      <c r="Q61" s="93"/>
      <c r="R61" s="81"/>
      <c r="S61" s="82"/>
      <c r="T61" s="82"/>
      <c r="U61" s="322"/>
      <c r="V61" s="323" t="str">
        <f t="shared" si="1"/>
        <v/>
      </c>
      <c r="W61" s="83"/>
      <c r="X61" s="83"/>
      <c r="Y61" s="83"/>
      <c r="Z61" s="83"/>
      <c r="AA61" s="83"/>
      <c r="AB61" s="326"/>
    </row>
    <row r="62" ht="15" spans="1:28">
      <c r="A62" s="37">
        <v>11</v>
      </c>
      <c r="B62" s="300" t="str">
        <f>'INPUT DATA'!B63:D63</f>
        <v>LAGUNA, WELLAIZA O.</v>
      </c>
      <c r="C62" s="302"/>
      <c r="D62" s="302"/>
      <c r="E62" s="311"/>
      <c r="F62" s="81"/>
      <c r="G62" s="82"/>
      <c r="H62" s="82"/>
      <c r="I62" s="93"/>
      <c r="J62" s="81"/>
      <c r="K62" s="82"/>
      <c r="L62" s="82"/>
      <c r="M62" s="93"/>
      <c r="N62" s="81"/>
      <c r="O62" s="82"/>
      <c r="P62" s="82"/>
      <c r="Q62" s="93"/>
      <c r="R62" s="81"/>
      <c r="S62" s="82"/>
      <c r="T62" s="82"/>
      <c r="U62" s="322"/>
      <c r="V62" s="323" t="str">
        <f t="shared" si="1"/>
        <v/>
      </c>
      <c r="W62" s="83"/>
      <c r="X62" s="83"/>
      <c r="Y62" s="83"/>
      <c r="Z62" s="83"/>
      <c r="AA62" s="83"/>
      <c r="AB62" s="326"/>
    </row>
    <row r="63" ht="15" spans="1:28">
      <c r="A63" s="37">
        <v>12</v>
      </c>
      <c r="B63" s="300" t="str">
        <f>'INPUT DATA'!B64:D64</f>
        <v>LAZAGA, PRINCESS JEAN O.</v>
      </c>
      <c r="C63" s="302"/>
      <c r="D63" s="302"/>
      <c r="E63" s="311"/>
      <c r="F63" s="81"/>
      <c r="G63" s="82"/>
      <c r="H63" s="82"/>
      <c r="I63" s="93"/>
      <c r="J63" s="81"/>
      <c r="K63" s="82"/>
      <c r="L63" s="82"/>
      <c r="M63" s="93"/>
      <c r="N63" s="81"/>
      <c r="O63" s="82"/>
      <c r="P63" s="82"/>
      <c r="Q63" s="93"/>
      <c r="R63" s="81"/>
      <c r="S63" s="82"/>
      <c r="T63" s="82"/>
      <c r="U63" s="322"/>
      <c r="V63" s="323" t="str">
        <f t="shared" si="1"/>
        <v/>
      </c>
      <c r="W63" s="83"/>
      <c r="X63" s="83"/>
      <c r="Y63" s="83"/>
      <c r="Z63" s="83"/>
      <c r="AA63" s="83"/>
      <c r="AB63" s="326"/>
    </row>
    <row r="64" ht="15" spans="1:28">
      <c r="A64" s="37">
        <v>13</v>
      </c>
      <c r="B64" s="300" t="str">
        <f>'INPUT DATA'!B65:D65</f>
        <v>LIBRES, MIKYLLA B.</v>
      </c>
      <c r="C64" s="302"/>
      <c r="D64" s="302"/>
      <c r="E64" s="311"/>
      <c r="F64" s="81"/>
      <c r="G64" s="82"/>
      <c r="H64" s="82"/>
      <c r="I64" s="93"/>
      <c r="J64" s="81"/>
      <c r="K64" s="82"/>
      <c r="L64" s="82"/>
      <c r="M64" s="93"/>
      <c r="N64" s="81"/>
      <c r="O64" s="82"/>
      <c r="P64" s="82"/>
      <c r="Q64" s="93"/>
      <c r="R64" s="81"/>
      <c r="S64" s="82"/>
      <c r="T64" s="82"/>
      <c r="U64" s="322"/>
      <c r="V64" s="323" t="str">
        <f t="shared" si="1"/>
        <v/>
      </c>
      <c r="W64" s="83"/>
      <c r="X64" s="83"/>
      <c r="Y64" s="83"/>
      <c r="Z64" s="83"/>
      <c r="AA64" s="83"/>
      <c r="AB64" s="326"/>
    </row>
    <row r="65" ht="15" spans="1:28">
      <c r="A65" s="37">
        <v>14</v>
      </c>
      <c r="B65" s="300" t="str">
        <f>'INPUT DATA'!B66:D66</f>
        <v>LIM, LENNIE GRACE S.</v>
      </c>
      <c r="C65" s="302"/>
      <c r="D65" s="302"/>
      <c r="E65" s="311"/>
      <c r="F65" s="81"/>
      <c r="G65" s="82"/>
      <c r="H65" s="82"/>
      <c r="I65" s="93"/>
      <c r="J65" s="81"/>
      <c r="K65" s="82"/>
      <c r="L65" s="82"/>
      <c r="M65" s="93"/>
      <c r="N65" s="81"/>
      <c r="O65" s="82"/>
      <c r="P65" s="82"/>
      <c r="Q65" s="93"/>
      <c r="R65" s="81"/>
      <c r="S65" s="82"/>
      <c r="T65" s="82"/>
      <c r="U65" s="322"/>
      <c r="V65" s="323" t="str">
        <f t="shared" si="1"/>
        <v/>
      </c>
      <c r="W65" s="83"/>
      <c r="X65" s="83"/>
      <c r="Y65" s="83"/>
      <c r="Z65" s="83"/>
      <c r="AA65" s="83"/>
      <c r="AB65" s="326"/>
    </row>
    <row r="66" ht="15" spans="1:28">
      <c r="A66" s="37">
        <v>15</v>
      </c>
      <c r="B66" s="300" t="str">
        <f>'INPUT DATA'!B67:D67</f>
        <v>MASAYON, RHEA JANE L.</v>
      </c>
      <c r="C66" s="302"/>
      <c r="D66" s="302"/>
      <c r="E66" s="311"/>
      <c r="F66" s="81"/>
      <c r="G66" s="82"/>
      <c r="H66" s="82"/>
      <c r="I66" s="93"/>
      <c r="J66" s="81"/>
      <c r="K66" s="82"/>
      <c r="L66" s="82"/>
      <c r="M66" s="93"/>
      <c r="N66" s="81"/>
      <c r="O66" s="82"/>
      <c r="P66" s="82"/>
      <c r="Q66" s="93"/>
      <c r="R66" s="81"/>
      <c r="S66" s="82"/>
      <c r="T66" s="82"/>
      <c r="U66" s="322"/>
      <c r="V66" s="323" t="str">
        <f t="shared" si="1"/>
        <v/>
      </c>
      <c r="W66" s="83"/>
      <c r="X66" s="83"/>
      <c r="Y66" s="83"/>
      <c r="Z66" s="83"/>
      <c r="AA66" s="83"/>
      <c r="AB66" s="326"/>
    </row>
    <row r="67" ht="15" spans="1:28">
      <c r="A67" s="37">
        <v>16</v>
      </c>
      <c r="B67" s="300" t="str">
        <f>'INPUT DATA'!B68:D68</f>
        <v>MORANCIL, JENEVI A.</v>
      </c>
      <c r="C67" s="302"/>
      <c r="D67" s="302"/>
      <c r="E67" s="311"/>
      <c r="F67" s="81"/>
      <c r="G67" s="82"/>
      <c r="H67" s="82"/>
      <c r="I67" s="93"/>
      <c r="J67" s="81"/>
      <c r="K67" s="82"/>
      <c r="L67" s="82"/>
      <c r="M67" s="93"/>
      <c r="N67" s="81"/>
      <c r="O67" s="82"/>
      <c r="P67" s="82"/>
      <c r="Q67" s="93"/>
      <c r="R67" s="81"/>
      <c r="S67" s="82"/>
      <c r="T67" s="82"/>
      <c r="U67" s="322"/>
      <c r="V67" s="323" t="str">
        <f t="shared" si="1"/>
        <v/>
      </c>
      <c r="W67" s="83"/>
      <c r="X67" s="83"/>
      <c r="Y67" s="83"/>
      <c r="Z67" s="83"/>
      <c r="AA67" s="83"/>
      <c r="AB67" s="326"/>
    </row>
    <row r="68" ht="15" spans="1:28">
      <c r="A68" s="37">
        <v>17</v>
      </c>
      <c r="B68" s="300" t="str">
        <f>'INPUT DATA'!B69:D69</f>
        <v>PATRICIO, MICHA ELLA P.</v>
      </c>
      <c r="C68" s="302"/>
      <c r="D68" s="302"/>
      <c r="E68" s="311"/>
      <c r="F68" s="81"/>
      <c r="G68" s="82"/>
      <c r="H68" s="82"/>
      <c r="I68" s="93"/>
      <c r="J68" s="81"/>
      <c r="K68" s="82"/>
      <c r="L68" s="82"/>
      <c r="M68" s="93"/>
      <c r="N68" s="81"/>
      <c r="O68" s="82"/>
      <c r="P68" s="82"/>
      <c r="Q68" s="93"/>
      <c r="R68" s="81"/>
      <c r="S68" s="82"/>
      <c r="T68" s="82"/>
      <c r="U68" s="322"/>
      <c r="V68" s="323" t="str">
        <f t="shared" si="1"/>
        <v/>
      </c>
      <c r="W68" s="83"/>
      <c r="X68" s="83"/>
      <c r="Y68" s="83"/>
      <c r="Z68" s="83"/>
      <c r="AA68" s="83"/>
      <c r="AB68" s="326"/>
    </row>
    <row r="69" ht="15" spans="1:28">
      <c r="A69" s="37">
        <v>18</v>
      </c>
      <c r="B69" s="300" t="str">
        <f>'INPUT DATA'!B70:D70</f>
        <v>PELINGON , ASHLEY C.</v>
      </c>
      <c r="C69" s="302"/>
      <c r="D69" s="302"/>
      <c r="E69" s="311"/>
      <c r="F69" s="81"/>
      <c r="G69" s="82"/>
      <c r="H69" s="82"/>
      <c r="I69" s="93"/>
      <c r="J69" s="81"/>
      <c r="K69" s="82"/>
      <c r="L69" s="82"/>
      <c r="M69" s="93"/>
      <c r="N69" s="81"/>
      <c r="O69" s="82"/>
      <c r="P69" s="82"/>
      <c r="Q69" s="93"/>
      <c r="R69" s="81"/>
      <c r="S69" s="82"/>
      <c r="T69" s="82"/>
      <c r="U69" s="322"/>
      <c r="V69" s="323" t="str">
        <f t="shared" si="1"/>
        <v/>
      </c>
      <c r="W69" s="83"/>
      <c r="X69" s="83"/>
      <c r="Y69" s="83"/>
      <c r="Z69" s="83"/>
      <c r="AA69" s="83"/>
      <c r="AB69" s="326"/>
    </row>
    <row r="70" ht="15" spans="1:28">
      <c r="A70" s="37">
        <v>19</v>
      </c>
      <c r="B70" s="300" t="str">
        <f>'INPUT DATA'!B71:D71</f>
        <v>PEREZ, MERCY JEAN T.</v>
      </c>
      <c r="C70" s="302"/>
      <c r="D70" s="302"/>
      <c r="E70" s="311"/>
      <c r="F70" s="81"/>
      <c r="G70" s="82"/>
      <c r="H70" s="82"/>
      <c r="I70" s="93"/>
      <c r="J70" s="81"/>
      <c r="K70" s="82"/>
      <c r="L70" s="82"/>
      <c r="M70" s="93"/>
      <c r="N70" s="81"/>
      <c r="O70" s="82"/>
      <c r="P70" s="82"/>
      <c r="Q70" s="93"/>
      <c r="R70" s="81"/>
      <c r="S70" s="82"/>
      <c r="T70" s="82"/>
      <c r="U70" s="322"/>
      <c r="V70" s="323" t="str">
        <f t="shared" si="1"/>
        <v/>
      </c>
      <c r="W70" s="83"/>
      <c r="X70" s="83"/>
      <c r="Y70" s="83"/>
      <c r="Z70" s="83"/>
      <c r="AA70" s="83"/>
      <c r="AB70" s="326"/>
    </row>
    <row r="71" ht="15" spans="1:28">
      <c r="A71" s="37">
        <v>20</v>
      </c>
      <c r="B71" s="300" t="str">
        <f>'INPUT DATA'!B72:D72</f>
        <v>PINGOT, RHEA L.</v>
      </c>
      <c r="C71" s="302"/>
      <c r="D71" s="302"/>
      <c r="E71" s="311"/>
      <c r="F71" s="81"/>
      <c r="G71" s="82"/>
      <c r="H71" s="82"/>
      <c r="I71" s="93"/>
      <c r="J71" s="81"/>
      <c r="K71" s="82"/>
      <c r="L71" s="82"/>
      <c r="M71" s="93"/>
      <c r="N71" s="81"/>
      <c r="O71" s="82"/>
      <c r="P71" s="82"/>
      <c r="Q71" s="93"/>
      <c r="R71" s="81"/>
      <c r="S71" s="82"/>
      <c r="T71" s="82"/>
      <c r="U71" s="322"/>
      <c r="V71" s="323" t="str">
        <f t="shared" si="1"/>
        <v/>
      </c>
      <c r="W71" s="83"/>
      <c r="X71" s="83"/>
      <c r="Y71" s="83"/>
      <c r="Z71" s="83"/>
      <c r="AA71" s="83"/>
      <c r="AB71" s="326"/>
    </row>
    <row r="72" ht="15" spans="1:28">
      <c r="A72" s="37">
        <v>21</v>
      </c>
      <c r="B72" s="300" t="str">
        <f>'INPUT DATA'!B73:D73</f>
        <v>QUILAT, FERRA MAE</v>
      </c>
      <c r="C72" s="302"/>
      <c r="D72" s="302"/>
      <c r="E72" s="311"/>
      <c r="F72" s="81"/>
      <c r="G72" s="82"/>
      <c r="H72" s="82"/>
      <c r="I72" s="93"/>
      <c r="J72" s="81"/>
      <c r="K72" s="82"/>
      <c r="L72" s="82"/>
      <c r="M72" s="93"/>
      <c r="N72" s="81"/>
      <c r="O72" s="82"/>
      <c r="P72" s="82"/>
      <c r="Q72" s="93"/>
      <c r="R72" s="81"/>
      <c r="S72" s="82"/>
      <c r="T72" s="82"/>
      <c r="U72" s="322"/>
      <c r="V72" s="323" t="str">
        <f t="shared" si="1"/>
        <v/>
      </c>
      <c r="W72" s="83"/>
      <c r="X72" s="83"/>
      <c r="Y72" s="83"/>
      <c r="Z72" s="83"/>
      <c r="AA72" s="83"/>
      <c r="AB72" s="326"/>
    </row>
    <row r="73" ht="15" spans="1:28">
      <c r="A73" s="37">
        <v>22</v>
      </c>
      <c r="B73" s="300" t="str">
        <f>'INPUT DATA'!B74:D74</f>
        <v>ROSALES, RYZA MAE C.</v>
      </c>
      <c r="C73" s="302"/>
      <c r="D73" s="302"/>
      <c r="E73" s="311"/>
      <c r="F73" s="81"/>
      <c r="G73" s="82"/>
      <c r="H73" s="82"/>
      <c r="I73" s="93"/>
      <c r="J73" s="81"/>
      <c r="K73" s="82"/>
      <c r="L73" s="82"/>
      <c r="M73" s="93"/>
      <c r="N73" s="81"/>
      <c r="O73" s="82"/>
      <c r="P73" s="82"/>
      <c r="Q73" s="93"/>
      <c r="R73" s="81"/>
      <c r="S73" s="82"/>
      <c r="T73" s="82"/>
      <c r="U73" s="322"/>
      <c r="V73" s="323" t="str">
        <f t="shared" si="1"/>
        <v/>
      </c>
      <c r="W73" s="83"/>
      <c r="X73" s="83"/>
      <c r="Y73" s="83"/>
      <c r="Z73" s="83"/>
      <c r="AA73" s="83"/>
      <c r="AB73" s="326"/>
    </row>
    <row r="74" ht="15" spans="1:28">
      <c r="A74" s="37">
        <v>23</v>
      </c>
      <c r="B74" s="300">
        <f>'INPUT DATA'!B75:D75</f>
        <v>0</v>
      </c>
      <c r="C74" s="302"/>
      <c r="D74" s="302"/>
      <c r="E74" s="311"/>
      <c r="F74" s="81"/>
      <c r="G74" s="82"/>
      <c r="H74" s="82"/>
      <c r="I74" s="93"/>
      <c r="J74" s="81"/>
      <c r="K74" s="82"/>
      <c r="L74" s="82"/>
      <c r="M74" s="93"/>
      <c r="N74" s="81"/>
      <c r="O74" s="82"/>
      <c r="P74" s="82"/>
      <c r="Q74" s="93"/>
      <c r="R74" s="81"/>
      <c r="S74" s="82"/>
      <c r="T74" s="82"/>
      <c r="U74" s="322"/>
      <c r="V74" s="323" t="str">
        <f t="shared" si="1"/>
        <v/>
      </c>
      <c r="W74" s="83"/>
      <c r="X74" s="83"/>
      <c r="Y74" s="83"/>
      <c r="Z74" s="83"/>
      <c r="AA74" s="83"/>
      <c r="AB74" s="326"/>
    </row>
    <row r="75" ht="15" spans="1:28">
      <c r="A75" s="37">
        <v>24</v>
      </c>
      <c r="B75" s="300">
        <f>'INPUT DATA'!B76:D76</f>
        <v>0</v>
      </c>
      <c r="C75" s="302"/>
      <c r="D75" s="302"/>
      <c r="E75" s="311"/>
      <c r="F75" s="81"/>
      <c r="G75" s="82"/>
      <c r="H75" s="82"/>
      <c r="I75" s="93"/>
      <c r="J75" s="81"/>
      <c r="K75" s="82"/>
      <c r="L75" s="82"/>
      <c r="M75" s="93"/>
      <c r="N75" s="81"/>
      <c r="O75" s="82"/>
      <c r="P75" s="82"/>
      <c r="Q75" s="93"/>
      <c r="R75" s="81"/>
      <c r="S75" s="82"/>
      <c r="T75" s="82"/>
      <c r="U75" s="322"/>
      <c r="V75" s="323" t="str">
        <f t="shared" si="1"/>
        <v/>
      </c>
      <c r="W75" s="83"/>
      <c r="X75" s="83"/>
      <c r="Y75" s="83"/>
      <c r="Z75" s="83"/>
      <c r="AA75" s="83"/>
      <c r="AB75" s="326"/>
    </row>
    <row r="76" ht="15" spans="1:28">
      <c r="A76" s="37">
        <v>25</v>
      </c>
      <c r="B76" s="300">
        <f>'INPUT DATA'!B77:D77</f>
        <v>0</v>
      </c>
      <c r="C76" s="302"/>
      <c r="D76" s="302"/>
      <c r="E76" s="311"/>
      <c r="F76" s="81"/>
      <c r="G76" s="82"/>
      <c r="H76" s="82"/>
      <c r="I76" s="93"/>
      <c r="J76" s="81"/>
      <c r="K76" s="82"/>
      <c r="L76" s="82"/>
      <c r="M76" s="93"/>
      <c r="N76" s="81"/>
      <c r="O76" s="82"/>
      <c r="P76" s="82"/>
      <c r="Q76" s="93"/>
      <c r="R76" s="81"/>
      <c r="S76" s="82"/>
      <c r="T76" s="82"/>
      <c r="U76" s="322"/>
      <c r="V76" s="323" t="s">
        <v>74</v>
      </c>
      <c r="W76" s="83"/>
      <c r="X76" s="83"/>
      <c r="Y76" s="83"/>
      <c r="Z76" s="83"/>
      <c r="AA76" s="83"/>
      <c r="AB76" s="326"/>
    </row>
    <row r="77" ht="15" hidden="1" spans="1:28">
      <c r="A77" s="42">
        <v>26</v>
      </c>
      <c r="B77" s="300">
        <f>'INPUT DATA'!B78:D78</f>
        <v>0</v>
      </c>
      <c r="C77" s="107"/>
      <c r="D77" s="107"/>
      <c r="E77" s="108"/>
      <c r="F77" s="81"/>
      <c r="G77" s="82"/>
      <c r="H77" s="82"/>
      <c r="I77" s="93"/>
      <c r="J77" s="81"/>
      <c r="K77" s="82"/>
      <c r="L77" s="82"/>
      <c r="M77" s="93"/>
      <c r="N77" s="81"/>
      <c r="O77" s="82"/>
      <c r="P77" s="82"/>
      <c r="Q77" s="93"/>
      <c r="R77" s="81"/>
      <c r="S77" s="82"/>
      <c r="T77" s="82"/>
      <c r="U77" s="322"/>
      <c r="V77" s="323" t="s">
        <v>74</v>
      </c>
      <c r="W77" s="83"/>
      <c r="X77" s="83"/>
      <c r="Y77" s="83"/>
      <c r="Z77" s="83"/>
      <c r="AA77" s="83"/>
      <c r="AB77" s="326"/>
    </row>
    <row r="78" ht="15" hidden="1" spans="1:28">
      <c r="A78" s="42">
        <v>27</v>
      </c>
      <c r="B78" s="300">
        <f>'INPUT DATA'!B79:D79</f>
        <v>0</v>
      </c>
      <c r="C78" s="109"/>
      <c r="D78" s="109"/>
      <c r="E78" s="110"/>
      <c r="F78" s="81"/>
      <c r="G78" s="82"/>
      <c r="H78" s="82"/>
      <c r="I78" s="93"/>
      <c r="J78" s="81"/>
      <c r="K78" s="82"/>
      <c r="L78" s="82"/>
      <c r="M78" s="93"/>
      <c r="N78" s="81"/>
      <c r="O78" s="82"/>
      <c r="P78" s="82"/>
      <c r="Q78" s="93"/>
      <c r="R78" s="81"/>
      <c r="S78" s="82"/>
      <c r="T78" s="82"/>
      <c r="U78" s="322"/>
      <c r="V78" s="323" t="s">
        <v>74</v>
      </c>
      <c r="W78" s="83"/>
      <c r="X78" s="83"/>
      <c r="Y78" s="83"/>
      <c r="Z78" s="83"/>
      <c r="AA78" s="83"/>
      <c r="AB78" s="326"/>
    </row>
    <row r="79" ht="15" hidden="1" spans="1:28">
      <c r="A79" s="42">
        <v>28</v>
      </c>
      <c r="B79" s="300">
        <f>'INPUT DATA'!B80:D80</f>
        <v>0</v>
      </c>
      <c r="C79" s="109"/>
      <c r="D79" s="109"/>
      <c r="E79" s="110"/>
      <c r="F79" s="81"/>
      <c r="G79" s="82"/>
      <c r="H79" s="82"/>
      <c r="I79" s="93"/>
      <c r="J79" s="81"/>
      <c r="K79" s="82"/>
      <c r="L79" s="82"/>
      <c r="M79" s="93"/>
      <c r="N79" s="81"/>
      <c r="O79" s="82"/>
      <c r="P79" s="82"/>
      <c r="Q79" s="93"/>
      <c r="R79" s="81"/>
      <c r="S79" s="82"/>
      <c r="T79" s="82"/>
      <c r="U79" s="322"/>
      <c r="V79" s="323" t="s">
        <v>74</v>
      </c>
      <c r="W79" s="83"/>
      <c r="X79" s="83"/>
      <c r="Y79" s="83"/>
      <c r="Z79" s="83"/>
      <c r="AA79" s="83"/>
      <c r="AB79" s="326"/>
    </row>
    <row r="80" ht="15" hidden="1" spans="1:28">
      <c r="A80" s="42">
        <v>29</v>
      </c>
      <c r="B80" s="300">
        <f>'INPUT DATA'!B81:D81</f>
        <v>0</v>
      </c>
      <c r="C80" s="109"/>
      <c r="D80" s="109"/>
      <c r="E80" s="110"/>
      <c r="F80" s="81"/>
      <c r="G80" s="82"/>
      <c r="H80" s="82"/>
      <c r="I80" s="93"/>
      <c r="J80" s="81"/>
      <c r="K80" s="82"/>
      <c r="L80" s="82"/>
      <c r="M80" s="93"/>
      <c r="N80" s="81"/>
      <c r="O80" s="82"/>
      <c r="P80" s="82"/>
      <c r="Q80" s="93"/>
      <c r="R80" s="81"/>
      <c r="S80" s="82"/>
      <c r="T80" s="82"/>
      <c r="U80" s="322"/>
      <c r="V80" s="323" t="s">
        <v>74</v>
      </c>
      <c r="W80" s="83"/>
      <c r="X80" s="83"/>
      <c r="Y80" s="83"/>
      <c r="Z80" s="83"/>
      <c r="AA80" s="83"/>
      <c r="AB80" s="326"/>
    </row>
    <row r="81" ht="15" hidden="1" spans="1:28">
      <c r="A81" s="42">
        <v>30</v>
      </c>
      <c r="B81" s="300">
        <f>'INPUT DATA'!B82:D82</f>
        <v>0</v>
      </c>
      <c r="C81" s="109"/>
      <c r="D81" s="109"/>
      <c r="E81" s="110"/>
      <c r="F81" s="81"/>
      <c r="G81" s="82"/>
      <c r="H81" s="82"/>
      <c r="I81" s="93"/>
      <c r="J81" s="81"/>
      <c r="K81" s="82"/>
      <c r="L81" s="82"/>
      <c r="M81" s="93"/>
      <c r="N81" s="81"/>
      <c r="O81" s="82"/>
      <c r="P81" s="82"/>
      <c r="Q81" s="93"/>
      <c r="R81" s="81"/>
      <c r="S81" s="82"/>
      <c r="T81" s="82"/>
      <c r="U81" s="322"/>
      <c r="V81" s="323" t="s">
        <v>74</v>
      </c>
      <c r="W81" s="83"/>
      <c r="X81" s="83"/>
      <c r="Y81" s="83"/>
      <c r="Z81" s="83"/>
      <c r="AA81" s="83"/>
      <c r="AB81" s="326"/>
    </row>
    <row r="82" ht="15" hidden="1" spans="1:28">
      <c r="A82" s="42">
        <v>31</v>
      </c>
      <c r="B82" s="300">
        <f>'INPUT DATA'!B83:D83</f>
        <v>0</v>
      </c>
      <c r="C82" s="109"/>
      <c r="D82" s="109"/>
      <c r="E82" s="110"/>
      <c r="F82" s="81"/>
      <c r="G82" s="82"/>
      <c r="H82" s="82"/>
      <c r="I82" s="93"/>
      <c r="J82" s="81"/>
      <c r="K82" s="82"/>
      <c r="L82" s="82"/>
      <c r="M82" s="93"/>
      <c r="N82" s="81"/>
      <c r="O82" s="82"/>
      <c r="P82" s="82"/>
      <c r="Q82" s="93"/>
      <c r="R82" s="81"/>
      <c r="S82" s="82"/>
      <c r="T82" s="82"/>
      <c r="U82" s="322"/>
      <c r="V82" s="323" t="s">
        <v>74</v>
      </c>
      <c r="W82" s="83"/>
      <c r="X82" s="83"/>
      <c r="Y82" s="83"/>
      <c r="Z82" s="83"/>
      <c r="AA82" s="83"/>
      <c r="AB82" s="326"/>
    </row>
    <row r="83" ht="15" hidden="1" spans="1:28">
      <c r="A83" s="42">
        <v>32</v>
      </c>
      <c r="B83" s="300">
        <f>'INPUT DATA'!B84:D84</f>
        <v>0</v>
      </c>
      <c r="C83" s="109"/>
      <c r="D83" s="109"/>
      <c r="E83" s="110"/>
      <c r="F83" s="81"/>
      <c r="G83" s="82"/>
      <c r="H83" s="82"/>
      <c r="I83" s="93"/>
      <c r="J83" s="81"/>
      <c r="K83" s="82"/>
      <c r="L83" s="82"/>
      <c r="M83" s="93"/>
      <c r="N83" s="81"/>
      <c r="O83" s="82"/>
      <c r="P83" s="82"/>
      <c r="Q83" s="93"/>
      <c r="R83" s="81"/>
      <c r="S83" s="82"/>
      <c r="T83" s="82"/>
      <c r="U83" s="322"/>
      <c r="V83" s="323" t="s">
        <v>74</v>
      </c>
      <c r="W83" s="83"/>
      <c r="X83" s="83"/>
      <c r="Y83" s="83"/>
      <c r="Z83" s="83"/>
      <c r="AA83" s="83"/>
      <c r="AB83" s="326"/>
    </row>
    <row r="84" ht="15" hidden="1" spans="1:28">
      <c r="A84" s="42">
        <v>33</v>
      </c>
      <c r="B84" s="300">
        <f>'INPUT DATA'!B85:D85</f>
        <v>0</v>
      </c>
      <c r="C84" s="109"/>
      <c r="D84" s="109"/>
      <c r="E84" s="110"/>
      <c r="F84" s="81"/>
      <c r="G84" s="82"/>
      <c r="H84" s="82"/>
      <c r="I84" s="93"/>
      <c r="J84" s="81"/>
      <c r="K84" s="82"/>
      <c r="L84" s="82"/>
      <c r="M84" s="93"/>
      <c r="N84" s="81"/>
      <c r="O84" s="82"/>
      <c r="P84" s="82"/>
      <c r="Q84" s="93"/>
      <c r="R84" s="81"/>
      <c r="S84" s="82"/>
      <c r="T84" s="82"/>
      <c r="U84" s="322"/>
      <c r="V84" s="323" t="s">
        <v>74</v>
      </c>
      <c r="W84" s="83"/>
      <c r="X84" s="83"/>
      <c r="Y84" s="83"/>
      <c r="Z84" s="83"/>
      <c r="AA84" s="83"/>
      <c r="AB84" s="326"/>
    </row>
    <row r="85" ht="15" hidden="1" spans="1:28">
      <c r="A85" s="42">
        <v>34</v>
      </c>
      <c r="B85" s="300">
        <f>'INPUT DATA'!B86:D86</f>
        <v>0</v>
      </c>
      <c r="C85" s="109"/>
      <c r="D85" s="109"/>
      <c r="E85" s="110"/>
      <c r="F85" s="81"/>
      <c r="G85" s="82"/>
      <c r="H85" s="82"/>
      <c r="I85" s="93"/>
      <c r="J85" s="81"/>
      <c r="K85" s="82"/>
      <c r="L85" s="82"/>
      <c r="M85" s="93"/>
      <c r="N85" s="81"/>
      <c r="O85" s="82"/>
      <c r="P85" s="82"/>
      <c r="Q85" s="93"/>
      <c r="R85" s="81"/>
      <c r="S85" s="82"/>
      <c r="T85" s="82"/>
      <c r="U85" s="322"/>
      <c r="V85" s="323" t="s">
        <v>74</v>
      </c>
      <c r="W85" s="83"/>
      <c r="X85" s="83"/>
      <c r="Y85" s="83"/>
      <c r="Z85" s="83"/>
      <c r="AA85" s="83"/>
      <c r="AB85" s="326"/>
    </row>
    <row r="86" ht="15" hidden="1" spans="1:28">
      <c r="A86" s="42">
        <v>35</v>
      </c>
      <c r="B86" s="300">
        <f>'INPUT DATA'!B87:D87</f>
        <v>0</v>
      </c>
      <c r="C86" s="109"/>
      <c r="D86" s="109"/>
      <c r="E86" s="110"/>
      <c r="F86" s="81"/>
      <c r="G86" s="82"/>
      <c r="H86" s="82"/>
      <c r="I86" s="93"/>
      <c r="J86" s="81"/>
      <c r="K86" s="82"/>
      <c r="L86" s="82"/>
      <c r="M86" s="93"/>
      <c r="N86" s="81"/>
      <c r="O86" s="82"/>
      <c r="P86" s="82"/>
      <c r="Q86" s="93"/>
      <c r="R86" s="81"/>
      <c r="S86" s="82"/>
      <c r="T86" s="82"/>
      <c r="U86" s="322"/>
      <c r="V86" s="323" t="s">
        <v>74</v>
      </c>
      <c r="W86" s="83"/>
      <c r="X86" s="83"/>
      <c r="Y86" s="83"/>
      <c r="Z86" s="83"/>
      <c r="AA86" s="83"/>
      <c r="AB86" s="326"/>
    </row>
    <row r="87" hidden="1"/>
  </sheetData>
  <mergeCells count="413">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AB9"/>
    <mergeCell ref="F10:I10"/>
    <mergeCell ref="J10:M10"/>
    <mergeCell ref="N10:Q10"/>
    <mergeCell ref="R10:U10"/>
    <mergeCell ref="V10:AB10"/>
    <mergeCell ref="B11:E11"/>
    <mergeCell ref="F11:I11"/>
    <mergeCell ref="J11:M11"/>
    <mergeCell ref="N11:Q11"/>
    <mergeCell ref="R11:U11"/>
    <mergeCell ref="V11:AB11"/>
    <mergeCell ref="F12:I12"/>
    <mergeCell ref="J12:M12"/>
    <mergeCell ref="N12:Q12"/>
    <mergeCell ref="R12:U12"/>
    <mergeCell ref="V12:AB12"/>
    <mergeCell ref="F13:I13"/>
    <mergeCell ref="J13:M13"/>
    <mergeCell ref="N13:Q13"/>
    <mergeCell ref="R13:U13"/>
    <mergeCell ref="V13:AB13"/>
    <mergeCell ref="F14:I14"/>
    <mergeCell ref="J14:M14"/>
    <mergeCell ref="N14:Q14"/>
    <mergeCell ref="R14:U14"/>
    <mergeCell ref="V14:AB14"/>
    <mergeCell ref="F15:I15"/>
    <mergeCell ref="J15:M15"/>
    <mergeCell ref="N15:Q15"/>
    <mergeCell ref="R15:U15"/>
    <mergeCell ref="V15:AB15"/>
    <mergeCell ref="F16:I16"/>
    <mergeCell ref="J16:M16"/>
    <mergeCell ref="N16:Q16"/>
    <mergeCell ref="R16:U16"/>
    <mergeCell ref="V16:AB16"/>
    <mergeCell ref="F17:I17"/>
    <mergeCell ref="J17:M17"/>
    <mergeCell ref="N17:Q17"/>
    <mergeCell ref="R17:U17"/>
    <mergeCell ref="V17:AB17"/>
    <mergeCell ref="F18:I18"/>
    <mergeCell ref="J18:M18"/>
    <mergeCell ref="N18:Q18"/>
    <mergeCell ref="R18:U18"/>
    <mergeCell ref="V18:AB18"/>
    <mergeCell ref="F19:I19"/>
    <mergeCell ref="J19:M19"/>
    <mergeCell ref="N19:Q19"/>
    <mergeCell ref="R19:U19"/>
    <mergeCell ref="V19:AB19"/>
    <mergeCell ref="F20:I20"/>
    <mergeCell ref="J20:M20"/>
    <mergeCell ref="N20:Q20"/>
    <mergeCell ref="R20:U20"/>
    <mergeCell ref="V20:AB20"/>
    <mergeCell ref="F21:I21"/>
    <mergeCell ref="J21:M21"/>
    <mergeCell ref="N21:Q21"/>
    <mergeCell ref="R21:U21"/>
    <mergeCell ref="V21:AB21"/>
    <mergeCell ref="F22:I22"/>
    <mergeCell ref="J22:M22"/>
    <mergeCell ref="N22:Q22"/>
    <mergeCell ref="R22:U22"/>
    <mergeCell ref="V22:AB22"/>
    <mergeCell ref="F23:I23"/>
    <mergeCell ref="J23:M23"/>
    <mergeCell ref="N23:Q23"/>
    <mergeCell ref="R23:U23"/>
    <mergeCell ref="V23:AB23"/>
    <mergeCell ref="F24:I24"/>
    <mergeCell ref="J24:M24"/>
    <mergeCell ref="N24:Q24"/>
    <mergeCell ref="R24:U24"/>
    <mergeCell ref="V24:AB24"/>
    <mergeCell ref="F25:I25"/>
    <mergeCell ref="J25:M25"/>
    <mergeCell ref="N25:Q25"/>
    <mergeCell ref="R25:U25"/>
    <mergeCell ref="V25:AB25"/>
    <mergeCell ref="F26:I26"/>
    <mergeCell ref="J26:M26"/>
    <mergeCell ref="N26:Q26"/>
    <mergeCell ref="R26:U26"/>
    <mergeCell ref="V26:AB26"/>
    <mergeCell ref="F27:I27"/>
    <mergeCell ref="J27:M27"/>
    <mergeCell ref="N27:Q27"/>
    <mergeCell ref="R27:U27"/>
    <mergeCell ref="V27:AB27"/>
    <mergeCell ref="F28:I28"/>
    <mergeCell ref="J28:M28"/>
    <mergeCell ref="N28:Q28"/>
    <mergeCell ref="R28:U28"/>
    <mergeCell ref="V28:AB28"/>
    <mergeCell ref="F29:I29"/>
    <mergeCell ref="J29:M29"/>
    <mergeCell ref="N29:Q29"/>
    <mergeCell ref="R29:U29"/>
    <mergeCell ref="V29:AB29"/>
    <mergeCell ref="F30:I30"/>
    <mergeCell ref="J30:M30"/>
    <mergeCell ref="N30:Q30"/>
    <mergeCell ref="R30:U30"/>
    <mergeCell ref="V30:AB30"/>
    <mergeCell ref="F31:I31"/>
    <mergeCell ref="J31:M31"/>
    <mergeCell ref="N31:Q31"/>
    <mergeCell ref="R31:U31"/>
    <mergeCell ref="V31:AB31"/>
    <mergeCell ref="F32:I32"/>
    <mergeCell ref="J32:M32"/>
    <mergeCell ref="N32:Q32"/>
    <mergeCell ref="R32:U32"/>
    <mergeCell ref="V32:AB32"/>
    <mergeCell ref="F33:I33"/>
    <mergeCell ref="J33:M33"/>
    <mergeCell ref="N33:Q33"/>
    <mergeCell ref="R33:U33"/>
    <mergeCell ref="V33:AB33"/>
    <mergeCell ref="F34:I34"/>
    <mergeCell ref="J34:M34"/>
    <mergeCell ref="N34:Q34"/>
    <mergeCell ref="R34:U34"/>
    <mergeCell ref="V34:AB34"/>
    <mergeCell ref="F35:I35"/>
    <mergeCell ref="J35:M35"/>
    <mergeCell ref="N35:Q35"/>
    <mergeCell ref="R35:U35"/>
    <mergeCell ref="V35:AB35"/>
    <mergeCell ref="F36:I36"/>
    <mergeCell ref="J36:M36"/>
    <mergeCell ref="N36:Q36"/>
    <mergeCell ref="R36:U36"/>
    <mergeCell ref="V36:AB36"/>
    <mergeCell ref="F37:I37"/>
    <mergeCell ref="J37:M37"/>
    <mergeCell ref="N37:Q37"/>
    <mergeCell ref="R37:U37"/>
    <mergeCell ref="V37:AB37"/>
    <mergeCell ref="F38:I38"/>
    <mergeCell ref="J38:M38"/>
    <mergeCell ref="N38:Q38"/>
    <mergeCell ref="R38:U38"/>
    <mergeCell ref="V38:AB38"/>
    <mergeCell ref="F39:I39"/>
    <mergeCell ref="J39:M39"/>
    <mergeCell ref="N39:Q39"/>
    <mergeCell ref="R39:U39"/>
    <mergeCell ref="V39:AB39"/>
    <mergeCell ref="F40:I40"/>
    <mergeCell ref="J40:M40"/>
    <mergeCell ref="N40:Q40"/>
    <mergeCell ref="R40:U40"/>
    <mergeCell ref="V40:AB40"/>
    <mergeCell ref="F41:I41"/>
    <mergeCell ref="J41:M41"/>
    <mergeCell ref="N41:Q41"/>
    <mergeCell ref="R41:U41"/>
    <mergeCell ref="V41:AB41"/>
    <mergeCell ref="F42:I42"/>
    <mergeCell ref="J42:M42"/>
    <mergeCell ref="N42:Q42"/>
    <mergeCell ref="R42:U42"/>
    <mergeCell ref="V42:AB42"/>
    <mergeCell ref="F43:I43"/>
    <mergeCell ref="J43:M43"/>
    <mergeCell ref="N43:Q43"/>
    <mergeCell ref="R43:U43"/>
    <mergeCell ref="V43:AB43"/>
    <mergeCell ref="F44:I44"/>
    <mergeCell ref="J44:M44"/>
    <mergeCell ref="N44:Q44"/>
    <mergeCell ref="R44:U44"/>
    <mergeCell ref="V44:AB44"/>
    <mergeCell ref="F45:I45"/>
    <mergeCell ref="J45:M45"/>
    <mergeCell ref="N45:Q45"/>
    <mergeCell ref="R45:U45"/>
    <mergeCell ref="V45:AB45"/>
    <mergeCell ref="F46:I46"/>
    <mergeCell ref="J46:M46"/>
    <mergeCell ref="N46:Q46"/>
    <mergeCell ref="R46:U46"/>
    <mergeCell ref="V46:AB46"/>
    <mergeCell ref="F47:I47"/>
    <mergeCell ref="J47:M47"/>
    <mergeCell ref="N47:Q47"/>
    <mergeCell ref="R47:U47"/>
    <mergeCell ref="V47:AB47"/>
    <mergeCell ref="F48:I48"/>
    <mergeCell ref="J48:M48"/>
    <mergeCell ref="N48:Q48"/>
    <mergeCell ref="R48:U48"/>
    <mergeCell ref="V48:AB48"/>
    <mergeCell ref="F49:I49"/>
    <mergeCell ref="J49:M49"/>
    <mergeCell ref="N49:Q49"/>
    <mergeCell ref="R49:U49"/>
    <mergeCell ref="V49:AB49"/>
    <mergeCell ref="F50:I50"/>
    <mergeCell ref="J50:M50"/>
    <mergeCell ref="N50:Q50"/>
    <mergeCell ref="R50:U50"/>
    <mergeCell ref="V50:AB50"/>
    <mergeCell ref="B51:E51"/>
    <mergeCell ref="F51:I51"/>
    <mergeCell ref="J51:M51"/>
    <mergeCell ref="N51:Q51"/>
    <mergeCell ref="R51:U51"/>
    <mergeCell ref="V51:AB51"/>
    <mergeCell ref="F52:I52"/>
    <mergeCell ref="J52:M52"/>
    <mergeCell ref="N52:Q52"/>
    <mergeCell ref="R52:U52"/>
    <mergeCell ref="V52:AB52"/>
    <mergeCell ref="F53:I53"/>
    <mergeCell ref="J53:M53"/>
    <mergeCell ref="N53:Q53"/>
    <mergeCell ref="R53:U53"/>
    <mergeCell ref="V53:AB53"/>
    <mergeCell ref="F54:I54"/>
    <mergeCell ref="J54:M54"/>
    <mergeCell ref="N54:Q54"/>
    <mergeCell ref="R54:U54"/>
    <mergeCell ref="V54:AB54"/>
    <mergeCell ref="F55:I55"/>
    <mergeCell ref="J55:M55"/>
    <mergeCell ref="N55:Q55"/>
    <mergeCell ref="R55:U55"/>
    <mergeCell ref="V55:AB55"/>
    <mergeCell ref="F56:I56"/>
    <mergeCell ref="J56:M56"/>
    <mergeCell ref="N56:Q56"/>
    <mergeCell ref="R56:U56"/>
    <mergeCell ref="V56:AB56"/>
    <mergeCell ref="F57:I57"/>
    <mergeCell ref="J57:M57"/>
    <mergeCell ref="N57:Q57"/>
    <mergeCell ref="R57:U57"/>
    <mergeCell ref="V57:AB57"/>
    <mergeCell ref="F58:I58"/>
    <mergeCell ref="J58:M58"/>
    <mergeCell ref="N58:Q58"/>
    <mergeCell ref="R58:U58"/>
    <mergeCell ref="V58:AB58"/>
    <mergeCell ref="F59:I59"/>
    <mergeCell ref="J59:M59"/>
    <mergeCell ref="N59:Q59"/>
    <mergeCell ref="R59:U59"/>
    <mergeCell ref="V59:AB59"/>
    <mergeCell ref="F60:I60"/>
    <mergeCell ref="J60:M60"/>
    <mergeCell ref="N60:Q60"/>
    <mergeCell ref="R60:U60"/>
    <mergeCell ref="V60:AB60"/>
    <mergeCell ref="F61:I61"/>
    <mergeCell ref="J61:M61"/>
    <mergeCell ref="N61:Q61"/>
    <mergeCell ref="R61:U61"/>
    <mergeCell ref="V61:AB61"/>
    <mergeCell ref="F62:I62"/>
    <mergeCell ref="J62:M62"/>
    <mergeCell ref="N62:Q62"/>
    <mergeCell ref="R62:U62"/>
    <mergeCell ref="V62:AB62"/>
    <mergeCell ref="F63:I63"/>
    <mergeCell ref="J63:M63"/>
    <mergeCell ref="N63:Q63"/>
    <mergeCell ref="R63:U63"/>
    <mergeCell ref="V63:AB63"/>
    <mergeCell ref="F64:I64"/>
    <mergeCell ref="J64:M64"/>
    <mergeCell ref="N64:Q64"/>
    <mergeCell ref="R64:U64"/>
    <mergeCell ref="V64:AB64"/>
    <mergeCell ref="F65:I65"/>
    <mergeCell ref="J65:M65"/>
    <mergeCell ref="N65:Q65"/>
    <mergeCell ref="R65:U65"/>
    <mergeCell ref="V65:AB65"/>
    <mergeCell ref="F66:I66"/>
    <mergeCell ref="J66:M66"/>
    <mergeCell ref="N66:Q66"/>
    <mergeCell ref="R66:U66"/>
    <mergeCell ref="V66:AB66"/>
    <mergeCell ref="F67:I67"/>
    <mergeCell ref="J67:M67"/>
    <mergeCell ref="N67:Q67"/>
    <mergeCell ref="R67:U67"/>
    <mergeCell ref="V67:AB67"/>
    <mergeCell ref="F68:I68"/>
    <mergeCell ref="J68:M68"/>
    <mergeCell ref="N68:Q68"/>
    <mergeCell ref="R68:U68"/>
    <mergeCell ref="V68:AB68"/>
    <mergeCell ref="F69:I69"/>
    <mergeCell ref="J69:M69"/>
    <mergeCell ref="N69:Q69"/>
    <mergeCell ref="R69:U69"/>
    <mergeCell ref="V69:AB69"/>
    <mergeCell ref="F70:I70"/>
    <mergeCell ref="J70:M70"/>
    <mergeCell ref="N70:Q70"/>
    <mergeCell ref="R70:U70"/>
    <mergeCell ref="V70:AB70"/>
    <mergeCell ref="F71:I71"/>
    <mergeCell ref="J71:M71"/>
    <mergeCell ref="N71:Q71"/>
    <mergeCell ref="R71:U71"/>
    <mergeCell ref="V71:AB71"/>
    <mergeCell ref="F72:I72"/>
    <mergeCell ref="J72:M72"/>
    <mergeCell ref="N72:Q72"/>
    <mergeCell ref="R72:U72"/>
    <mergeCell ref="V72:AB72"/>
    <mergeCell ref="F73:I73"/>
    <mergeCell ref="J73:M73"/>
    <mergeCell ref="N73:Q73"/>
    <mergeCell ref="R73:U73"/>
    <mergeCell ref="V73:AB73"/>
    <mergeCell ref="F74:I74"/>
    <mergeCell ref="J74:M74"/>
    <mergeCell ref="N74:Q74"/>
    <mergeCell ref="R74:U74"/>
    <mergeCell ref="V74:AB74"/>
    <mergeCell ref="F75:I75"/>
    <mergeCell ref="J75:M75"/>
    <mergeCell ref="N75:Q75"/>
    <mergeCell ref="R75:U75"/>
    <mergeCell ref="V75:AB75"/>
    <mergeCell ref="F76:I76"/>
    <mergeCell ref="J76:M76"/>
    <mergeCell ref="N76:Q76"/>
    <mergeCell ref="R76:U76"/>
    <mergeCell ref="V76:AB76"/>
    <mergeCell ref="F77:I77"/>
    <mergeCell ref="J77:M77"/>
    <mergeCell ref="N77:Q77"/>
    <mergeCell ref="R77:U77"/>
    <mergeCell ref="V77:AB77"/>
    <mergeCell ref="F78:I78"/>
    <mergeCell ref="J78:M78"/>
    <mergeCell ref="N78:Q78"/>
    <mergeCell ref="R78:U78"/>
    <mergeCell ref="V78:AB78"/>
    <mergeCell ref="F79:I79"/>
    <mergeCell ref="J79:M79"/>
    <mergeCell ref="N79:Q79"/>
    <mergeCell ref="R79:U79"/>
    <mergeCell ref="V79:AB79"/>
    <mergeCell ref="F80:I80"/>
    <mergeCell ref="J80:M80"/>
    <mergeCell ref="N80:Q80"/>
    <mergeCell ref="R80:U80"/>
    <mergeCell ref="V80:AB80"/>
    <mergeCell ref="F81:I81"/>
    <mergeCell ref="J81:M81"/>
    <mergeCell ref="N81:Q81"/>
    <mergeCell ref="R81:U81"/>
    <mergeCell ref="V81:AB81"/>
    <mergeCell ref="F82:I82"/>
    <mergeCell ref="J82:M82"/>
    <mergeCell ref="N82:Q82"/>
    <mergeCell ref="R82:U82"/>
    <mergeCell ref="V82:AB82"/>
    <mergeCell ref="F83:I83"/>
    <mergeCell ref="J83:M83"/>
    <mergeCell ref="N83:Q83"/>
    <mergeCell ref="R83:U83"/>
    <mergeCell ref="V83:AB83"/>
    <mergeCell ref="F84:I84"/>
    <mergeCell ref="J84:M84"/>
    <mergeCell ref="N84:Q84"/>
    <mergeCell ref="R84:U84"/>
    <mergeCell ref="V84:AB84"/>
    <mergeCell ref="F85:I85"/>
    <mergeCell ref="J85:M85"/>
    <mergeCell ref="N85:Q85"/>
    <mergeCell ref="R85:U85"/>
    <mergeCell ref="V85:AB85"/>
    <mergeCell ref="F86:I86"/>
    <mergeCell ref="J86:M86"/>
    <mergeCell ref="N86:Q86"/>
    <mergeCell ref="R86:U86"/>
    <mergeCell ref="V86:AB86"/>
    <mergeCell ref="A7:A10"/>
    <mergeCell ref="B7:E10"/>
    <mergeCell ref="A1:AB2"/>
  </mergeCells>
  <dataValidations count="3">
    <dataValidation allowBlank="1" showErrorMessage="1" sqref="A11:AB11 F16:U16 V16 A51:V51 F52:V86 F12:V15 F17:V50"/>
    <dataValidation allowBlank="1" showInputMessage="1" showErrorMessage="1" prompt="Do not type name of learners here. Go to INPUT DATA sheet." sqref="B12:B50 B52:B86"/>
    <dataValidation allowBlank="1" showErrorMessage="1" prompt="EITHER WRITE YOUR OWN HPS OR EMPTY" sqref="F9:V10"/>
  </dataValidations>
  <pageMargins left="0.2" right="0.2" top="0.25" bottom="0.25" header="0.3" footer="0.3"/>
  <pageSetup paperSize="9" scale="70"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AB86"/>
  <sheetViews>
    <sheetView topLeftCell="A30" workbookViewId="0">
      <selection activeCell="R72" sqref="R72:U72"/>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97</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7" t="s">
        <v>2</v>
      </c>
      <c r="H5" s="7"/>
      <c r="I5" s="7"/>
      <c r="J5" s="7"/>
      <c r="K5" s="56"/>
      <c r="L5" s="57" t="s">
        <v>3</v>
      </c>
      <c r="M5" s="57"/>
      <c r="N5" s="58"/>
      <c r="O5" s="8" t="s">
        <v>4</v>
      </c>
      <c r="P5" s="9"/>
      <c r="Q5" s="9"/>
      <c r="R5" s="74"/>
      <c r="S5" s="75"/>
      <c r="T5" s="75"/>
      <c r="U5" s="75"/>
      <c r="V5" s="75"/>
      <c r="W5" s="76"/>
      <c r="X5" s="76"/>
      <c r="Y5" s="76"/>
      <c r="Z5" s="76"/>
      <c r="AA5" s="76"/>
      <c r="AB5" s="76"/>
    </row>
    <row r="6" ht="18.15" spans="1:28">
      <c r="A6" s="3"/>
      <c r="B6" s="5" t="s">
        <v>5</v>
      </c>
      <c r="C6" s="5"/>
      <c r="D6" s="5"/>
      <c r="E6" s="5"/>
      <c r="F6" s="5"/>
      <c r="G6" s="8" t="s">
        <v>6</v>
      </c>
      <c r="H6" s="9"/>
      <c r="I6" s="9"/>
      <c r="J6" s="9"/>
      <c r="K6" s="9"/>
      <c r="L6" s="9"/>
      <c r="M6" s="9"/>
      <c r="N6" s="9"/>
      <c r="O6" s="9"/>
      <c r="P6" s="9"/>
      <c r="Q6" s="9"/>
      <c r="R6" s="74"/>
      <c r="S6" s="75" t="s">
        <v>7</v>
      </c>
      <c r="T6" s="75"/>
      <c r="U6" s="75"/>
      <c r="V6" s="75"/>
      <c r="W6" s="77">
        <v>316405</v>
      </c>
      <c r="X6" s="77"/>
      <c r="Y6" s="77"/>
      <c r="Z6" s="77"/>
      <c r="AA6" s="77"/>
      <c r="AB6" s="77"/>
    </row>
    <row r="7" ht="14.55" spans="1:28">
      <c r="A7" s="10"/>
      <c r="B7" s="11" t="s">
        <v>16</v>
      </c>
      <c r="C7" s="11"/>
      <c r="D7" s="11"/>
      <c r="E7" s="12"/>
      <c r="F7" s="13" t="s">
        <v>11</v>
      </c>
      <c r="G7" s="14"/>
      <c r="H7" s="14"/>
      <c r="I7" s="14"/>
      <c r="J7" s="14"/>
      <c r="K7" s="59" t="str">
        <f>HEALTH!K7</f>
        <v>8 - ARIES</v>
      </c>
      <c r="L7" s="59"/>
      <c r="M7" s="59"/>
      <c r="N7" s="59"/>
      <c r="O7" s="59"/>
      <c r="P7" s="59"/>
      <c r="Q7" s="59"/>
      <c r="R7" s="78"/>
      <c r="S7" s="18" t="s">
        <v>64</v>
      </c>
      <c r="T7" s="19"/>
      <c r="U7" s="19"/>
      <c r="V7" s="19"/>
      <c r="W7" s="59" t="str">
        <f>HEALTH!W7</f>
        <v>2025 - 2026</v>
      </c>
      <c r="X7" s="59"/>
      <c r="Y7" s="59"/>
      <c r="Z7" s="59"/>
      <c r="AA7" s="59"/>
      <c r="AB7" s="78"/>
    </row>
    <row r="8" ht="14.55" spans="1:28">
      <c r="A8" s="15"/>
      <c r="B8" s="16"/>
      <c r="C8" s="16"/>
      <c r="D8" s="16"/>
      <c r="E8" s="17"/>
      <c r="F8" s="18" t="s">
        <v>13</v>
      </c>
      <c r="G8" s="19"/>
      <c r="H8" s="19"/>
      <c r="I8" s="19"/>
      <c r="J8" s="19"/>
      <c r="K8" s="60" t="str">
        <f>HEALTH!K8</f>
        <v>JUVELYN MATUTIS</v>
      </c>
      <c r="L8" s="60"/>
      <c r="M8" s="60"/>
      <c r="N8" s="60"/>
      <c r="O8" s="60"/>
      <c r="P8" s="60"/>
      <c r="Q8" s="60"/>
      <c r="R8" s="79"/>
      <c r="S8" s="18" t="s">
        <v>15</v>
      </c>
      <c r="T8" s="19"/>
      <c r="U8" s="19"/>
      <c r="V8" s="19"/>
      <c r="W8" s="80" t="s">
        <v>98</v>
      </c>
      <c r="X8" s="80"/>
      <c r="Y8" s="80"/>
      <c r="Z8" s="80"/>
      <c r="AA8" s="80"/>
      <c r="AB8" s="86"/>
    </row>
    <row r="9" ht="15.6" spans="1:28">
      <c r="A9" s="15"/>
      <c r="B9" s="16"/>
      <c r="C9" s="16"/>
      <c r="D9" s="16"/>
      <c r="E9" s="17"/>
      <c r="F9" s="20" t="s">
        <v>98</v>
      </c>
      <c r="G9" s="21"/>
      <c r="H9" s="21"/>
      <c r="I9" s="61"/>
      <c r="J9" s="20" t="s">
        <v>98</v>
      </c>
      <c r="K9" s="21"/>
      <c r="L9" s="21"/>
      <c r="M9" s="61"/>
      <c r="N9" s="20" t="s">
        <v>98</v>
      </c>
      <c r="O9" s="21"/>
      <c r="P9" s="21"/>
      <c r="Q9" s="61"/>
      <c r="R9" s="20" t="s">
        <v>98</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 spans="1:28">
      <c r="A12" s="32">
        <v>1</v>
      </c>
      <c r="B12" s="33" t="str">
        <f>'INPUT DATA'!B12:D12</f>
        <v>ANUBLING, REGIE C.</v>
      </c>
      <c r="C12" s="34"/>
      <c r="D12" s="34"/>
      <c r="E12" s="34"/>
      <c r="F12" s="35">
        <v>81</v>
      </c>
      <c r="G12" s="36"/>
      <c r="H12" s="36"/>
      <c r="I12" s="64"/>
      <c r="J12" s="65">
        <v>75</v>
      </c>
      <c r="K12" s="66"/>
      <c r="L12" s="66"/>
      <c r="M12" s="67"/>
      <c r="N12" s="35">
        <v>77</v>
      </c>
      <c r="O12" s="36"/>
      <c r="P12" s="36"/>
      <c r="Q12" s="64"/>
      <c r="R12" s="35">
        <v>85</v>
      </c>
      <c r="S12" s="36"/>
      <c r="T12" s="36"/>
      <c r="U12" s="64"/>
      <c r="V12" s="81">
        <f>IF(OR(F12="",J12="",N12="",R12=""),"",IF(ISERROR(ROUND(AVERAGE(F12,J12,N12,R12),0)),"",ROUND(AVERAGE(F12,J12,N12,R12),0)))</f>
        <v>80</v>
      </c>
      <c r="W12" s="82"/>
      <c r="X12" s="82"/>
      <c r="Y12" s="93"/>
      <c r="Z12" s="94" t="str">
        <f>IF(OR($F12="",$J12="",$N12="",$R12="",$V12=""),"",IF($V12&gt;=75,"PASSED","FAILED"))</f>
        <v>PASSED</v>
      </c>
      <c r="AA12" s="95"/>
      <c r="AB12" s="96"/>
    </row>
    <row r="13" ht="15" spans="1:28">
      <c r="A13" s="37">
        <v>2</v>
      </c>
      <c r="B13" s="33" t="str">
        <f>'INPUT DATA'!B13:D13</f>
        <v>BANGCOY, JOHN PAUL P.</v>
      </c>
      <c r="C13" s="38"/>
      <c r="D13" s="38"/>
      <c r="E13" s="38"/>
      <c r="F13" s="39">
        <v>76</v>
      </c>
      <c r="G13" s="40"/>
      <c r="H13" s="40"/>
      <c r="I13" s="68"/>
      <c r="J13" s="39">
        <v>72</v>
      </c>
      <c r="K13" s="40"/>
      <c r="L13" s="40"/>
      <c r="M13" s="68"/>
      <c r="N13" s="39">
        <v>65</v>
      </c>
      <c r="O13" s="40"/>
      <c r="P13" s="40"/>
      <c r="Q13" s="68"/>
      <c r="R13" s="39">
        <v>65</v>
      </c>
      <c r="S13" s="40"/>
      <c r="T13" s="40"/>
      <c r="U13" s="68"/>
      <c r="V13" s="81">
        <f t="shared" ref="V13:V65" si="0">IF(OR(F13="",J13="",N13="",R13=""),"",IF(ISERROR(ROUND(AVERAGE(F13,J13,N13,R13),0)),"",ROUND(AVERAGE(F13,J13,N13,R13),0)))</f>
        <v>70</v>
      </c>
      <c r="W13" s="82"/>
      <c r="X13" s="82"/>
      <c r="Y13" s="93"/>
      <c r="Z13" s="97" t="str">
        <f t="shared" ref="Z13:Z65" si="1">IF(OR($F13="",$J13="",$N13="",$R13="",$V13=""),"",IF($V13&gt;=75,"PASSED","FAILED"))</f>
        <v>FAILED</v>
      </c>
      <c r="AA13" s="98"/>
      <c r="AB13" s="99"/>
    </row>
    <row r="14" ht="15" spans="1:28">
      <c r="A14" s="37">
        <v>3</v>
      </c>
      <c r="B14" s="33" t="str">
        <f>'INPUT DATA'!B14:D14</f>
        <v>BARRIENTOS, JOHN PAUL M.</v>
      </c>
      <c r="C14" s="38"/>
      <c r="D14" s="38"/>
      <c r="E14" s="41"/>
      <c r="F14" s="39">
        <v>88</v>
      </c>
      <c r="G14" s="40"/>
      <c r="H14" s="40"/>
      <c r="I14" s="68"/>
      <c r="J14" s="39">
        <v>86</v>
      </c>
      <c r="K14" s="40"/>
      <c r="L14" s="40"/>
      <c r="M14" s="68"/>
      <c r="N14" s="39">
        <v>88</v>
      </c>
      <c r="O14" s="40"/>
      <c r="P14" s="40"/>
      <c r="Q14" s="68"/>
      <c r="R14" s="39">
        <v>91</v>
      </c>
      <c r="S14" s="40"/>
      <c r="T14" s="40"/>
      <c r="U14" s="68"/>
      <c r="V14" s="81">
        <f t="shared" si="0"/>
        <v>88</v>
      </c>
      <c r="W14" s="82"/>
      <c r="X14" s="82"/>
      <c r="Y14" s="93"/>
      <c r="Z14" s="97" t="str">
        <f t="shared" si="1"/>
        <v>PASSED</v>
      </c>
      <c r="AA14" s="98"/>
      <c r="AB14" s="99"/>
    </row>
    <row r="15" ht="15" spans="1:28">
      <c r="A15" s="37">
        <v>4</v>
      </c>
      <c r="B15" s="33" t="str">
        <f>'INPUT DATA'!B15:D15</f>
        <v>BRIGOLE, ROMEL</v>
      </c>
      <c r="C15" s="38"/>
      <c r="D15" s="38"/>
      <c r="E15" s="41"/>
      <c r="F15" s="39">
        <v>65</v>
      </c>
      <c r="G15" s="40"/>
      <c r="H15" s="40"/>
      <c r="I15" s="68"/>
      <c r="J15" s="39">
        <v>65</v>
      </c>
      <c r="K15" s="40"/>
      <c r="L15" s="40"/>
      <c r="M15" s="68"/>
      <c r="N15" s="39">
        <v>65</v>
      </c>
      <c r="O15" s="40"/>
      <c r="P15" s="40"/>
      <c r="Q15" s="68"/>
      <c r="R15" s="39">
        <v>70</v>
      </c>
      <c r="S15" s="40"/>
      <c r="T15" s="40"/>
      <c r="U15" s="68"/>
      <c r="V15" s="81">
        <f t="shared" si="0"/>
        <v>66</v>
      </c>
      <c r="W15" s="82"/>
      <c r="X15" s="82"/>
      <c r="Y15" s="93"/>
      <c r="Z15" s="97" t="str">
        <f t="shared" si="1"/>
        <v>FAILED</v>
      </c>
      <c r="AA15" s="98"/>
      <c r="AB15" s="99"/>
    </row>
    <row r="16" ht="15" spans="1:28">
      <c r="A16" s="37">
        <v>5</v>
      </c>
      <c r="B16" s="33" t="str">
        <f>'INPUT DATA'!B16:D16</f>
        <v>BULAHAN,ROVIC L.</v>
      </c>
      <c r="C16" s="38"/>
      <c r="D16" s="38"/>
      <c r="E16" s="41"/>
      <c r="F16" s="39">
        <v>89</v>
      </c>
      <c r="G16" s="40"/>
      <c r="H16" s="40"/>
      <c r="I16" s="68"/>
      <c r="J16" s="39">
        <v>87</v>
      </c>
      <c r="K16" s="40"/>
      <c r="L16" s="40"/>
      <c r="M16" s="68"/>
      <c r="N16" s="39">
        <v>88</v>
      </c>
      <c r="O16" s="40"/>
      <c r="P16" s="40"/>
      <c r="Q16" s="68"/>
      <c r="R16" s="39">
        <v>92</v>
      </c>
      <c r="S16" s="40"/>
      <c r="T16" s="40"/>
      <c r="U16" s="68"/>
      <c r="V16" s="81">
        <f t="shared" si="0"/>
        <v>89</v>
      </c>
      <c r="W16" s="82"/>
      <c r="X16" s="82"/>
      <c r="Y16" s="93"/>
      <c r="Z16" s="97" t="str">
        <f t="shared" si="1"/>
        <v>PASSED</v>
      </c>
      <c r="AA16" s="98"/>
      <c r="AB16" s="99"/>
    </row>
    <row r="17" ht="15" spans="1:28">
      <c r="A17" s="37">
        <v>6</v>
      </c>
      <c r="B17" s="33" t="str">
        <f>'INPUT DATA'!B17:D17</f>
        <v>CIJAS, ROLIE JR. A.</v>
      </c>
      <c r="C17" s="38"/>
      <c r="D17" s="38"/>
      <c r="E17" s="41"/>
      <c r="F17" s="39">
        <v>87</v>
      </c>
      <c r="G17" s="40"/>
      <c r="H17" s="40"/>
      <c r="I17" s="68"/>
      <c r="J17" s="39">
        <v>88</v>
      </c>
      <c r="K17" s="40"/>
      <c r="L17" s="40"/>
      <c r="M17" s="68"/>
      <c r="N17" s="39">
        <v>90</v>
      </c>
      <c r="O17" s="40"/>
      <c r="P17" s="40"/>
      <c r="Q17" s="68"/>
      <c r="R17" s="39">
        <v>90</v>
      </c>
      <c r="S17" s="40"/>
      <c r="T17" s="40"/>
      <c r="U17" s="68"/>
      <c r="V17" s="81">
        <f t="shared" si="0"/>
        <v>89</v>
      </c>
      <c r="W17" s="82"/>
      <c r="X17" s="82"/>
      <c r="Y17" s="93"/>
      <c r="Z17" s="97" t="str">
        <f t="shared" si="1"/>
        <v>PASSED</v>
      </c>
      <c r="AA17" s="98"/>
      <c r="AB17" s="99"/>
    </row>
    <row r="18" ht="15" spans="1:28">
      <c r="A18" s="37">
        <v>7</v>
      </c>
      <c r="B18" s="33" t="str">
        <f>'INPUT DATA'!B18:D18</f>
        <v>GARCIA, DAVE P.</v>
      </c>
      <c r="C18" s="38"/>
      <c r="D18" s="38"/>
      <c r="E18" s="41"/>
      <c r="F18" s="39">
        <v>82</v>
      </c>
      <c r="G18" s="40"/>
      <c r="H18" s="40"/>
      <c r="I18" s="68"/>
      <c r="J18" s="39">
        <v>82</v>
      </c>
      <c r="K18" s="40"/>
      <c r="L18" s="40"/>
      <c r="M18" s="68"/>
      <c r="N18" s="39">
        <v>82</v>
      </c>
      <c r="O18" s="40"/>
      <c r="P18" s="40"/>
      <c r="Q18" s="68"/>
      <c r="R18" s="39">
        <v>86</v>
      </c>
      <c r="S18" s="40"/>
      <c r="T18" s="40"/>
      <c r="U18" s="68"/>
      <c r="V18" s="81">
        <f t="shared" si="0"/>
        <v>83</v>
      </c>
      <c r="W18" s="82"/>
      <c r="X18" s="82"/>
      <c r="Y18" s="93"/>
      <c r="Z18" s="97" t="str">
        <f t="shared" si="1"/>
        <v>PASSED</v>
      </c>
      <c r="AA18" s="98"/>
      <c r="AB18" s="99"/>
    </row>
    <row r="19" ht="15" spans="1:28">
      <c r="A19" s="37">
        <v>8</v>
      </c>
      <c r="B19" s="33" t="str">
        <f>'INPUT DATA'!B19:D19</f>
        <v>GONZALES, JAMES A.</v>
      </c>
      <c r="C19" s="38"/>
      <c r="D19" s="38">
        <v>0</v>
      </c>
      <c r="E19" s="41"/>
      <c r="F19" s="39">
        <v>82</v>
      </c>
      <c r="G19" s="40"/>
      <c r="H19" s="40"/>
      <c r="I19" s="68"/>
      <c r="J19" s="39">
        <v>84</v>
      </c>
      <c r="K19" s="40"/>
      <c r="L19" s="40"/>
      <c r="M19" s="68"/>
      <c r="N19" s="39">
        <v>85</v>
      </c>
      <c r="O19" s="40"/>
      <c r="P19" s="40"/>
      <c r="Q19" s="68"/>
      <c r="R19" s="39">
        <v>87</v>
      </c>
      <c r="S19" s="40"/>
      <c r="T19" s="40"/>
      <c r="U19" s="68"/>
      <c r="V19" s="81">
        <f t="shared" si="0"/>
        <v>85</v>
      </c>
      <c r="W19" s="82"/>
      <c r="X19" s="82"/>
      <c r="Y19" s="93"/>
      <c r="Z19" s="97" t="str">
        <f t="shared" si="1"/>
        <v>PASSED</v>
      </c>
      <c r="AA19" s="98"/>
      <c r="AB19" s="99"/>
    </row>
    <row r="20" ht="15" spans="1:28">
      <c r="A20" s="37">
        <v>9</v>
      </c>
      <c r="B20" s="33" t="str">
        <f>'INPUT DATA'!B20:D20</f>
        <v>LAGUNA, J.B. B.</v>
      </c>
      <c r="C20" s="38"/>
      <c r="D20" s="38"/>
      <c r="E20" s="41"/>
      <c r="F20" s="39">
        <v>88</v>
      </c>
      <c r="G20" s="40"/>
      <c r="H20" s="40"/>
      <c r="I20" s="68"/>
      <c r="J20" s="39">
        <v>86</v>
      </c>
      <c r="K20" s="40"/>
      <c r="L20" s="40"/>
      <c r="M20" s="68"/>
      <c r="N20" s="39">
        <v>85</v>
      </c>
      <c r="O20" s="40"/>
      <c r="P20" s="40"/>
      <c r="Q20" s="68"/>
      <c r="R20" s="39">
        <v>91</v>
      </c>
      <c r="S20" s="40"/>
      <c r="T20" s="40"/>
      <c r="U20" s="68"/>
      <c r="V20" s="81">
        <f t="shared" si="0"/>
        <v>88</v>
      </c>
      <c r="W20" s="82"/>
      <c r="X20" s="82"/>
      <c r="Y20" s="93"/>
      <c r="Z20" s="97" t="str">
        <f t="shared" si="1"/>
        <v>PASSED</v>
      </c>
      <c r="AA20" s="98"/>
      <c r="AB20" s="99"/>
    </row>
    <row r="21" ht="15" spans="1:28">
      <c r="A21" s="37">
        <v>10</v>
      </c>
      <c r="B21" s="33" t="str">
        <f>'INPUT DATA'!B21:D21</f>
        <v>LARODA, STEVEN S.</v>
      </c>
      <c r="C21" s="38"/>
      <c r="D21" s="38"/>
      <c r="E21" s="41"/>
      <c r="F21" s="39">
        <v>85</v>
      </c>
      <c r="G21" s="40"/>
      <c r="H21" s="40"/>
      <c r="I21" s="68"/>
      <c r="J21" s="39">
        <v>81</v>
      </c>
      <c r="K21" s="40"/>
      <c r="L21" s="40"/>
      <c r="M21" s="68"/>
      <c r="N21" s="39">
        <v>80</v>
      </c>
      <c r="O21" s="40"/>
      <c r="P21" s="40"/>
      <c r="Q21" s="68"/>
      <c r="R21" s="39">
        <v>85</v>
      </c>
      <c r="S21" s="40"/>
      <c r="T21" s="40"/>
      <c r="U21" s="68"/>
      <c r="V21" s="81">
        <f t="shared" si="0"/>
        <v>83</v>
      </c>
      <c r="W21" s="82"/>
      <c r="X21" s="82"/>
      <c r="Y21" s="93"/>
      <c r="Z21" s="97" t="str">
        <f t="shared" si="1"/>
        <v>PASSED</v>
      </c>
      <c r="AA21" s="98"/>
      <c r="AB21" s="99"/>
    </row>
    <row r="22" ht="15" spans="1:28">
      <c r="A22" s="37">
        <v>11</v>
      </c>
      <c r="B22" s="33" t="str">
        <f>'INPUT DATA'!B22:D22</f>
        <v>MERINO, SEDRIK R.</v>
      </c>
      <c r="C22" s="38"/>
      <c r="D22" s="38">
        <v>0</v>
      </c>
      <c r="E22" s="41"/>
      <c r="F22" s="39">
        <v>83</v>
      </c>
      <c r="G22" s="40"/>
      <c r="H22" s="40"/>
      <c r="I22" s="68"/>
      <c r="J22" s="39">
        <v>71</v>
      </c>
      <c r="K22" s="40"/>
      <c r="L22" s="40"/>
      <c r="M22" s="68"/>
      <c r="N22" s="39">
        <v>70</v>
      </c>
      <c r="O22" s="40"/>
      <c r="P22" s="40"/>
      <c r="Q22" s="68"/>
      <c r="R22" s="39">
        <v>70</v>
      </c>
      <c r="S22" s="40"/>
      <c r="T22" s="40"/>
      <c r="U22" s="68"/>
      <c r="V22" s="81">
        <f t="shared" si="0"/>
        <v>74</v>
      </c>
      <c r="W22" s="82"/>
      <c r="X22" s="82"/>
      <c r="Y22" s="93"/>
      <c r="Z22" s="97" t="str">
        <f t="shared" si="1"/>
        <v>FAILED</v>
      </c>
      <c r="AA22" s="98"/>
      <c r="AB22" s="99"/>
    </row>
    <row r="23" ht="15" spans="1:28">
      <c r="A23" s="37">
        <v>12</v>
      </c>
      <c r="B23" s="33" t="str">
        <f>'INPUT DATA'!B23:D23</f>
        <v>MONTERAS, VINCENT S.</v>
      </c>
      <c r="C23" s="38"/>
      <c r="D23" s="38"/>
      <c r="E23" s="41"/>
      <c r="F23" s="39">
        <v>87</v>
      </c>
      <c r="G23" s="40"/>
      <c r="H23" s="40"/>
      <c r="I23" s="68"/>
      <c r="J23" s="39">
        <v>79</v>
      </c>
      <c r="K23" s="40"/>
      <c r="L23" s="40"/>
      <c r="M23" s="68"/>
      <c r="N23" s="39">
        <v>80</v>
      </c>
      <c r="O23" s="40"/>
      <c r="P23" s="40"/>
      <c r="Q23" s="68"/>
      <c r="R23" s="39">
        <v>78</v>
      </c>
      <c r="S23" s="40"/>
      <c r="T23" s="40"/>
      <c r="U23" s="68"/>
      <c r="V23" s="81">
        <f t="shared" si="0"/>
        <v>81</v>
      </c>
      <c r="W23" s="82"/>
      <c r="X23" s="82"/>
      <c r="Y23" s="93"/>
      <c r="Z23" s="97" t="str">
        <f t="shared" si="1"/>
        <v>PASSED</v>
      </c>
      <c r="AA23" s="98"/>
      <c r="AB23" s="99"/>
    </row>
    <row r="24" ht="15" spans="1:28">
      <c r="A24" s="37">
        <v>13</v>
      </c>
      <c r="B24" s="33" t="str">
        <f>'INPUT DATA'!B24:D24</f>
        <v>NACAWILI, ANDRIE L.</v>
      </c>
      <c r="C24" s="38"/>
      <c r="D24" s="38"/>
      <c r="E24" s="41"/>
      <c r="F24" s="39">
        <v>84</v>
      </c>
      <c r="G24" s="40"/>
      <c r="H24" s="40"/>
      <c r="I24" s="68"/>
      <c r="J24" s="39">
        <v>85</v>
      </c>
      <c r="K24" s="40"/>
      <c r="L24" s="40"/>
      <c r="M24" s="68"/>
      <c r="N24" s="39">
        <v>86</v>
      </c>
      <c r="O24" s="40"/>
      <c r="P24" s="40"/>
      <c r="Q24" s="68"/>
      <c r="R24" s="39">
        <v>88</v>
      </c>
      <c r="S24" s="40"/>
      <c r="T24" s="40"/>
      <c r="U24" s="68"/>
      <c r="V24" s="81">
        <f t="shared" si="0"/>
        <v>86</v>
      </c>
      <c r="W24" s="82"/>
      <c r="X24" s="82"/>
      <c r="Y24" s="93"/>
      <c r="Z24" s="97" t="str">
        <f t="shared" si="1"/>
        <v>PASSED</v>
      </c>
      <c r="AA24" s="98"/>
      <c r="AB24" s="99"/>
    </row>
    <row r="25" ht="15" spans="1:28">
      <c r="A25" s="37">
        <v>14</v>
      </c>
      <c r="B25" s="33" t="str">
        <f>'INPUT DATA'!B25:D25</f>
        <v>OLIVERIO, CYREL JAY G.</v>
      </c>
      <c r="C25" s="38"/>
      <c r="D25" s="38"/>
      <c r="E25" s="41"/>
      <c r="F25" s="39">
        <v>78</v>
      </c>
      <c r="G25" s="40"/>
      <c r="H25" s="40"/>
      <c r="I25" s="68"/>
      <c r="J25" s="39">
        <v>72</v>
      </c>
      <c r="K25" s="40"/>
      <c r="L25" s="40"/>
      <c r="M25" s="68"/>
      <c r="N25" s="39">
        <v>76</v>
      </c>
      <c r="O25" s="40"/>
      <c r="P25" s="40"/>
      <c r="Q25" s="68"/>
      <c r="R25" s="39">
        <v>70</v>
      </c>
      <c r="S25" s="40"/>
      <c r="T25" s="40"/>
      <c r="U25" s="68"/>
      <c r="V25" s="81">
        <f t="shared" si="0"/>
        <v>74</v>
      </c>
      <c r="W25" s="82"/>
      <c r="X25" s="82"/>
      <c r="Y25" s="93"/>
      <c r="Z25" s="97" t="str">
        <f t="shared" si="1"/>
        <v>FAILED</v>
      </c>
      <c r="AA25" s="98"/>
      <c r="AB25" s="99"/>
    </row>
    <row r="26" ht="15" spans="1:28">
      <c r="A26" s="37">
        <v>15</v>
      </c>
      <c r="B26" s="33" t="str">
        <f>'INPUT DATA'!B26:D26</f>
        <v>ORBITA,BRENN JOHN A.</v>
      </c>
      <c r="C26" s="38"/>
      <c r="D26" s="38"/>
      <c r="E26" s="41"/>
      <c r="F26" s="39">
        <v>83</v>
      </c>
      <c r="G26" s="40"/>
      <c r="H26" s="40"/>
      <c r="I26" s="68"/>
      <c r="J26" s="39">
        <v>83</v>
      </c>
      <c r="K26" s="40"/>
      <c r="L26" s="40"/>
      <c r="M26" s="68"/>
      <c r="N26" s="39">
        <v>84</v>
      </c>
      <c r="O26" s="40"/>
      <c r="P26" s="40"/>
      <c r="Q26" s="68"/>
      <c r="R26" s="39">
        <v>87</v>
      </c>
      <c r="S26" s="40"/>
      <c r="T26" s="40"/>
      <c r="U26" s="68"/>
      <c r="V26" s="81">
        <f t="shared" si="0"/>
        <v>84</v>
      </c>
      <c r="W26" s="82"/>
      <c r="X26" s="82"/>
      <c r="Y26" s="93"/>
      <c r="Z26" s="97" t="str">
        <f t="shared" si="1"/>
        <v>PASSED</v>
      </c>
      <c r="AA26" s="98"/>
      <c r="AB26" s="99"/>
    </row>
    <row r="27" ht="15" spans="1:28">
      <c r="A27" s="37">
        <v>16</v>
      </c>
      <c r="B27" s="33" t="str">
        <f>'INPUT DATA'!B27:D27</f>
        <v>PAINLO,SHERWIN V.</v>
      </c>
      <c r="C27" s="38"/>
      <c r="D27" s="38"/>
      <c r="E27" s="41"/>
      <c r="F27" s="39">
        <v>91</v>
      </c>
      <c r="G27" s="40"/>
      <c r="H27" s="40"/>
      <c r="I27" s="68"/>
      <c r="J27" s="39">
        <v>89</v>
      </c>
      <c r="K27" s="40"/>
      <c r="L27" s="40"/>
      <c r="M27" s="68"/>
      <c r="N27" s="39">
        <v>90</v>
      </c>
      <c r="O27" s="40"/>
      <c r="P27" s="40"/>
      <c r="Q27" s="68"/>
      <c r="R27" s="39">
        <v>93</v>
      </c>
      <c r="S27" s="40"/>
      <c r="T27" s="40"/>
      <c r="U27" s="68"/>
      <c r="V27" s="81">
        <f t="shared" si="0"/>
        <v>91</v>
      </c>
      <c r="W27" s="82"/>
      <c r="X27" s="82"/>
      <c r="Y27" s="93"/>
      <c r="Z27" s="97" t="str">
        <f t="shared" si="1"/>
        <v>PASSED</v>
      </c>
      <c r="AA27" s="98"/>
      <c r="AB27" s="99"/>
    </row>
    <row r="28" ht="15" spans="1:28">
      <c r="A28" s="37">
        <v>17</v>
      </c>
      <c r="B28" s="33" t="str">
        <f>'INPUT DATA'!B28:D28</f>
        <v>RAMIREZ, MATTEO JOHN DAVE D.</v>
      </c>
      <c r="C28" s="38"/>
      <c r="D28" s="38"/>
      <c r="E28" s="41"/>
      <c r="F28" s="39">
        <v>67</v>
      </c>
      <c r="G28" s="40"/>
      <c r="H28" s="40"/>
      <c r="I28" s="68"/>
      <c r="J28" s="39">
        <v>70</v>
      </c>
      <c r="K28" s="40"/>
      <c r="L28" s="40"/>
      <c r="M28" s="68"/>
      <c r="N28" s="39"/>
      <c r="O28" s="40"/>
      <c r="P28" s="40"/>
      <c r="Q28" s="68"/>
      <c r="R28" s="39" t="str">
        <f>IF(OR('MUSIC-ARTS'!R28="",ARTS!R28="",'PE-HEALTH'!R28="",HEALTH!R28=""),"",IF(ISERROR(ROUND(AVERAGE('MUSIC-ARTS'!R28,ARTS!R28,'PE-HEALTH'!R28,HEALTH!R28),0)),"",ROUND(AVERAGE('MUSIC-ARTS'!R28,ARTS!R28,'PE-HEALTH'!R28,HEALTH!R28),0)))</f>
        <v/>
      </c>
      <c r="S28" s="40"/>
      <c r="T28" s="40"/>
      <c r="U28" s="68"/>
      <c r="V28" s="81" t="str">
        <f t="shared" si="0"/>
        <v/>
      </c>
      <c r="W28" s="82"/>
      <c r="X28" s="82"/>
      <c r="Y28" s="93"/>
      <c r="Z28" s="97" t="str">
        <f t="shared" si="1"/>
        <v/>
      </c>
      <c r="AA28" s="98"/>
      <c r="AB28" s="99"/>
    </row>
    <row r="29" ht="15" spans="1:28">
      <c r="A29" s="37">
        <v>18</v>
      </c>
      <c r="B29" s="33" t="str">
        <f>'INPUT DATA'!B29:D29</f>
        <v>SIGUIRA, JASTINE B.</v>
      </c>
      <c r="C29" s="38"/>
      <c r="D29" s="38"/>
      <c r="E29" s="41"/>
      <c r="F29" s="39">
        <v>74</v>
      </c>
      <c r="G29" s="40"/>
      <c r="H29" s="40"/>
      <c r="I29" s="68"/>
      <c r="J29" s="39">
        <v>70</v>
      </c>
      <c r="K29" s="40"/>
      <c r="L29" s="40"/>
      <c r="M29" s="68"/>
      <c r="N29" s="39"/>
      <c r="O29" s="40"/>
      <c r="P29" s="40"/>
      <c r="Q29" s="68"/>
      <c r="R29" s="39" t="str">
        <f>IF(OR('MUSIC-ARTS'!R29="",ARTS!R29="",'PE-HEALTH'!R29="",HEALTH!R29=""),"",IF(ISERROR(ROUND(AVERAGE('MUSIC-ARTS'!R29,ARTS!R29,'PE-HEALTH'!R29,HEALTH!R29),0)),"",ROUND(AVERAGE('MUSIC-ARTS'!R29,ARTS!R29,'PE-HEALTH'!R29,HEALTH!R29),0)))</f>
        <v/>
      </c>
      <c r="S29" s="40"/>
      <c r="T29" s="40"/>
      <c r="U29" s="68"/>
      <c r="V29" s="81" t="str">
        <f t="shared" si="0"/>
        <v/>
      </c>
      <c r="W29" s="82"/>
      <c r="X29" s="82"/>
      <c r="Y29" s="93"/>
      <c r="Z29" s="97" t="str">
        <f t="shared" si="1"/>
        <v/>
      </c>
      <c r="AA29" s="98"/>
      <c r="AB29" s="99"/>
    </row>
    <row r="30" ht="15" spans="1:28">
      <c r="A30" s="37">
        <v>19</v>
      </c>
      <c r="B30" s="33" t="str">
        <f>'INPUT DATA'!B30:D30</f>
        <v>TAA, JHONVINZ Y.</v>
      </c>
      <c r="C30" s="38"/>
      <c r="D30" s="38"/>
      <c r="E30" s="41"/>
      <c r="F30" s="39">
        <v>81</v>
      </c>
      <c r="G30" s="40"/>
      <c r="H30" s="40"/>
      <c r="I30" s="68"/>
      <c r="J30" s="39">
        <v>76</v>
      </c>
      <c r="K30" s="40"/>
      <c r="L30" s="40"/>
      <c r="M30" s="68"/>
      <c r="N30" s="39">
        <v>78</v>
      </c>
      <c r="O30" s="40"/>
      <c r="P30" s="40"/>
      <c r="Q30" s="68"/>
      <c r="R30" s="39">
        <v>78</v>
      </c>
      <c r="S30" s="40"/>
      <c r="T30" s="40"/>
      <c r="U30" s="68"/>
      <c r="V30" s="81">
        <f t="shared" si="0"/>
        <v>78</v>
      </c>
      <c r="W30" s="82"/>
      <c r="X30" s="82"/>
      <c r="Y30" s="93"/>
      <c r="Z30" s="97" t="str">
        <f t="shared" si="1"/>
        <v>PASSED</v>
      </c>
      <c r="AA30" s="98"/>
      <c r="AB30" s="99"/>
    </row>
    <row r="31" ht="15" spans="1:28">
      <c r="A31" s="37">
        <v>20</v>
      </c>
      <c r="B31" s="33" t="str">
        <f>'INPUT DATA'!B31:D31</f>
        <v>ZOILO, JOHN LORENCE M.</v>
      </c>
      <c r="C31" s="38"/>
      <c r="D31" s="38"/>
      <c r="E31" s="41"/>
      <c r="F31" s="39">
        <v>83</v>
      </c>
      <c r="G31" s="40"/>
      <c r="H31" s="40"/>
      <c r="I31" s="68"/>
      <c r="J31" s="39">
        <v>85</v>
      </c>
      <c r="K31" s="40"/>
      <c r="L31" s="40"/>
      <c r="M31" s="68"/>
      <c r="N31" s="39">
        <v>86</v>
      </c>
      <c r="O31" s="40"/>
      <c r="P31" s="40"/>
      <c r="Q31" s="68"/>
      <c r="R31" s="39">
        <v>89</v>
      </c>
      <c r="S31" s="40"/>
      <c r="T31" s="40"/>
      <c r="U31" s="68"/>
      <c r="V31" s="81">
        <f t="shared" si="0"/>
        <v>86</v>
      </c>
      <c r="W31" s="82"/>
      <c r="X31" s="82"/>
      <c r="Y31" s="93"/>
      <c r="Z31" s="97" t="str">
        <f t="shared" si="1"/>
        <v>PASSED</v>
      </c>
      <c r="AA31" s="98"/>
      <c r="AB31" s="99"/>
    </row>
    <row r="32" ht="15.75" spans="1:28">
      <c r="A32" s="37">
        <v>21</v>
      </c>
      <c r="B32" s="286" t="s">
        <v>73</v>
      </c>
      <c r="C32" s="289"/>
      <c r="D32" s="38"/>
      <c r="E32" s="41"/>
      <c r="F32" s="39">
        <v>75</v>
      </c>
      <c r="G32" s="40"/>
      <c r="H32" s="40"/>
      <c r="I32" s="68"/>
      <c r="J32" s="39">
        <v>75</v>
      </c>
      <c r="K32" s="40"/>
      <c r="L32" s="40"/>
      <c r="M32" s="68"/>
      <c r="N32" s="39">
        <v>75</v>
      </c>
      <c r="O32" s="40"/>
      <c r="P32" s="40"/>
      <c r="Q32" s="68"/>
      <c r="R32" s="39">
        <v>88</v>
      </c>
      <c r="S32" s="40"/>
      <c r="T32" s="40"/>
      <c r="U32" s="68"/>
      <c r="V32" s="81">
        <f t="shared" si="0"/>
        <v>78</v>
      </c>
      <c r="W32" s="82"/>
      <c r="X32" s="82"/>
      <c r="Y32" s="93"/>
      <c r="Z32" s="97" t="str">
        <f t="shared" si="1"/>
        <v>PASSED</v>
      </c>
      <c r="AA32" s="98"/>
      <c r="AB32" s="99"/>
    </row>
    <row r="33" ht="15" hidden="1" spans="1:28">
      <c r="A33" s="37">
        <v>22</v>
      </c>
      <c r="B33" s="33">
        <f>'INPUT DATA'!B33:D33</f>
        <v>0</v>
      </c>
      <c r="C33" s="38"/>
      <c r="D33" s="38"/>
      <c r="E33" s="41"/>
      <c r="F33" s="39" t="str">
        <f>IF(OR('MUSIC-ARTS'!F33="",ARTS!F33="",'PE-HEALTH'!F33="",HEALTH!F33=""),"",IF(ISERROR(ROUND(AVERAGE('MUSIC-ARTS'!F33,ARTS!F33,'PE-HEALTH'!F33,HEALTH!F33),0)),"",ROUND(AVERAGE('MUSIC-ARTS'!F33,ARTS!F33,'PE-HEALTH'!F33,HEALTH!F33),0)))</f>
        <v/>
      </c>
      <c r="G33" s="40"/>
      <c r="H33" s="40"/>
      <c r="I33" s="68"/>
      <c r="J33" s="39" t="str">
        <f>IF(OR('MUSIC-ARTS'!J33="",ARTS!J33="",'PE-HEALTH'!J33="",HEALTH!J33=""),"",IF(ISERROR(ROUND(AVERAGE('MUSIC-ARTS'!J33,ARTS!J33,'PE-HEALTH'!J33,HEALTH!J33),0)),"",ROUND(AVERAGE('MUSIC-ARTS'!J33,ARTS!J33,'PE-HEALTH'!J33,HEALTH!J33),0)))</f>
        <v/>
      </c>
      <c r="K33" s="40"/>
      <c r="L33" s="40"/>
      <c r="M33" s="68"/>
      <c r="N33" s="39" t="str">
        <f>IF(OR('MUSIC-ARTS'!N33="",ARTS!N33="",'PE-HEALTH'!N33="",HEALTH!N33=""),"",IF(ISERROR(ROUND(AVERAGE('MUSIC-ARTS'!N33,ARTS!N33,'PE-HEALTH'!N33,HEALTH!N33),0)),"",ROUND(AVERAGE('MUSIC-ARTS'!N33,ARTS!N33,'PE-HEALTH'!N33,HEALTH!N33),0)))</f>
        <v/>
      </c>
      <c r="O33" s="40"/>
      <c r="P33" s="40"/>
      <c r="Q33" s="68"/>
      <c r="R33" s="39" t="str">
        <f>IF(OR('MUSIC-ARTS'!R33="",ARTS!R33="",'PE-HEALTH'!R33="",HEALTH!R33=""),"",IF(ISERROR(ROUND(AVERAGE('MUSIC-ARTS'!R33,ARTS!R33,'PE-HEALTH'!R33,HEALTH!R33),0)),"",ROUND(AVERAGE('MUSIC-ARTS'!R33,ARTS!R33,'PE-HEALTH'!R33,HEALTH!R33),0)))</f>
        <v/>
      </c>
      <c r="S33" s="40"/>
      <c r="T33" s="40"/>
      <c r="U33" s="68"/>
      <c r="V33" s="81" t="str">
        <f t="shared" si="0"/>
        <v/>
      </c>
      <c r="W33" s="82"/>
      <c r="X33" s="82"/>
      <c r="Y33" s="93"/>
      <c r="Z33" s="97" t="str">
        <f t="shared" si="1"/>
        <v/>
      </c>
      <c r="AA33" s="98"/>
      <c r="AB33" s="99"/>
    </row>
    <row r="34" ht="15" hidden="1" spans="1:28">
      <c r="A34" s="37">
        <v>23</v>
      </c>
      <c r="B34" s="33">
        <f>'INPUT DATA'!B34:D34</f>
        <v>0</v>
      </c>
      <c r="C34" s="38"/>
      <c r="D34" s="38"/>
      <c r="E34" s="41"/>
      <c r="F34" s="39" t="str">
        <f>IF(OR('MUSIC-ARTS'!F34="",ARTS!F34="",'PE-HEALTH'!F34="",HEALTH!F34=""),"",IF(ISERROR(ROUND(AVERAGE('MUSIC-ARTS'!F34,ARTS!F34,'PE-HEALTH'!F34,HEALTH!F34),0)),"",ROUND(AVERAGE('MUSIC-ARTS'!F34,ARTS!F34,'PE-HEALTH'!F34,HEALTH!F34),0)))</f>
        <v/>
      </c>
      <c r="G34" s="40"/>
      <c r="H34" s="40"/>
      <c r="I34" s="68"/>
      <c r="J34" s="39" t="str">
        <f>IF(OR('MUSIC-ARTS'!J34="",ARTS!J34="",'PE-HEALTH'!J34="",HEALTH!J34=""),"",IF(ISERROR(ROUND(AVERAGE('MUSIC-ARTS'!J34,ARTS!J34,'PE-HEALTH'!J34,HEALTH!J34),0)),"",ROUND(AVERAGE('MUSIC-ARTS'!J34,ARTS!J34,'PE-HEALTH'!J34,HEALTH!J34),0)))</f>
        <v/>
      </c>
      <c r="K34" s="40"/>
      <c r="L34" s="40"/>
      <c r="M34" s="68"/>
      <c r="N34" s="39" t="str">
        <f>IF(OR('MUSIC-ARTS'!N34="",ARTS!N34="",'PE-HEALTH'!N34="",HEALTH!N34=""),"",IF(ISERROR(ROUND(AVERAGE('MUSIC-ARTS'!N34,ARTS!N34,'PE-HEALTH'!N34,HEALTH!N34),0)),"",ROUND(AVERAGE('MUSIC-ARTS'!N34,ARTS!N34,'PE-HEALTH'!N34,HEALTH!N34),0)))</f>
        <v/>
      </c>
      <c r="O34" s="40"/>
      <c r="P34" s="40"/>
      <c r="Q34" s="68"/>
      <c r="R34" s="39" t="str">
        <f>IF(OR('MUSIC-ARTS'!R34="",ARTS!R34="",'PE-HEALTH'!R34="",HEALTH!R34=""),"",IF(ISERROR(ROUND(AVERAGE('MUSIC-ARTS'!R34,ARTS!R34,'PE-HEALTH'!R34,HEALTH!R34),0)),"",ROUND(AVERAGE('MUSIC-ARTS'!R34,ARTS!R34,'PE-HEALTH'!R34,HEALTH!R34),0)))</f>
        <v/>
      </c>
      <c r="S34" s="40"/>
      <c r="T34" s="40"/>
      <c r="U34" s="68"/>
      <c r="V34" s="81" t="str">
        <f t="shared" si="0"/>
        <v/>
      </c>
      <c r="W34" s="82"/>
      <c r="X34" s="82"/>
      <c r="Y34" s="93"/>
      <c r="Z34" s="97" t="str">
        <f t="shared" si="1"/>
        <v/>
      </c>
      <c r="AA34" s="98"/>
      <c r="AB34" s="99"/>
    </row>
    <row r="35" ht="15" hidden="1" spans="1:28">
      <c r="A35" s="37">
        <v>24</v>
      </c>
      <c r="B35" s="33">
        <f>'INPUT DATA'!B35:D35</f>
        <v>0</v>
      </c>
      <c r="C35" s="38"/>
      <c r="D35" s="38"/>
      <c r="E35" s="41"/>
      <c r="F35" s="39" t="str">
        <f>IF(OR('MUSIC-ARTS'!F35="",ARTS!F35="",'PE-HEALTH'!F35="",HEALTH!F35=""),"",IF(ISERROR(ROUND(AVERAGE('MUSIC-ARTS'!F35,ARTS!F35,'PE-HEALTH'!F35,HEALTH!F35),0)),"",ROUND(AVERAGE('MUSIC-ARTS'!F35,ARTS!F35,'PE-HEALTH'!F35,HEALTH!F35),0)))</f>
        <v/>
      </c>
      <c r="G35" s="40"/>
      <c r="H35" s="40"/>
      <c r="I35" s="68"/>
      <c r="J35" s="39" t="str">
        <f>IF(OR('MUSIC-ARTS'!J35="",ARTS!J35="",'PE-HEALTH'!J35="",HEALTH!J35=""),"",IF(ISERROR(ROUND(AVERAGE('MUSIC-ARTS'!J35,ARTS!J35,'PE-HEALTH'!J35,HEALTH!J35),0)),"",ROUND(AVERAGE('MUSIC-ARTS'!J35,ARTS!J35,'PE-HEALTH'!J35,HEALTH!J35),0)))</f>
        <v/>
      </c>
      <c r="K35" s="40"/>
      <c r="L35" s="40"/>
      <c r="M35" s="68"/>
      <c r="N35" s="39" t="str">
        <f>IF(OR('MUSIC-ARTS'!N35="",ARTS!N35="",'PE-HEALTH'!N35="",HEALTH!N35=""),"",IF(ISERROR(ROUND(AVERAGE('MUSIC-ARTS'!N35,ARTS!N35,'PE-HEALTH'!N35,HEALTH!N35),0)),"",ROUND(AVERAGE('MUSIC-ARTS'!N35,ARTS!N35,'PE-HEALTH'!N35,HEALTH!N35),0)))</f>
        <v/>
      </c>
      <c r="O35" s="40"/>
      <c r="P35" s="40"/>
      <c r="Q35" s="68"/>
      <c r="R35" s="39" t="str">
        <f>IF(OR('MUSIC-ARTS'!R35="",ARTS!R35="",'PE-HEALTH'!R35="",HEALTH!R35=""),"",IF(ISERROR(ROUND(AVERAGE('MUSIC-ARTS'!R35,ARTS!R35,'PE-HEALTH'!R35,HEALTH!R35),0)),"",ROUND(AVERAGE('MUSIC-ARTS'!R35,ARTS!R35,'PE-HEALTH'!R35,HEALTH!R35),0)))</f>
        <v/>
      </c>
      <c r="S35" s="40"/>
      <c r="T35" s="40"/>
      <c r="U35" s="68"/>
      <c r="V35" s="81" t="str">
        <f t="shared" si="0"/>
        <v/>
      </c>
      <c r="W35" s="82"/>
      <c r="X35" s="82"/>
      <c r="Y35" s="93"/>
      <c r="Z35" s="97" t="str">
        <f t="shared" si="1"/>
        <v/>
      </c>
      <c r="AA35" s="98"/>
      <c r="AB35" s="99"/>
    </row>
    <row r="36" ht="15" hidden="1" spans="1:28">
      <c r="A36" s="37">
        <v>25</v>
      </c>
      <c r="B36" s="33">
        <f>'INPUT DATA'!B36:D36</f>
        <v>0</v>
      </c>
      <c r="C36" s="38"/>
      <c r="D36" s="38"/>
      <c r="E36" s="38"/>
      <c r="F36" s="39" t="str">
        <f>IF(OR('MUSIC-ARTS'!F36="",ARTS!F36="",'PE-HEALTH'!F36="",HEALTH!F36=""),"",IF(ISERROR(ROUND(AVERAGE('MUSIC-ARTS'!F36,ARTS!F36,'PE-HEALTH'!F36,HEALTH!F36),0)),"",ROUND(AVERAGE('MUSIC-ARTS'!F36,ARTS!F36,'PE-HEALTH'!F36,HEALTH!F36),0)))</f>
        <v/>
      </c>
      <c r="G36" s="40"/>
      <c r="H36" s="40"/>
      <c r="I36" s="68"/>
      <c r="J36" s="39" t="str">
        <f>IF(OR('MUSIC-ARTS'!J36="",ARTS!J36="",'PE-HEALTH'!J36="",HEALTH!J36=""),"",IF(ISERROR(ROUND(AVERAGE('MUSIC-ARTS'!J36,ARTS!J36,'PE-HEALTH'!J36,HEALTH!J36),0)),"",ROUND(AVERAGE('MUSIC-ARTS'!J36,ARTS!J36,'PE-HEALTH'!J36,HEALTH!J36),0)))</f>
        <v/>
      </c>
      <c r="K36" s="40"/>
      <c r="L36" s="40"/>
      <c r="M36" s="68"/>
      <c r="N36" s="39" t="str">
        <f>IF(OR('MUSIC-ARTS'!N36="",ARTS!N36="",'PE-HEALTH'!N36="",HEALTH!N36=""),"",IF(ISERROR(ROUND(AVERAGE('MUSIC-ARTS'!N36,ARTS!N36,'PE-HEALTH'!N36,HEALTH!N36),0)),"",ROUND(AVERAGE('MUSIC-ARTS'!N36,ARTS!N36,'PE-HEALTH'!N36,HEALTH!N36),0)))</f>
        <v/>
      </c>
      <c r="O36" s="40"/>
      <c r="P36" s="40"/>
      <c r="Q36" s="68"/>
      <c r="R36" s="39" t="str">
        <f>IF(OR('MUSIC-ARTS'!R36="",ARTS!R36="",'PE-HEALTH'!R36="",HEALTH!R36=""),"",IF(ISERROR(ROUND(AVERAGE('MUSIC-ARTS'!R36,ARTS!R36,'PE-HEALTH'!R36,HEALTH!R36),0)),"",ROUND(AVERAGE('MUSIC-ARTS'!R36,ARTS!R36,'PE-HEALTH'!R36,HEALTH!R36),0)))</f>
        <v/>
      </c>
      <c r="S36" s="40"/>
      <c r="T36" s="40"/>
      <c r="U36" s="68"/>
      <c r="V36" s="83" t="str">
        <f t="shared" si="0"/>
        <v/>
      </c>
      <c r="W36" s="83"/>
      <c r="X36" s="83"/>
      <c r="Y36" s="83"/>
      <c r="Z36" s="97" t="str">
        <f t="shared" si="1"/>
        <v/>
      </c>
      <c r="AA36" s="98"/>
      <c r="AB36" s="99"/>
    </row>
    <row r="37" ht="15" hidden="1" spans="1:28">
      <c r="A37" s="42">
        <v>26</v>
      </c>
      <c r="B37" s="33">
        <f>'INPUT DATA'!B37:D37</f>
        <v>0</v>
      </c>
      <c r="C37" s="43"/>
      <c r="D37" s="43"/>
      <c r="E37" s="44"/>
      <c r="F37" s="39" t="str">
        <f>IF(OR('MUSIC-ARTS'!F37="",ARTS!F37="",'PE-HEALTH'!F37="",HEALTH!F37=""),"",IF(ISERROR(ROUND(AVERAGE('MUSIC-ARTS'!F37,ARTS!F37,'PE-HEALTH'!F37,HEALTH!F37),0)),"",ROUND(AVERAGE('MUSIC-ARTS'!F37,ARTS!F37,'PE-HEALTH'!F37,HEALTH!F37),0)))</f>
        <v/>
      </c>
      <c r="G37" s="40"/>
      <c r="H37" s="40"/>
      <c r="I37" s="68"/>
      <c r="J37" s="39" t="str">
        <f>IF(OR('MUSIC-ARTS'!J37="",ARTS!J37="",'PE-HEALTH'!J37="",HEALTH!J37=""),"",IF(ISERROR(ROUND(AVERAGE('MUSIC-ARTS'!J37,ARTS!J37,'PE-HEALTH'!J37,HEALTH!J37),0)),"",ROUND(AVERAGE('MUSIC-ARTS'!J37,ARTS!J37,'PE-HEALTH'!J37,HEALTH!J37),0)))</f>
        <v/>
      </c>
      <c r="K37" s="40"/>
      <c r="L37" s="40"/>
      <c r="M37" s="68"/>
      <c r="N37" s="39" t="str">
        <f>IF(OR('MUSIC-ARTS'!N37="",ARTS!N37="",'PE-HEALTH'!N37="",HEALTH!N37=""),"",IF(ISERROR(ROUND(AVERAGE('MUSIC-ARTS'!N37,ARTS!N37,'PE-HEALTH'!N37,HEALTH!N37),0)),"",ROUND(AVERAGE('MUSIC-ARTS'!N37,ARTS!N37,'PE-HEALTH'!N37,HEALTH!N37),0)))</f>
        <v/>
      </c>
      <c r="O37" s="40"/>
      <c r="P37" s="40"/>
      <c r="Q37" s="68"/>
      <c r="R37" s="39" t="str">
        <f>IF(OR('MUSIC-ARTS'!R37="",ARTS!R37="",'PE-HEALTH'!R37="",HEALTH!R37=""),"",IF(ISERROR(ROUND(AVERAGE('MUSIC-ARTS'!R37,ARTS!R37,'PE-HEALTH'!R37,HEALTH!R37),0)),"",ROUND(AVERAGE('MUSIC-ARTS'!R37,ARTS!R37,'PE-HEALTH'!R37,HEALTH!R37),0)))</f>
        <v/>
      </c>
      <c r="S37" s="40"/>
      <c r="T37" s="40"/>
      <c r="U37" s="68"/>
      <c r="V37" s="83" t="str">
        <f t="shared" ref="V37:V50" si="2">IF(OR(F37="",J37="",N37="",R37=""),"",IF(ISERROR(ROUND(AVERAGE(F37,J37,N37,R37),0)),"",ROUND(AVERAGE(F37,J37,N37,R37),0)))</f>
        <v/>
      </c>
      <c r="W37" s="83"/>
      <c r="X37" s="83"/>
      <c r="Y37" s="83"/>
      <c r="Z37" s="97" t="str">
        <f t="shared" si="1"/>
        <v/>
      </c>
      <c r="AA37" s="98"/>
      <c r="AB37" s="99"/>
    </row>
    <row r="38" ht="15" hidden="1" spans="1:28">
      <c r="A38" s="42">
        <v>27</v>
      </c>
      <c r="B38" s="33">
        <f>'INPUT DATA'!B38:D38</f>
        <v>0</v>
      </c>
      <c r="C38" s="43"/>
      <c r="D38" s="43"/>
      <c r="E38" s="44"/>
      <c r="F38" s="39" t="str">
        <f>IF(OR('MUSIC-ARTS'!F38="",ARTS!F38="",'PE-HEALTH'!F38="",HEALTH!F38=""),"",IF(ISERROR(ROUND(AVERAGE('MUSIC-ARTS'!F38,ARTS!F38,'PE-HEALTH'!F38,HEALTH!F38),0)),"",ROUND(AVERAGE('MUSIC-ARTS'!F38,ARTS!F38,'PE-HEALTH'!F38,HEALTH!F38),0)))</f>
        <v/>
      </c>
      <c r="G38" s="40"/>
      <c r="H38" s="40"/>
      <c r="I38" s="68"/>
      <c r="J38" s="39" t="str">
        <f>IF(OR('MUSIC-ARTS'!J38="",ARTS!J38="",'PE-HEALTH'!J38="",HEALTH!J38=""),"",IF(ISERROR(ROUND(AVERAGE('MUSIC-ARTS'!J38,ARTS!J38,'PE-HEALTH'!J38,HEALTH!J38),0)),"",ROUND(AVERAGE('MUSIC-ARTS'!J38,ARTS!J38,'PE-HEALTH'!J38,HEALTH!J38),0)))</f>
        <v/>
      </c>
      <c r="K38" s="40"/>
      <c r="L38" s="40"/>
      <c r="M38" s="68"/>
      <c r="N38" s="39" t="str">
        <f>IF(OR('MUSIC-ARTS'!N38="",ARTS!N38="",'PE-HEALTH'!N38="",HEALTH!N38=""),"",IF(ISERROR(ROUND(AVERAGE('MUSIC-ARTS'!N38,ARTS!N38,'PE-HEALTH'!N38,HEALTH!N38),0)),"",ROUND(AVERAGE('MUSIC-ARTS'!N38,ARTS!N38,'PE-HEALTH'!N38,HEALTH!N38),0)))</f>
        <v/>
      </c>
      <c r="O38" s="40"/>
      <c r="P38" s="40"/>
      <c r="Q38" s="68"/>
      <c r="R38" s="39" t="str">
        <f>IF(OR('MUSIC-ARTS'!R38="",ARTS!R38="",'PE-HEALTH'!R38="",HEALTH!R38=""),"",IF(ISERROR(ROUND(AVERAGE('MUSIC-ARTS'!R38,ARTS!R38,'PE-HEALTH'!R38,HEALTH!R38),0)),"",ROUND(AVERAGE('MUSIC-ARTS'!R38,ARTS!R38,'PE-HEALTH'!R38,HEALTH!R38),0)))</f>
        <v/>
      </c>
      <c r="S38" s="40"/>
      <c r="T38" s="40"/>
      <c r="U38" s="68"/>
      <c r="V38" s="83" t="str">
        <f t="shared" si="2"/>
        <v/>
      </c>
      <c r="W38" s="83"/>
      <c r="X38" s="83"/>
      <c r="Y38" s="83"/>
      <c r="Z38" s="97" t="str">
        <f t="shared" si="1"/>
        <v/>
      </c>
      <c r="AA38" s="98"/>
      <c r="AB38" s="99"/>
    </row>
    <row r="39" ht="15" hidden="1" spans="1:28">
      <c r="A39" s="42">
        <v>28</v>
      </c>
      <c r="B39" s="33">
        <f>'INPUT DATA'!B39:D39</f>
        <v>0</v>
      </c>
      <c r="C39" s="43"/>
      <c r="D39" s="43"/>
      <c r="E39" s="44"/>
      <c r="F39" s="39" t="str">
        <f>IF(OR('MUSIC-ARTS'!F39="",ARTS!F39="",'PE-HEALTH'!F39="",HEALTH!F39=""),"",IF(ISERROR(ROUND(AVERAGE('MUSIC-ARTS'!F39,ARTS!F39,'PE-HEALTH'!F39,HEALTH!F39),0)),"",ROUND(AVERAGE('MUSIC-ARTS'!F39,ARTS!F39,'PE-HEALTH'!F39,HEALTH!F39),0)))</f>
        <v/>
      </c>
      <c r="G39" s="40"/>
      <c r="H39" s="40"/>
      <c r="I39" s="68"/>
      <c r="J39" s="39" t="str">
        <f>IF(OR('MUSIC-ARTS'!J39="",ARTS!J39="",'PE-HEALTH'!J39="",HEALTH!J39=""),"",IF(ISERROR(ROUND(AVERAGE('MUSIC-ARTS'!J39,ARTS!J39,'PE-HEALTH'!J39,HEALTH!J39),0)),"",ROUND(AVERAGE('MUSIC-ARTS'!J39,ARTS!J39,'PE-HEALTH'!J39,HEALTH!J39),0)))</f>
        <v/>
      </c>
      <c r="K39" s="40"/>
      <c r="L39" s="40"/>
      <c r="M39" s="68"/>
      <c r="N39" s="39" t="str">
        <f>IF(OR('MUSIC-ARTS'!N39="",ARTS!N39="",'PE-HEALTH'!N39="",HEALTH!N39=""),"",IF(ISERROR(ROUND(AVERAGE('MUSIC-ARTS'!N39,ARTS!N39,'PE-HEALTH'!N39,HEALTH!N39),0)),"",ROUND(AVERAGE('MUSIC-ARTS'!N39,ARTS!N39,'PE-HEALTH'!N39,HEALTH!N39),0)))</f>
        <v/>
      </c>
      <c r="O39" s="40"/>
      <c r="P39" s="40"/>
      <c r="Q39" s="68"/>
      <c r="R39" s="39" t="str">
        <f>IF(OR('MUSIC-ARTS'!R39="",ARTS!R39="",'PE-HEALTH'!R39="",HEALTH!R39=""),"",IF(ISERROR(ROUND(AVERAGE('MUSIC-ARTS'!R39,ARTS!R39,'PE-HEALTH'!R39,HEALTH!R39),0)),"",ROUND(AVERAGE('MUSIC-ARTS'!R39,ARTS!R39,'PE-HEALTH'!R39,HEALTH!R39),0)))</f>
        <v/>
      </c>
      <c r="S39" s="40"/>
      <c r="T39" s="40"/>
      <c r="U39" s="68"/>
      <c r="V39" s="83" t="str">
        <f t="shared" si="2"/>
        <v/>
      </c>
      <c r="W39" s="83"/>
      <c r="X39" s="83"/>
      <c r="Y39" s="83"/>
      <c r="Z39" s="97" t="str">
        <f t="shared" si="1"/>
        <v/>
      </c>
      <c r="AA39" s="98"/>
      <c r="AB39" s="99"/>
    </row>
    <row r="40" ht="15" hidden="1" spans="1:28">
      <c r="A40" s="42">
        <v>29</v>
      </c>
      <c r="B40" s="33">
        <f>'INPUT DATA'!B40:D40</f>
        <v>0</v>
      </c>
      <c r="C40" s="43"/>
      <c r="D40" s="43"/>
      <c r="E40" s="44"/>
      <c r="F40" s="39" t="str">
        <f>IF(OR('MUSIC-ARTS'!F40="",ARTS!F40="",'PE-HEALTH'!F40="",HEALTH!F40=""),"",IF(ISERROR(ROUND(AVERAGE('MUSIC-ARTS'!F40,ARTS!F40,'PE-HEALTH'!F40,HEALTH!F40),0)),"",ROUND(AVERAGE('MUSIC-ARTS'!F40,ARTS!F40,'PE-HEALTH'!F40,HEALTH!F40),0)))</f>
        <v/>
      </c>
      <c r="G40" s="40"/>
      <c r="H40" s="40"/>
      <c r="I40" s="68"/>
      <c r="J40" s="39" t="str">
        <f>IF(OR('MUSIC-ARTS'!J40="",ARTS!J40="",'PE-HEALTH'!J40="",HEALTH!J40=""),"",IF(ISERROR(ROUND(AVERAGE('MUSIC-ARTS'!J40,ARTS!J40,'PE-HEALTH'!J40,HEALTH!J40),0)),"",ROUND(AVERAGE('MUSIC-ARTS'!J40,ARTS!J40,'PE-HEALTH'!J40,HEALTH!J40),0)))</f>
        <v/>
      </c>
      <c r="K40" s="40"/>
      <c r="L40" s="40"/>
      <c r="M40" s="68"/>
      <c r="N40" s="39" t="str">
        <f>IF(OR('MUSIC-ARTS'!N40="",ARTS!N40="",'PE-HEALTH'!N40="",HEALTH!N40=""),"",IF(ISERROR(ROUND(AVERAGE('MUSIC-ARTS'!N40,ARTS!N40,'PE-HEALTH'!N40,HEALTH!N40),0)),"",ROUND(AVERAGE('MUSIC-ARTS'!N40,ARTS!N40,'PE-HEALTH'!N40,HEALTH!N40),0)))</f>
        <v/>
      </c>
      <c r="O40" s="40"/>
      <c r="P40" s="40"/>
      <c r="Q40" s="68"/>
      <c r="R40" s="39" t="str">
        <f>IF(OR('MUSIC-ARTS'!R40="",ARTS!R40="",'PE-HEALTH'!R40="",HEALTH!R40=""),"",IF(ISERROR(ROUND(AVERAGE('MUSIC-ARTS'!R40,ARTS!R40,'PE-HEALTH'!R40,HEALTH!R40),0)),"",ROUND(AVERAGE('MUSIC-ARTS'!R40,ARTS!R40,'PE-HEALTH'!R40,HEALTH!R40),0)))</f>
        <v/>
      </c>
      <c r="S40" s="40"/>
      <c r="T40" s="40"/>
      <c r="U40" s="68"/>
      <c r="V40" s="83" t="str">
        <f t="shared" si="2"/>
        <v/>
      </c>
      <c r="W40" s="83"/>
      <c r="X40" s="83"/>
      <c r="Y40" s="83"/>
      <c r="Z40" s="97" t="str">
        <f t="shared" si="1"/>
        <v/>
      </c>
      <c r="AA40" s="98"/>
      <c r="AB40" s="99"/>
    </row>
    <row r="41" ht="15" hidden="1" spans="1:28">
      <c r="A41" s="42">
        <v>30</v>
      </c>
      <c r="B41" s="33">
        <f>'INPUT DATA'!B41:D41</f>
        <v>0</v>
      </c>
      <c r="C41" s="43"/>
      <c r="D41" s="43"/>
      <c r="E41" s="44"/>
      <c r="F41" s="39" t="str">
        <f>IF(OR('MUSIC-ARTS'!F41="",ARTS!F41="",'PE-HEALTH'!F41="",HEALTH!F41=""),"",IF(ISERROR(ROUND(AVERAGE('MUSIC-ARTS'!F41,ARTS!F41,'PE-HEALTH'!F41,HEALTH!F41),0)),"",ROUND(AVERAGE('MUSIC-ARTS'!F41,ARTS!F41,'PE-HEALTH'!F41,HEALTH!F41),0)))</f>
        <v/>
      </c>
      <c r="G41" s="40"/>
      <c r="H41" s="40"/>
      <c r="I41" s="68"/>
      <c r="J41" s="39" t="str">
        <f>IF(OR('MUSIC-ARTS'!J41="",ARTS!J41="",'PE-HEALTH'!J41="",HEALTH!J41=""),"",IF(ISERROR(ROUND(AVERAGE('MUSIC-ARTS'!J41,ARTS!J41,'PE-HEALTH'!J41,HEALTH!J41),0)),"",ROUND(AVERAGE('MUSIC-ARTS'!J41,ARTS!J41,'PE-HEALTH'!J41,HEALTH!J41),0)))</f>
        <v/>
      </c>
      <c r="K41" s="40"/>
      <c r="L41" s="40"/>
      <c r="M41" s="68"/>
      <c r="N41" s="39" t="str">
        <f>IF(OR('MUSIC-ARTS'!N41="",ARTS!N41="",'PE-HEALTH'!N41="",HEALTH!N41=""),"",IF(ISERROR(ROUND(AVERAGE('MUSIC-ARTS'!N41,ARTS!N41,'PE-HEALTH'!N41,HEALTH!N41),0)),"",ROUND(AVERAGE('MUSIC-ARTS'!N41,ARTS!N41,'PE-HEALTH'!N41,HEALTH!N41),0)))</f>
        <v/>
      </c>
      <c r="O41" s="40"/>
      <c r="P41" s="40"/>
      <c r="Q41" s="68"/>
      <c r="R41" s="39" t="str">
        <f>IF(OR('MUSIC-ARTS'!R41="",ARTS!R41="",'PE-HEALTH'!R41="",HEALTH!R41=""),"",IF(ISERROR(ROUND(AVERAGE('MUSIC-ARTS'!R41,ARTS!R41,'PE-HEALTH'!R41,HEALTH!R41),0)),"",ROUND(AVERAGE('MUSIC-ARTS'!R41,ARTS!R41,'PE-HEALTH'!R41,HEALTH!R41),0)))</f>
        <v/>
      </c>
      <c r="S41" s="40"/>
      <c r="T41" s="40"/>
      <c r="U41" s="68"/>
      <c r="V41" s="83" t="str">
        <f t="shared" si="2"/>
        <v/>
      </c>
      <c r="W41" s="83"/>
      <c r="X41" s="83"/>
      <c r="Y41" s="83"/>
      <c r="Z41" s="97" t="str">
        <f t="shared" si="1"/>
        <v/>
      </c>
      <c r="AA41" s="98"/>
      <c r="AB41" s="99"/>
    </row>
    <row r="42" ht="15" hidden="1" spans="1:28">
      <c r="A42" s="42">
        <v>31</v>
      </c>
      <c r="B42" s="33">
        <f>'INPUT DATA'!B42:D42</f>
        <v>0</v>
      </c>
      <c r="C42" s="43"/>
      <c r="D42" s="43"/>
      <c r="E42" s="44"/>
      <c r="F42" s="39" t="str">
        <f>IF(OR('MUSIC-ARTS'!F42="",ARTS!F42="",'PE-HEALTH'!F42="",HEALTH!F42=""),"",IF(ISERROR(ROUND(AVERAGE('MUSIC-ARTS'!F42,ARTS!F42,'PE-HEALTH'!F42,HEALTH!F42),0)),"",ROUND(AVERAGE('MUSIC-ARTS'!F42,ARTS!F42,'PE-HEALTH'!F42,HEALTH!F42),0)))</f>
        <v/>
      </c>
      <c r="G42" s="40"/>
      <c r="H42" s="40"/>
      <c r="I42" s="68"/>
      <c r="J42" s="39" t="str">
        <f>IF(OR('MUSIC-ARTS'!J42="",ARTS!J42="",'PE-HEALTH'!J42="",HEALTH!J42=""),"",IF(ISERROR(ROUND(AVERAGE('MUSIC-ARTS'!J42,ARTS!J42,'PE-HEALTH'!J42,HEALTH!J42),0)),"",ROUND(AVERAGE('MUSIC-ARTS'!J42,ARTS!J42,'PE-HEALTH'!J42,HEALTH!J42),0)))</f>
        <v/>
      </c>
      <c r="K42" s="40"/>
      <c r="L42" s="40"/>
      <c r="M42" s="68"/>
      <c r="N42" s="39" t="str">
        <f>IF(OR('MUSIC-ARTS'!N42="",ARTS!N42="",'PE-HEALTH'!N42="",HEALTH!N42=""),"",IF(ISERROR(ROUND(AVERAGE('MUSIC-ARTS'!N42,ARTS!N42,'PE-HEALTH'!N42,HEALTH!N42),0)),"",ROUND(AVERAGE('MUSIC-ARTS'!N42,ARTS!N42,'PE-HEALTH'!N42,HEALTH!N42),0)))</f>
        <v/>
      </c>
      <c r="O42" s="40"/>
      <c r="P42" s="40"/>
      <c r="Q42" s="68"/>
      <c r="R42" s="39" t="str">
        <f>IF(OR('MUSIC-ARTS'!R42="",ARTS!R42="",'PE-HEALTH'!R42="",HEALTH!R42=""),"",IF(ISERROR(ROUND(AVERAGE('MUSIC-ARTS'!R42,ARTS!R42,'PE-HEALTH'!R42,HEALTH!R42),0)),"",ROUND(AVERAGE('MUSIC-ARTS'!R42,ARTS!R42,'PE-HEALTH'!R42,HEALTH!R42),0)))</f>
        <v/>
      </c>
      <c r="S42" s="40"/>
      <c r="T42" s="40"/>
      <c r="U42" s="68"/>
      <c r="V42" s="83" t="str">
        <f t="shared" si="2"/>
        <v/>
      </c>
      <c r="W42" s="83"/>
      <c r="X42" s="83"/>
      <c r="Y42" s="83"/>
      <c r="Z42" s="97" t="str">
        <f t="shared" si="1"/>
        <v/>
      </c>
      <c r="AA42" s="98"/>
      <c r="AB42" s="99"/>
    </row>
    <row r="43" ht="15" hidden="1" spans="1:28">
      <c r="A43" s="42">
        <v>32</v>
      </c>
      <c r="B43" s="45">
        <f>'INPUT DATA'!B43:D43</f>
        <v>0</v>
      </c>
      <c r="C43" s="43"/>
      <c r="D43" s="43"/>
      <c r="E43" s="44"/>
      <c r="F43" s="39" t="str">
        <f>IF(OR('MUSIC-ARTS'!F43="",ARTS!F43="",'PE-HEALTH'!F43="",HEALTH!F43=""),"",IF(ISERROR(ROUND(AVERAGE('MUSIC-ARTS'!F43,ARTS!F43,'PE-HEALTH'!F43,HEALTH!F43),0)),"",ROUND(AVERAGE('MUSIC-ARTS'!F43,ARTS!F43,'PE-HEALTH'!F43,HEALTH!F43),0)))</f>
        <v/>
      </c>
      <c r="G43" s="40"/>
      <c r="H43" s="40"/>
      <c r="I43" s="68"/>
      <c r="J43" s="39" t="str">
        <f>IF(OR('MUSIC-ARTS'!J43="",ARTS!J43="",'PE-HEALTH'!J43="",HEALTH!J43=""),"",IF(ISERROR(ROUND(AVERAGE('MUSIC-ARTS'!J43,ARTS!J43,'PE-HEALTH'!J43,HEALTH!J43),0)),"",ROUND(AVERAGE('MUSIC-ARTS'!J43,ARTS!J43,'PE-HEALTH'!J43,HEALTH!J43),0)))</f>
        <v/>
      </c>
      <c r="K43" s="40"/>
      <c r="L43" s="40"/>
      <c r="M43" s="68"/>
      <c r="N43" s="39" t="str">
        <f>IF(OR('MUSIC-ARTS'!N43="",ARTS!N43="",'PE-HEALTH'!N43="",HEALTH!N43=""),"",IF(ISERROR(ROUND(AVERAGE('MUSIC-ARTS'!N43,ARTS!N43,'PE-HEALTH'!N43,HEALTH!N43),0)),"",ROUND(AVERAGE('MUSIC-ARTS'!N43,ARTS!N43,'PE-HEALTH'!N43,HEALTH!N43),0)))</f>
        <v/>
      </c>
      <c r="O43" s="40"/>
      <c r="P43" s="40"/>
      <c r="Q43" s="68"/>
      <c r="R43" s="39" t="str">
        <f>IF(OR('MUSIC-ARTS'!R43="",ARTS!R43="",'PE-HEALTH'!R43="",HEALTH!R43=""),"",IF(ISERROR(ROUND(AVERAGE('MUSIC-ARTS'!R43,ARTS!R43,'PE-HEALTH'!R43,HEALTH!R43),0)),"",ROUND(AVERAGE('MUSIC-ARTS'!R43,ARTS!R43,'PE-HEALTH'!R43,HEALTH!R43),0)))</f>
        <v/>
      </c>
      <c r="S43" s="40"/>
      <c r="T43" s="40"/>
      <c r="U43" s="68"/>
      <c r="V43" s="83" t="str">
        <f t="shared" si="2"/>
        <v/>
      </c>
      <c r="W43" s="83"/>
      <c r="X43" s="83"/>
      <c r="Y43" s="83"/>
      <c r="Z43" s="97" t="str">
        <f t="shared" si="1"/>
        <v/>
      </c>
      <c r="AA43" s="98"/>
      <c r="AB43" s="99"/>
    </row>
    <row r="44" ht="15" hidden="1" spans="1:28">
      <c r="A44" s="42">
        <v>33</v>
      </c>
      <c r="B44" s="46">
        <f>'INPUT DATA'!B44:D44</f>
        <v>0</v>
      </c>
      <c r="C44" s="43"/>
      <c r="D44" s="43"/>
      <c r="E44" s="44"/>
      <c r="F44" s="39" t="str">
        <f>IF(OR('MUSIC-ARTS'!F44="",ARTS!F44="",'PE-HEALTH'!F44="",HEALTH!F44=""),"",IF(ISERROR(ROUND(AVERAGE('MUSIC-ARTS'!F44,ARTS!F44,'PE-HEALTH'!F44,HEALTH!F44),0)),"",ROUND(AVERAGE('MUSIC-ARTS'!F44,ARTS!F44,'PE-HEALTH'!F44,HEALTH!F44),0)))</f>
        <v/>
      </c>
      <c r="G44" s="40"/>
      <c r="H44" s="40"/>
      <c r="I44" s="68"/>
      <c r="J44" s="39" t="str">
        <f>IF(OR('MUSIC-ARTS'!J44="",ARTS!J44="",'PE-HEALTH'!J44="",HEALTH!J44=""),"",IF(ISERROR(ROUND(AVERAGE('MUSIC-ARTS'!J44,ARTS!J44,'PE-HEALTH'!J44,HEALTH!J44),0)),"",ROUND(AVERAGE('MUSIC-ARTS'!J44,ARTS!J44,'PE-HEALTH'!J44,HEALTH!J44),0)))</f>
        <v/>
      </c>
      <c r="K44" s="40"/>
      <c r="L44" s="40"/>
      <c r="M44" s="68"/>
      <c r="N44" s="39" t="str">
        <f>IF(OR('MUSIC-ARTS'!N44="",ARTS!N44="",'PE-HEALTH'!N44="",HEALTH!N44=""),"",IF(ISERROR(ROUND(AVERAGE('MUSIC-ARTS'!N44,ARTS!N44,'PE-HEALTH'!N44,HEALTH!N44),0)),"",ROUND(AVERAGE('MUSIC-ARTS'!N44,ARTS!N44,'PE-HEALTH'!N44,HEALTH!N44),0)))</f>
        <v/>
      </c>
      <c r="O44" s="40"/>
      <c r="P44" s="40"/>
      <c r="Q44" s="68"/>
      <c r="R44" s="39" t="str">
        <f>IF(OR('MUSIC-ARTS'!R44="",ARTS!R44="",'PE-HEALTH'!R44="",HEALTH!R44=""),"",IF(ISERROR(ROUND(AVERAGE('MUSIC-ARTS'!R44,ARTS!R44,'PE-HEALTH'!R44,HEALTH!R44),0)),"",ROUND(AVERAGE('MUSIC-ARTS'!R44,ARTS!R44,'PE-HEALTH'!R44,HEALTH!R44),0)))</f>
        <v/>
      </c>
      <c r="S44" s="40"/>
      <c r="T44" s="40"/>
      <c r="U44" s="68"/>
      <c r="V44" s="83" t="str">
        <f t="shared" si="2"/>
        <v/>
      </c>
      <c r="W44" s="83"/>
      <c r="X44" s="83"/>
      <c r="Y44" s="83"/>
      <c r="Z44" s="97" t="str">
        <f t="shared" si="1"/>
        <v/>
      </c>
      <c r="AA44" s="98"/>
      <c r="AB44" s="99"/>
    </row>
    <row r="45" ht="15" hidden="1" spans="1:28">
      <c r="A45" s="42">
        <v>34</v>
      </c>
      <c r="B45" s="47">
        <f>'INPUT DATA'!B45:D45</f>
        <v>0</v>
      </c>
      <c r="C45" s="43"/>
      <c r="D45" s="43"/>
      <c r="E45" s="44"/>
      <c r="F45" s="39" t="str">
        <f>IF(OR('MUSIC-ARTS'!F45="",ARTS!F45="",'PE-HEALTH'!F45="",HEALTH!F45=""),"",IF(ISERROR(ROUND(AVERAGE('MUSIC-ARTS'!F45,ARTS!F45,'PE-HEALTH'!F45,HEALTH!F45),0)),"",ROUND(AVERAGE('MUSIC-ARTS'!F45,ARTS!F45,'PE-HEALTH'!F45,HEALTH!F45),0)))</f>
        <v/>
      </c>
      <c r="G45" s="40"/>
      <c r="H45" s="40"/>
      <c r="I45" s="68"/>
      <c r="J45" s="39" t="str">
        <f>IF(OR('MUSIC-ARTS'!J45="",ARTS!J45="",'PE-HEALTH'!J45="",HEALTH!J45=""),"",IF(ISERROR(ROUND(AVERAGE('MUSIC-ARTS'!J45,ARTS!J45,'PE-HEALTH'!J45,HEALTH!J45),0)),"",ROUND(AVERAGE('MUSIC-ARTS'!J45,ARTS!J45,'PE-HEALTH'!J45,HEALTH!J45),0)))</f>
        <v/>
      </c>
      <c r="K45" s="40"/>
      <c r="L45" s="40"/>
      <c r="M45" s="68"/>
      <c r="N45" s="39" t="str">
        <f>IF(OR('MUSIC-ARTS'!N45="",ARTS!N45="",'PE-HEALTH'!N45="",HEALTH!N45=""),"",IF(ISERROR(ROUND(AVERAGE('MUSIC-ARTS'!N45,ARTS!N45,'PE-HEALTH'!N45,HEALTH!N45),0)),"",ROUND(AVERAGE('MUSIC-ARTS'!N45,ARTS!N45,'PE-HEALTH'!N45,HEALTH!N45),0)))</f>
        <v/>
      </c>
      <c r="O45" s="40"/>
      <c r="P45" s="40"/>
      <c r="Q45" s="68"/>
      <c r="R45" s="39" t="str">
        <f>IF(OR('MUSIC-ARTS'!R45="",ARTS!R45="",'PE-HEALTH'!R45="",HEALTH!R45=""),"",IF(ISERROR(ROUND(AVERAGE('MUSIC-ARTS'!R45,ARTS!R45,'PE-HEALTH'!R45,HEALTH!R45),0)),"",ROUND(AVERAGE('MUSIC-ARTS'!R45,ARTS!R45,'PE-HEALTH'!R45,HEALTH!R45),0)))</f>
        <v/>
      </c>
      <c r="S45" s="40"/>
      <c r="T45" s="40"/>
      <c r="U45" s="68"/>
      <c r="V45" s="83" t="str">
        <f t="shared" si="2"/>
        <v/>
      </c>
      <c r="W45" s="83"/>
      <c r="X45" s="83"/>
      <c r="Y45" s="83"/>
      <c r="Z45" s="97" t="str">
        <f t="shared" si="1"/>
        <v/>
      </c>
      <c r="AA45" s="98"/>
      <c r="AB45" s="99"/>
    </row>
    <row r="46" ht="15" hidden="1" spans="1:28">
      <c r="A46" s="42">
        <v>35</v>
      </c>
      <c r="B46" s="45">
        <f>'INPUT DATA'!B46:D46</f>
        <v>0</v>
      </c>
      <c r="C46" s="43"/>
      <c r="D46" s="43"/>
      <c r="E46" s="44"/>
      <c r="F46" s="39" t="str">
        <f>IF(OR('MUSIC-ARTS'!F46="",ARTS!F46="",'PE-HEALTH'!F46="",HEALTH!F46=""),"",IF(ISERROR(ROUND(AVERAGE('MUSIC-ARTS'!F46,ARTS!F46,'PE-HEALTH'!F46,HEALTH!F46),0)),"",ROUND(AVERAGE('MUSIC-ARTS'!F46,ARTS!F46,'PE-HEALTH'!F46,HEALTH!F46),0)))</f>
        <v/>
      </c>
      <c r="G46" s="40"/>
      <c r="H46" s="40"/>
      <c r="I46" s="68"/>
      <c r="J46" s="39" t="str">
        <f>IF(OR('MUSIC-ARTS'!J46="",ARTS!J46="",'PE-HEALTH'!J46="",HEALTH!J46=""),"",IF(ISERROR(ROUND(AVERAGE('MUSIC-ARTS'!J46,ARTS!J46,'PE-HEALTH'!J46,HEALTH!J46),0)),"",ROUND(AVERAGE('MUSIC-ARTS'!J46,ARTS!J46,'PE-HEALTH'!J46,HEALTH!J46),0)))</f>
        <v/>
      </c>
      <c r="K46" s="40"/>
      <c r="L46" s="40"/>
      <c r="M46" s="68"/>
      <c r="N46" s="39" t="str">
        <f>IF(OR('MUSIC-ARTS'!N46="",ARTS!N46="",'PE-HEALTH'!N46="",HEALTH!N46=""),"",IF(ISERROR(ROUND(AVERAGE('MUSIC-ARTS'!N46,ARTS!N46,'PE-HEALTH'!N46,HEALTH!N46),0)),"",ROUND(AVERAGE('MUSIC-ARTS'!N46,ARTS!N46,'PE-HEALTH'!N46,HEALTH!N46),0)))</f>
        <v/>
      </c>
      <c r="O46" s="40"/>
      <c r="P46" s="40"/>
      <c r="Q46" s="68"/>
      <c r="R46" s="39" t="str">
        <f>IF(OR('MUSIC-ARTS'!R46="",ARTS!R46="",'PE-HEALTH'!R46="",HEALTH!R46=""),"",IF(ISERROR(ROUND(AVERAGE('MUSIC-ARTS'!R46,ARTS!R46,'PE-HEALTH'!R46,HEALTH!R46),0)),"",ROUND(AVERAGE('MUSIC-ARTS'!R46,ARTS!R46,'PE-HEALTH'!R46,HEALTH!R46),0)))</f>
        <v/>
      </c>
      <c r="S46" s="40"/>
      <c r="T46" s="40"/>
      <c r="U46" s="68"/>
      <c r="V46" s="83" t="str">
        <f t="shared" si="2"/>
        <v/>
      </c>
      <c r="W46" s="83"/>
      <c r="X46" s="83"/>
      <c r="Y46" s="83"/>
      <c r="Z46" s="97" t="str">
        <f t="shared" si="1"/>
        <v/>
      </c>
      <c r="AA46" s="98"/>
      <c r="AB46" s="99"/>
    </row>
    <row r="47" ht="15" hidden="1" spans="1:28">
      <c r="A47" s="42">
        <v>36</v>
      </c>
      <c r="B47" s="46">
        <f>'INPUT DATA'!B47:D47</f>
        <v>0</v>
      </c>
      <c r="C47" s="43"/>
      <c r="D47" s="43"/>
      <c r="E47" s="44"/>
      <c r="F47" s="39" t="str">
        <f>IF(OR('MUSIC-ARTS'!F47="",ARTS!F47="",'PE-HEALTH'!F47="",HEALTH!F47=""),"",IF(ISERROR(ROUND(AVERAGE('MUSIC-ARTS'!F47,ARTS!F47,'PE-HEALTH'!F47,HEALTH!F47),0)),"",ROUND(AVERAGE('MUSIC-ARTS'!F47,ARTS!F47,'PE-HEALTH'!F47,HEALTH!F47),0)))</f>
        <v/>
      </c>
      <c r="G47" s="40"/>
      <c r="H47" s="40"/>
      <c r="I47" s="68"/>
      <c r="J47" s="39" t="str">
        <f>IF(OR('MUSIC-ARTS'!J47="",ARTS!J47="",'PE-HEALTH'!J47="",HEALTH!J47=""),"",IF(ISERROR(ROUND(AVERAGE('MUSIC-ARTS'!J47,ARTS!J47,'PE-HEALTH'!J47,HEALTH!J47),0)),"",ROUND(AVERAGE('MUSIC-ARTS'!J47,ARTS!J47,'PE-HEALTH'!J47,HEALTH!J47),0)))</f>
        <v/>
      </c>
      <c r="K47" s="40"/>
      <c r="L47" s="40"/>
      <c r="M47" s="68"/>
      <c r="N47" s="39" t="str">
        <f>IF(OR('MUSIC-ARTS'!N47="",ARTS!N47="",'PE-HEALTH'!N47="",HEALTH!N47=""),"",IF(ISERROR(ROUND(AVERAGE('MUSIC-ARTS'!N47,ARTS!N47,'PE-HEALTH'!N47,HEALTH!N47),0)),"",ROUND(AVERAGE('MUSIC-ARTS'!N47,ARTS!N47,'PE-HEALTH'!N47,HEALTH!N47),0)))</f>
        <v/>
      </c>
      <c r="O47" s="40"/>
      <c r="P47" s="40"/>
      <c r="Q47" s="68"/>
      <c r="R47" s="39" t="str">
        <f>IF(OR('MUSIC-ARTS'!R47="",ARTS!R47="",'PE-HEALTH'!R47="",HEALTH!R47=""),"",IF(ISERROR(ROUND(AVERAGE('MUSIC-ARTS'!R47,ARTS!R47,'PE-HEALTH'!R47,HEALTH!R47),0)),"",ROUND(AVERAGE('MUSIC-ARTS'!R47,ARTS!R47,'PE-HEALTH'!R47,HEALTH!R47),0)))</f>
        <v/>
      </c>
      <c r="S47" s="40"/>
      <c r="T47" s="40"/>
      <c r="U47" s="68"/>
      <c r="V47" s="83" t="str">
        <f t="shared" si="2"/>
        <v/>
      </c>
      <c r="W47" s="83"/>
      <c r="X47" s="83"/>
      <c r="Y47" s="83"/>
      <c r="Z47" s="97" t="str">
        <f t="shared" si="1"/>
        <v/>
      </c>
      <c r="AA47" s="98"/>
      <c r="AB47" s="99"/>
    </row>
    <row r="48" ht="15" hidden="1" spans="1:28">
      <c r="A48" s="42">
        <v>37</v>
      </c>
      <c r="B48" s="47">
        <f>'INPUT DATA'!B48:D48</f>
        <v>0</v>
      </c>
      <c r="C48" s="43"/>
      <c r="D48" s="43"/>
      <c r="E48" s="44"/>
      <c r="F48" s="39" t="str">
        <f>IF(OR('MUSIC-ARTS'!F48="",ARTS!F48="",'PE-HEALTH'!F48="",HEALTH!F48=""),"",IF(ISERROR(ROUND(AVERAGE('MUSIC-ARTS'!F48,ARTS!F48,'PE-HEALTH'!F48,HEALTH!F48),0)),"",ROUND(AVERAGE('MUSIC-ARTS'!F48,ARTS!F48,'PE-HEALTH'!F48,HEALTH!F48),0)))</f>
        <v/>
      </c>
      <c r="G48" s="40"/>
      <c r="H48" s="40"/>
      <c r="I48" s="68"/>
      <c r="J48" s="39" t="str">
        <f>IF(OR('MUSIC-ARTS'!J48="",ARTS!J48="",'PE-HEALTH'!J48="",HEALTH!J48=""),"",IF(ISERROR(ROUND(AVERAGE('MUSIC-ARTS'!J48,ARTS!J48,'PE-HEALTH'!J48,HEALTH!J48),0)),"",ROUND(AVERAGE('MUSIC-ARTS'!J48,ARTS!J48,'PE-HEALTH'!J48,HEALTH!J48),0)))</f>
        <v/>
      </c>
      <c r="K48" s="40"/>
      <c r="L48" s="40"/>
      <c r="M48" s="68"/>
      <c r="N48" s="39" t="str">
        <f>IF(OR('MUSIC-ARTS'!N48="",ARTS!N48="",'PE-HEALTH'!N48="",HEALTH!N48=""),"",IF(ISERROR(ROUND(AVERAGE('MUSIC-ARTS'!N48,ARTS!N48,'PE-HEALTH'!N48,HEALTH!N48),0)),"",ROUND(AVERAGE('MUSIC-ARTS'!N48,ARTS!N48,'PE-HEALTH'!N48,HEALTH!N48),0)))</f>
        <v/>
      </c>
      <c r="O48" s="40"/>
      <c r="P48" s="40"/>
      <c r="Q48" s="68"/>
      <c r="R48" s="39" t="str">
        <f>IF(OR('MUSIC-ARTS'!R48="",ARTS!R48="",'PE-HEALTH'!R48="",HEALTH!R48=""),"",IF(ISERROR(ROUND(AVERAGE('MUSIC-ARTS'!R48,ARTS!R48,'PE-HEALTH'!R48,HEALTH!R48),0)),"",ROUND(AVERAGE('MUSIC-ARTS'!R48,ARTS!R48,'PE-HEALTH'!R48,HEALTH!R48),0)))</f>
        <v/>
      </c>
      <c r="S48" s="40"/>
      <c r="T48" s="40"/>
      <c r="U48" s="68"/>
      <c r="V48" s="83" t="str">
        <f t="shared" si="2"/>
        <v/>
      </c>
      <c r="W48" s="83"/>
      <c r="X48" s="83"/>
      <c r="Y48" s="83"/>
      <c r="Z48" s="97" t="str">
        <f t="shared" si="1"/>
        <v/>
      </c>
      <c r="AA48" s="98"/>
      <c r="AB48" s="99"/>
    </row>
    <row r="49" ht="15" hidden="1" spans="1:28">
      <c r="A49" s="42">
        <v>38</v>
      </c>
      <c r="B49" s="33">
        <f>'INPUT DATA'!B49:D49</f>
        <v>0</v>
      </c>
      <c r="C49" s="43"/>
      <c r="D49" s="43"/>
      <c r="E49" s="44"/>
      <c r="F49" s="39" t="str">
        <f>IF(OR('MUSIC-ARTS'!F49="",ARTS!F49="",'PE-HEALTH'!F49="",HEALTH!F49=""),"",IF(ISERROR(ROUND(AVERAGE('MUSIC-ARTS'!F49,ARTS!F49,'PE-HEALTH'!F49,HEALTH!F49),0)),"",ROUND(AVERAGE('MUSIC-ARTS'!F49,ARTS!F49,'PE-HEALTH'!F49,HEALTH!F49),0)))</f>
        <v/>
      </c>
      <c r="G49" s="40"/>
      <c r="H49" s="40"/>
      <c r="I49" s="68"/>
      <c r="J49" s="39" t="str">
        <f>IF(OR('MUSIC-ARTS'!J49="",ARTS!J49="",'PE-HEALTH'!J49="",HEALTH!J49=""),"",IF(ISERROR(ROUND(AVERAGE('MUSIC-ARTS'!J49,ARTS!J49,'PE-HEALTH'!J49,HEALTH!J49),0)),"",ROUND(AVERAGE('MUSIC-ARTS'!J49,ARTS!J49,'PE-HEALTH'!J49,HEALTH!J49),0)))</f>
        <v/>
      </c>
      <c r="K49" s="40"/>
      <c r="L49" s="40"/>
      <c r="M49" s="68"/>
      <c r="N49" s="39" t="str">
        <f>IF(OR('MUSIC-ARTS'!N49="",ARTS!N49="",'PE-HEALTH'!N49="",HEALTH!N49=""),"",IF(ISERROR(ROUND(AVERAGE('MUSIC-ARTS'!N49,ARTS!N49,'PE-HEALTH'!N49,HEALTH!N49),0)),"",ROUND(AVERAGE('MUSIC-ARTS'!N49,ARTS!N49,'PE-HEALTH'!N49,HEALTH!N49),0)))</f>
        <v/>
      </c>
      <c r="O49" s="40"/>
      <c r="P49" s="40"/>
      <c r="Q49" s="68"/>
      <c r="R49" s="39" t="str">
        <f>IF(OR('MUSIC-ARTS'!R49="",ARTS!R49="",'PE-HEALTH'!R49="",HEALTH!R49=""),"",IF(ISERROR(ROUND(AVERAGE('MUSIC-ARTS'!R49,ARTS!R49,'PE-HEALTH'!R49,HEALTH!R49),0)),"",ROUND(AVERAGE('MUSIC-ARTS'!R49,ARTS!R49,'PE-HEALTH'!R49,HEALTH!R49),0)))</f>
        <v/>
      </c>
      <c r="S49" s="40"/>
      <c r="T49" s="40"/>
      <c r="U49" s="68"/>
      <c r="V49" s="83" t="str">
        <f t="shared" si="2"/>
        <v/>
      </c>
      <c r="W49" s="83"/>
      <c r="X49" s="83"/>
      <c r="Y49" s="83"/>
      <c r="Z49" s="97" t="str">
        <f t="shared" si="1"/>
        <v/>
      </c>
      <c r="AA49" s="98"/>
      <c r="AB49" s="99"/>
    </row>
    <row r="50" ht="15.75" hidden="1" spans="1:28">
      <c r="A50" s="42">
        <v>39</v>
      </c>
      <c r="B50" s="33">
        <f>'INPUT DATA'!B50:D50</f>
        <v>0</v>
      </c>
      <c r="C50" s="48"/>
      <c r="D50" s="48"/>
      <c r="E50" s="49"/>
      <c r="F50" s="39" t="str">
        <f>IF(OR('MUSIC-ARTS'!F50="",ARTS!F50="",'PE-HEALTH'!F50="",HEALTH!F50=""),"",IF(ISERROR(ROUND(AVERAGE('MUSIC-ARTS'!F50,ARTS!F50,'PE-HEALTH'!F50,HEALTH!F50),0)),"",ROUND(AVERAGE('MUSIC-ARTS'!F50,ARTS!F50,'PE-HEALTH'!F50,HEALTH!F50),0)))</f>
        <v/>
      </c>
      <c r="G50" s="40"/>
      <c r="H50" s="40"/>
      <c r="I50" s="68"/>
      <c r="J50" s="39" t="str">
        <f>IF(OR('MUSIC-ARTS'!J50="",ARTS!J50="",'PE-HEALTH'!J50="",HEALTH!J50=""),"",IF(ISERROR(ROUND(AVERAGE('MUSIC-ARTS'!J50,ARTS!J50,'PE-HEALTH'!J50,HEALTH!J50),0)),"",ROUND(AVERAGE('MUSIC-ARTS'!J50,ARTS!J50,'PE-HEALTH'!J50,HEALTH!J50),0)))</f>
        <v/>
      </c>
      <c r="K50" s="40"/>
      <c r="L50" s="40"/>
      <c r="M50" s="68"/>
      <c r="N50" s="39" t="str">
        <f>IF(OR('MUSIC-ARTS'!N50="",ARTS!N50="",'PE-HEALTH'!N50="",HEALTH!N50=""),"",IF(ISERROR(ROUND(AVERAGE('MUSIC-ARTS'!N50,ARTS!N50,'PE-HEALTH'!N50,HEALTH!N50),0)),"",ROUND(AVERAGE('MUSIC-ARTS'!N50,ARTS!N50,'PE-HEALTH'!N50,HEALTH!N50),0)))</f>
        <v/>
      </c>
      <c r="O50" s="40"/>
      <c r="P50" s="40"/>
      <c r="Q50" s="68"/>
      <c r="R50" s="39" t="str">
        <f>IF(OR('MUSIC-ARTS'!R50="",ARTS!R50="",'PE-HEALTH'!R50="",HEALTH!R50=""),"",IF(ISERROR(ROUND(AVERAGE('MUSIC-ARTS'!R50,ARTS!R50,'PE-HEALTH'!R50,HEALTH!R50),0)),"",ROUND(AVERAGE('MUSIC-ARTS'!R50,ARTS!R50,'PE-HEALTH'!R50,HEALTH!R50),0)))</f>
        <v/>
      </c>
      <c r="S50" s="40"/>
      <c r="T50" s="40"/>
      <c r="U50" s="68"/>
      <c r="V50" s="83" t="str">
        <f t="shared" si="2"/>
        <v/>
      </c>
      <c r="W50" s="83"/>
      <c r="X50" s="83"/>
      <c r="Y50" s="83"/>
      <c r="Z50" s="97" t="str">
        <f t="shared" si="1"/>
        <v/>
      </c>
      <c r="AA50" s="98"/>
      <c r="AB50" s="99"/>
    </row>
    <row r="51" ht="15.75" spans="1:28">
      <c r="A51" s="27"/>
      <c r="B51" s="28" t="s">
        <v>39</v>
      </c>
      <c r="C51" s="29"/>
      <c r="D51" s="29"/>
      <c r="E51" s="50"/>
      <c r="F51" s="51"/>
      <c r="G51" s="52"/>
      <c r="H51" s="52"/>
      <c r="I51" s="69"/>
      <c r="J51" s="70" t="str">
        <f>IF(OR('MUSIC-ARTS'!J51="",ARTS!J51="",'PE-HEALTH'!J51="",HEALTH!J51=""),"",IF(ISERROR(ROUND(AVERAGE('MUSIC-ARTS'!J51,ARTS!J51,'PE-HEALTH'!J51,HEALTH!J51),0)),"",ROUND(AVERAGE('MUSIC-ARTS'!J51,ARTS!J51,'PE-HEALTH'!J51,HEALTH!J51),0)))</f>
        <v/>
      </c>
      <c r="K51" s="71"/>
      <c r="L51" s="71"/>
      <c r="M51" s="72"/>
      <c r="N51" s="51"/>
      <c r="O51" s="52"/>
      <c r="P51" s="52"/>
      <c r="Q51" s="69"/>
      <c r="R51" s="51"/>
      <c r="S51" s="52"/>
      <c r="T51" s="52"/>
      <c r="U51" s="69"/>
      <c r="V51" s="84" t="str">
        <f t="shared" si="0"/>
        <v/>
      </c>
      <c r="W51" s="85"/>
      <c r="X51" s="85"/>
      <c r="Y51" s="100"/>
      <c r="Z51" s="101" t="str">
        <f t="shared" si="1"/>
        <v/>
      </c>
      <c r="AA51" s="102"/>
      <c r="AB51" s="103"/>
    </row>
    <row r="52" ht="15" spans="1:28">
      <c r="A52" s="32">
        <v>1</v>
      </c>
      <c r="B52" s="33" t="str">
        <f>'INPUT DATA'!B53:D53</f>
        <v>ANGCOY, PRINCESS NAILLE T.</v>
      </c>
      <c r="C52" s="34"/>
      <c r="D52" s="34"/>
      <c r="E52" s="53"/>
      <c r="F52" s="54">
        <v>88</v>
      </c>
      <c r="G52" s="55"/>
      <c r="H52" s="55"/>
      <c r="I52" s="73"/>
      <c r="J52" s="54">
        <v>86</v>
      </c>
      <c r="K52" s="55"/>
      <c r="L52" s="55"/>
      <c r="M52" s="73"/>
      <c r="N52" s="54">
        <v>85</v>
      </c>
      <c r="O52" s="55"/>
      <c r="P52" s="55"/>
      <c r="Q52" s="73"/>
      <c r="R52" s="54">
        <v>89</v>
      </c>
      <c r="S52" s="55"/>
      <c r="T52" s="55"/>
      <c r="U52" s="73"/>
      <c r="V52" s="81">
        <f t="shared" si="0"/>
        <v>87</v>
      </c>
      <c r="W52" s="82"/>
      <c r="X52" s="82"/>
      <c r="Y52" s="93"/>
      <c r="Z52" s="104" t="str">
        <f t="shared" si="1"/>
        <v>PASSED</v>
      </c>
      <c r="AA52" s="105"/>
      <c r="AB52" s="106"/>
    </row>
    <row r="53" ht="15" spans="1:28">
      <c r="A53" s="37">
        <v>2</v>
      </c>
      <c r="B53" s="33" t="str">
        <f>'INPUT DATA'!B54:D54</f>
        <v>BIMOS, SHEILLA KATE O.</v>
      </c>
      <c r="C53" s="38"/>
      <c r="D53" s="38"/>
      <c r="E53" s="41"/>
      <c r="F53" s="54">
        <v>90</v>
      </c>
      <c r="G53" s="55"/>
      <c r="H53" s="55"/>
      <c r="I53" s="73"/>
      <c r="J53" s="39">
        <v>86</v>
      </c>
      <c r="K53" s="40"/>
      <c r="L53" s="40"/>
      <c r="M53" s="68"/>
      <c r="N53" s="39">
        <v>87</v>
      </c>
      <c r="O53" s="40"/>
      <c r="P53" s="40"/>
      <c r="Q53" s="68"/>
      <c r="R53" s="39">
        <v>93</v>
      </c>
      <c r="S53" s="40"/>
      <c r="T53" s="40"/>
      <c r="U53" s="68"/>
      <c r="V53" s="81">
        <f t="shared" si="0"/>
        <v>89</v>
      </c>
      <c r="W53" s="82"/>
      <c r="X53" s="82"/>
      <c r="Y53" s="93"/>
      <c r="Z53" s="97" t="str">
        <f t="shared" si="1"/>
        <v>PASSED</v>
      </c>
      <c r="AA53" s="98"/>
      <c r="AB53" s="99"/>
    </row>
    <row r="54" ht="15" spans="1:28">
      <c r="A54" s="37">
        <v>3</v>
      </c>
      <c r="B54" s="33" t="str">
        <f>'INPUT DATA'!B55:D55</f>
        <v>BONGABONG, DWEYN ZHAIRA A.</v>
      </c>
      <c r="C54" s="38"/>
      <c r="D54" s="38"/>
      <c r="E54" s="41"/>
      <c r="F54" s="54">
        <v>92</v>
      </c>
      <c r="G54" s="55"/>
      <c r="H54" s="55"/>
      <c r="I54" s="73"/>
      <c r="J54" s="39">
        <v>89</v>
      </c>
      <c r="K54" s="40"/>
      <c r="L54" s="40"/>
      <c r="M54" s="68"/>
      <c r="N54" s="39">
        <v>90</v>
      </c>
      <c r="O54" s="40"/>
      <c r="P54" s="40"/>
      <c r="Q54" s="68"/>
      <c r="R54" s="39">
        <v>91</v>
      </c>
      <c r="S54" s="40"/>
      <c r="T54" s="40"/>
      <c r="U54" s="68"/>
      <c r="V54" s="81">
        <f t="shared" si="0"/>
        <v>91</v>
      </c>
      <c r="W54" s="82"/>
      <c r="X54" s="82"/>
      <c r="Y54" s="93"/>
      <c r="Z54" s="97" t="str">
        <f t="shared" si="1"/>
        <v>PASSED</v>
      </c>
      <c r="AA54" s="98"/>
      <c r="AB54" s="99"/>
    </row>
    <row r="55" ht="15" spans="1:28">
      <c r="A55" s="37">
        <v>4</v>
      </c>
      <c r="B55" s="33" t="str">
        <f>'INPUT DATA'!B56:D56</f>
        <v>CABEL, LOURENE A.</v>
      </c>
      <c r="C55" s="38"/>
      <c r="D55" s="38"/>
      <c r="E55" s="41"/>
      <c r="F55" s="54">
        <v>92</v>
      </c>
      <c r="G55" s="55"/>
      <c r="H55" s="55"/>
      <c r="I55" s="73"/>
      <c r="J55" s="39">
        <v>92</v>
      </c>
      <c r="K55" s="40"/>
      <c r="L55" s="40"/>
      <c r="M55" s="68"/>
      <c r="N55" s="39">
        <v>92</v>
      </c>
      <c r="O55" s="40"/>
      <c r="P55" s="40"/>
      <c r="Q55" s="68"/>
      <c r="R55" s="39">
        <v>93</v>
      </c>
      <c r="S55" s="40"/>
      <c r="T55" s="40"/>
      <c r="U55" s="68"/>
      <c r="V55" s="81">
        <f t="shared" si="0"/>
        <v>92</v>
      </c>
      <c r="W55" s="82"/>
      <c r="X55" s="82"/>
      <c r="Y55" s="93"/>
      <c r="Z55" s="97" t="str">
        <f t="shared" si="1"/>
        <v>PASSED</v>
      </c>
      <c r="AA55" s="98"/>
      <c r="AB55" s="99"/>
    </row>
    <row r="56" ht="15" spans="1:28">
      <c r="A56" s="37">
        <v>5</v>
      </c>
      <c r="B56" s="33" t="str">
        <f>'INPUT DATA'!B57:D57</f>
        <v>CAMIGAO, DHENISE CLARE V.</v>
      </c>
      <c r="C56" s="38"/>
      <c r="D56" s="38"/>
      <c r="E56" s="41"/>
      <c r="F56" s="54">
        <v>91</v>
      </c>
      <c r="G56" s="55"/>
      <c r="H56" s="55"/>
      <c r="I56" s="73"/>
      <c r="J56" s="39">
        <v>88</v>
      </c>
      <c r="K56" s="40"/>
      <c r="L56" s="40"/>
      <c r="M56" s="68"/>
      <c r="N56" s="39">
        <v>85</v>
      </c>
      <c r="O56" s="40"/>
      <c r="P56" s="40"/>
      <c r="Q56" s="68"/>
      <c r="R56" s="39">
        <v>90</v>
      </c>
      <c r="S56" s="40"/>
      <c r="T56" s="40"/>
      <c r="U56" s="68"/>
      <c r="V56" s="81">
        <f t="shared" si="0"/>
        <v>89</v>
      </c>
      <c r="W56" s="82"/>
      <c r="X56" s="82"/>
      <c r="Y56" s="93"/>
      <c r="Z56" s="97" t="str">
        <f t="shared" si="1"/>
        <v>PASSED</v>
      </c>
      <c r="AA56" s="98"/>
      <c r="AB56" s="99"/>
    </row>
    <row r="57" ht="15" spans="1:28">
      <c r="A57" s="37">
        <v>6</v>
      </c>
      <c r="B57" s="33" t="str">
        <f>'INPUT DATA'!B58:D58</f>
        <v>CARISMA, NATHALIA MAE M.</v>
      </c>
      <c r="C57" s="38"/>
      <c r="D57" s="38"/>
      <c r="E57" s="41"/>
      <c r="F57" s="54">
        <v>88</v>
      </c>
      <c r="G57" s="55"/>
      <c r="H57" s="55"/>
      <c r="I57" s="73"/>
      <c r="J57" s="39">
        <v>88</v>
      </c>
      <c r="K57" s="40"/>
      <c r="L57" s="40"/>
      <c r="M57" s="68"/>
      <c r="N57" s="39">
        <v>88</v>
      </c>
      <c r="O57" s="40"/>
      <c r="P57" s="40"/>
      <c r="Q57" s="68"/>
      <c r="R57" s="39">
        <v>91</v>
      </c>
      <c r="S57" s="40"/>
      <c r="T57" s="40"/>
      <c r="U57" s="68"/>
      <c r="V57" s="81">
        <f t="shared" si="0"/>
        <v>89</v>
      </c>
      <c r="W57" s="82"/>
      <c r="X57" s="82"/>
      <c r="Y57" s="93"/>
      <c r="Z57" s="97" t="str">
        <f t="shared" si="1"/>
        <v>PASSED</v>
      </c>
      <c r="AA57" s="98"/>
      <c r="AB57" s="99"/>
    </row>
    <row r="58" ht="15" spans="1:28">
      <c r="A58" s="37">
        <v>7</v>
      </c>
      <c r="B58" s="33" t="str">
        <f>'INPUT DATA'!B59:D59</f>
        <v>CLARO, REANZ P.</v>
      </c>
      <c r="C58" s="38"/>
      <c r="D58" s="38"/>
      <c r="E58" s="41"/>
      <c r="F58" s="54">
        <v>88</v>
      </c>
      <c r="G58" s="55"/>
      <c r="H58" s="55"/>
      <c r="I58" s="73"/>
      <c r="J58" s="39">
        <v>86</v>
      </c>
      <c r="K58" s="40"/>
      <c r="L58" s="40"/>
      <c r="M58" s="68"/>
      <c r="N58" s="39">
        <v>86</v>
      </c>
      <c r="O58" s="40"/>
      <c r="P58" s="40"/>
      <c r="Q58" s="68"/>
      <c r="R58" s="39">
        <v>90</v>
      </c>
      <c r="S58" s="40"/>
      <c r="T58" s="40"/>
      <c r="U58" s="68"/>
      <c r="V58" s="81">
        <f t="shared" si="0"/>
        <v>88</v>
      </c>
      <c r="W58" s="82"/>
      <c r="X58" s="82"/>
      <c r="Y58" s="93"/>
      <c r="Z58" s="97" t="str">
        <f t="shared" si="1"/>
        <v>PASSED</v>
      </c>
      <c r="AA58" s="98"/>
      <c r="AB58" s="99"/>
    </row>
    <row r="59" ht="15" spans="1:28">
      <c r="A59" s="37">
        <v>8</v>
      </c>
      <c r="B59" s="33" t="str">
        <f>'INPUT DATA'!B60:D60</f>
        <v>FRANCISCO, YSABELLA BEATRICE B.</v>
      </c>
      <c r="C59" s="38"/>
      <c r="D59" s="38"/>
      <c r="E59" s="41"/>
      <c r="F59" s="54">
        <v>93</v>
      </c>
      <c r="G59" s="55"/>
      <c r="H59" s="55"/>
      <c r="I59" s="73"/>
      <c r="J59" s="39">
        <v>93</v>
      </c>
      <c r="K59" s="40"/>
      <c r="L59" s="40"/>
      <c r="M59" s="68"/>
      <c r="N59" s="39">
        <v>94</v>
      </c>
      <c r="O59" s="40"/>
      <c r="P59" s="40"/>
      <c r="Q59" s="68"/>
      <c r="R59" s="39">
        <v>95</v>
      </c>
      <c r="S59" s="40"/>
      <c r="T59" s="40"/>
      <c r="U59" s="68"/>
      <c r="V59" s="81">
        <f t="shared" si="0"/>
        <v>94</v>
      </c>
      <c r="W59" s="82"/>
      <c r="X59" s="82"/>
      <c r="Y59" s="93"/>
      <c r="Z59" s="97" t="str">
        <f t="shared" si="1"/>
        <v>PASSED</v>
      </c>
      <c r="AA59" s="98"/>
      <c r="AB59" s="99"/>
    </row>
    <row r="60" ht="15" spans="1:28">
      <c r="A60" s="37">
        <v>9</v>
      </c>
      <c r="B60" s="33" t="str">
        <f>'INPUT DATA'!B61:D61</f>
        <v>GALDO, ALYSSA RHIAN P.</v>
      </c>
      <c r="C60" s="38"/>
      <c r="D60" s="38"/>
      <c r="E60" s="41"/>
      <c r="F60" s="54">
        <v>90</v>
      </c>
      <c r="G60" s="55"/>
      <c r="H60" s="55"/>
      <c r="I60" s="73"/>
      <c r="J60" s="39">
        <v>88</v>
      </c>
      <c r="K60" s="40"/>
      <c r="L60" s="40"/>
      <c r="M60" s="68"/>
      <c r="N60" s="39"/>
      <c r="O60" s="40"/>
      <c r="P60" s="40"/>
      <c r="Q60" s="68"/>
      <c r="R60" s="39" t="str">
        <f>IF(OR('MUSIC-ARTS'!R60="",ARTS!R60="",'PE-HEALTH'!R60="",HEALTH!R60=""),"",IF(ISERROR(ROUND(AVERAGE('MUSIC-ARTS'!R60,ARTS!R60,'PE-HEALTH'!R60,HEALTH!R60),0)),"",ROUND(AVERAGE('MUSIC-ARTS'!R60,ARTS!R60,'PE-HEALTH'!R60,HEALTH!R60),0)))</f>
        <v/>
      </c>
      <c r="S60" s="40"/>
      <c r="T60" s="40"/>
      <c r="U60" s="68"/>
      <c r="V60" s="81" t="str">
        <f t="shared" si="0"/>
        <v/>
      </c>
      <c r="W60" s="82"/>
      <c r="X60" s="82"/>
      <c r="Y60" s="93"/>
      <c r="Z60" s="97" t="str">
        <f t="shared" si="1"/>
        <v/>
      </c>
      <c r="AA60" s="98"/>
      <c r="AB60" s="99"/>
    </row>
    <row r="61" ht="15" spans="1:28">
      <c r="A61" s="37">
        <v>10</v>
      </c>
      <c r="B61" s="33" t="str">
        <f>'INPUT DATA'!B62:D62</f>
        <v>HURAÑO, RIOMI M.</v>
      </c>
      <c r="C61" s="38"/>
      <c r="D61" s="38"/>
      <c r="E61" s="41"/>
      <c r="F61" s="54">
        <v>89</v>
      </c>
      <c r="G61" s="55"/>
      <c r="H61" s="55"/>
      <c r="I61" s="73"/>
      <c r="J61" s="39">
        <v>89</v>
      </c>
      <c r="K61" s="40"/>
      <c r="L61" s="40"/>
      <c r="M61" s="68"/>
      <c r="N61" s="39">
        <v>90</v>
      </c>
      <c r="O61" s="40"/>
      <c r="P61" s="40"/>
      <c r="Q61" s="68"/>
      <c r="R61" s="39">
        <v>93</v>
      </c>
      <c r="S61" s="40"/>
      <c r="T61" s="40"/>
      <c r="U61" s="68"/>
      <c r="V61" s="81">
        <f t="shared" si="0"/>
        <v>90</v>
      </c>
      <c r="W61" s="82"/>
      <c r="X61" s="82"/>
      <c r="Y61" s="93"/>
      <c r="Z61" s="97" t="str">
        <f t="shared" si="1"/>
        <v>PASSED</v>
      </c>
      <c r="AA61" s="98"/>
      <c r="AB61" s="99"/>
    </row>
    <row r="62" ht="15" spans="1:28">
      <c r="A62" s="37">
        <v>11</v>
      </c>
      <c r="B62" s="33" t="str">
        <f>'INPUT DATA'!B63:D63</f>
        <v>LAGUNA, WELLAIZA O.</v>
      </c>
      <c r="C62" s="38"/>
      <c r="D62" s="38"/>
      <c r="E62" s="41"/>
      <c r="F62" s="54">
        <v>87</v>
      </c>
      <c r="G62" s="55"/>
      <c r="H62" s="55"/>
      <c r="I62" s="73"/>
      <c r="J62" s="39">
        <v>88</v>
      </c>
      <c r="K62" s="40"/>
      <c r="L62" s="40"/>
      <c r="M62" s="68"/>
      <c r="N62" s="39" t="str">
        <f>IF(OR('MUSIC-ARTS'!N62="",ARTS!N62="",'PE-HEALTH'!N62="",HEALTH!N62=""),"",IF(ISERROR(ROUND(AVERAGE('MUSIC-ARTS'!N62,ARTS!N62,'PE-HEALTH'!N62,HEALTH!N62),0)),"",ROUND(AVERAGE('MUSIC-ARTS'!N62,ARTS!N62,'PE-HEALTH'!N62,HEALTH!N62),0)))</f>
        <v/>
      </c>
      <c r="O62" s="40"/>
      <c r="P62" s="40"/>
      <c r="Q62" s="68"/>
      <c r="R62" s="39" t="str">
        <f>IF(OR('MUSIC-ARTS'!R62="",ARTS!R62="",'PE-HEALTH'!R62="",HEALTH!R62=""),"",IF(ISERROR(ROUND(AVERAGE('MUSIC-ARTS'!R62,ARTS!R62,'PE-HEALTH'!R62,HEALTH!R62),0)),"",ROUND(AVERAGE('MUSIC-ARTS'!R62,ARTS!R62,'PE-HEALTH'!R62,HEALTH!R62),0)))</f>
        <v/>
      </c>
      <c r="S62" s="40"/>
      <c r="T62" s="40"/>
      <c r="U62" s="68"/>
      <c r="V62" s="81" t="str">
        <f t="shared" si="0"/>
        <v/>
      </c>
      <c r="W62" s="82"/>
      <c r="X62" s="82"/>
      <c r="Y62" s="93"/>
      <c r="Z62" s="97" t="str">
        <f t="shared" si="1"/>
        <v/>
      </c>
      <c r="AA62" s="98"/>
      <c r="AB62" s="99"/>
    </row>
    <row r="63" ht="15" spans="1:28">
      <c r="A63" s="37">
        <v>12</v>
      </c>
      <c r="B63" s="33" t="str">
        <f>'INPUT DATA'!B64:D64</f>
        <v>LAZAGA, PRINCESS JEAN O.</v>
      </c>
      <c r="C63" s="38"/>
      <c r="D63" s="38"/>
      <c r="E63" s="41"/>
      <c r="F63" s="54">
        <v>88</v>
      </c>
      <c r="G63" s="55"/>
      <c r="H63" s="55"/>
      <c r="I63" s="73"/>
      <c r="J63" s="39">
        <v>88</v>
      </c>
      <c r="K63" s="40"/>
      <c r="L63" s="40"/>
      <c r="M63" s="68"/>
      <c r="N63" s="39">
        <v>89</v>
      </c>
      <c r="O63" s="40"/>
      <c r="P63" s="40"/>
      <c r="Q63" s="68"/>
      <c r="R63" s="39">
        <v>93</v>
      </c>
      <c r="S63" s="40"/>
      <c r="T63" s="40"/>
      <c r="U63" s="68"/>
      <c r="V63" s="81">
        <f t="shared" si="0"/>
        <v>90</v>
      </c>
      <c r="W63" s="82"/>
      <c r="X63" s="82"/>
      <c r="Y63" s="93"/>
      <c r="Z63" s="97" t="str">
        <f t="shared" si="1"/>
        <v>PASSED</v>
      </c>
      <c r="AA63" s="98"/>
      <c r="AB63" s="99"/>
    </row>
    <row r="64" ht="15" spans="1:28">
      <c r="A64" s="37">
        <v>13</v>
      </c>
      <c r="B64" s="33" t="str">
        <f>'INPUT DATA'!B65:D65</f>
        <v>LIBRES, MIKYLLA B.</v>
      </c>
      <c r="C64" s="38"/>
      <c r="D64" s="38"/>
      <c r="E64" s="41"/>
      <c r="F64" s="54">
        <v>83</v>
      </c>
      <c r="G64" s="55"/>
      <c r="H64" s="55"/>
      <c r="I64" s="73"/>
      <c r="J64" s="39">
        <v>78</v>
      </c>
      <c r="K64" s="40"/>
      <c r="L64" s="40"/>
      <c r="M64" s="68"/>
      <c r="N64" s="39">
        <v>80</v>
      </c>
      <c r="O64" s="40"/>
      <c r="P64" s="40"/>
      <c r="Q64" s="68"/>
      <c r="R64" s="39">
        <v>84</v>
      </c>
      <c r="S64" s="40"/>
      <c r="T64" s="40"/>
      <c r="U64" s="68"/>
      <c r="V64" s="81">
        <f t="shared" si="0"/>
        <v>81</v>
      </c>
      <c r="W64" s="82"/>
      <c r="X64" s="82"/>
      <c r="Y64" s="93"/>
      <c r="Z64" s="97" t="str">
        <f t="shared" si="1"/>
        <v>PASSED</v>
      </c>
      <c r="AA64" s="98"/>
      <c r="AB64" s="99"/>
    </row>
    <row r="65" ht="15" spans="1:28">
      <c r="A65" s="37">
        <v>14</v>
      </c>
      <c r="B65" s="33" t="str">
        <f>'INPUT DATA'!B66:D66</f>
        <v>LIM, LENNIE GRACE S.</v>
      </c>
      <c r="C65" s="38"/>
      <c r="D65" s="38"/>
      <c r="E65" s="41"/>
      <c r="F65" s="54">
        <v>92</v>
      </c>
      <c r="G65" s="55"/>
      <c r="H65" s="55"/>
      <c r="I65" s="73"/>
      <c r="J65" s="39">
        <v>86</v>
      </c>
      <c r="K65" s="40"/>
      <c r="L65" s="40"/>
      <c r="M65" s="68"/>
      <c r="N65" s="39">
        <v>88</v>
      </c>
      <c r="O65" s="40"/>
      <c r="P65" s="40"/>
      <c r="Q65" s="68"/>
      <c r="R65" s="39">
        <v>92</v>
      </c>
      <c r="S65" s="40"/>
      <c r="T65" s="40"/>
      <c r="U65" s="68"/>
      <c r="V65" s="81">
        <f t="shared" si="0"/>
        <v>90</v>
      </c>
      <c r="W65" s="82"/>
      <c r="X65" s="82"/>
      <c r="Y65" s="93"/>
      <c r="Z65" s="97" t="str">
        <f t="shared" si="1"/>
        <v>PASSED</v>
      </c>
      <c r="AA65" s="98"/>
      <c r="AB65" s="99"/>
    </row>
    <row r="66" ht="15" spans="1:28">
      <c r="A66" s="37">
        <v>15</v>
      </c>
      <c r="B66" s="33" t="str">
        <f>'INPUT DATA'!B67:D67</f>
        <v>MASAYON, RHEA JANE L.</v>
      </c>
      <c r="C66" s="38"/>
      <c r="D66" s="38"/>
      <c r="E66" s="41"/>
      <c r="F66" s="54">
        <v>81</v>
      </c>
      <c r="G66" s="55"/>
      <c r="H66" s="55"/>
      <c r="I66" s="73"/>
      <c r="J66" s="39">
        <v>76</v>
      </c>
      <c r="K66" s="40"/>
      <c r="L66" s="40"/>
      <c r="M66" s="68"/>
      <c r="N66" s="39">
        <v>74</v>
      </c>
      <c r="O66" s="40"/>
      <c r="P66" s="40"/>
      <c r="Q66" s="68"/>
      <c r="R66" s="39">
        <v>83</v>
      </c>
      <c r="S66" s="40"/>
      <c r="T66" s="40"/>
      <c r="U66" s="68"/>
      <c r="V66" s="81">
        <f t="shared" ref="V66:V76" si="3">IF(OR(F66="",J66="",N66="",R66=""),"",IF(ISERROR(ROUND(AVERAGE(F66,J66,N66,R66),0)),"",ROUND(AVERAGE(F66,J66,N66,R66),0)))</f>
        <v>79</v>
      </c>
      <c r="W66" s="82"/>
      <c r="X66" s="82"/>
      <c r="Y66" s="93"/>
      <c r="Z66" s="97" t="str">
        <f t="shared" ref="Z66:Z86" si="4">IF(OR($F66="",$J66="",$N66="",$R66="",$V66=""),"",IF($V66&gt;=75,"PASSED","FAILED"))</f>
        <v>PASSED</v>
      </c>
      <c r="AA66" s="98"/>
      <c r="AB66" s="99"/>
    </row>
    <row r="67" ht="15" spans="1:28">
      <c r="A67" s="37">
        <v>16</v>
      </c>
      <c r="B67" s="33" t="str">
        <f>'INPUT DATA'!B68:D68</f>
        <v>MORANCIL, JENEVI A.</v>
      </c>
      <c r="C67" s="38"/>
      <c r="D67" s="38"/>
      <c r="E67" s="41"/>
      <c r="F67" s="54">
        <v>90</v>
      </c>
      <c r="G67" s="55"/>
      <c r="H67" s="55"/>
      <c r="I67" s="73"/>
      <c r="J67" s="39">
        <v>89</v>
      </c>
      <c r="K67" s="40"/>
      <c r="L67" s="40"/>
      <c r="M67" s="68"/>
      <c r="N67" s="39">
        <v>90</v>
      </c>
      <c r="O67" s="40"/>
      <c r="P67" s="40"/>
      <c r="Q67" s="68"/>
      <c r="R67" s="39">
        <v>93</v>
      </c>
      <c r="S67" s="40"/>
      <c r="T67" s="40"/>
      <c r="U67" s="68"/>
      <c r="V67" s="81">
        <f t="shared" si="3"/>
        <v>91</v>
      </c>
      <c r="W67" s="82"/>
      <c r="X67" s="82"/>
      <c r="Y67" s="93"/>
      <c r="Z67" s="97" t="str">
        <f t="shared" si="4"/>
        <v>PASSED</v>
      </c>
      <c r="AA67" s="98"/>
      <c r="AB67" s="99"/>
    </row>
    <row r="68" ht="15" spans="1:28">
      <c r="A68" s="37">
        <v>17</v>
      </c>
      <c r="B68" s="33" t="str">
        <f>'INPUT DATA'!B69:D69</f>
        <v>PATRICIO, MICHA ELLA P.</v>
      </c>
      <c r="C68" s="38"/>
      <c r="D68" s="38"/>
      <c r="E68" s="41"/>
      <c r="F68" s="54">
        <v>79</v>
      </c>
      <c r="G68" s="55"/>
      <c r="H68" s="55"/>
      <c r="I68" s="73"/>
      <c r="J68" s="39">
        <v>72</v>
      </c>
      <c r="K68" s="40"/>
      <c r="L68" s="40"/>
      <c r="M68" s="68"/>
      <c r="N68" s="39">
        <v>79</v>
      </c>
      <c r="O68" s="40"/>
      <c r="P68" s="40"/>
      <c r="Q68" s="68"/>
      <c r="R68" s="39">
        <v>85</v>
      </c>
      <c r="S68" s="40"/>
      <c r="T68" s="40"/>
      <c r="U68" s="68"/>
      <c r="V68" s="81">
        <f t="shared" si="3"/>
        <v>79</v>
      </c>
      <c r="W68" s="82"/>
      <c r="X68" s="82"/>
      <c r="Y68" s="93"/>
      <c r="Z68" s="97" t="str">
        <f t="shared" si="4"/>
        <v>PASSED</v>
      </c>
      <c r="AA68" s="98"/>
      <c r="AB68" s="99"/>
    </row>
    <row r="69" ht="15" spans="1:28">
      <c r="A69" s="37">
        <v>18</v>
      </c>
      <c r="B69" s="33" t="str">
        <f>'INPUT DATA'!B70:D70</f>
        <v>PELINGON , ASHLEY C.</v>
      </c>
      <c r="C69" s="38"/>
      <c r="D69" s="38"/>
      <c r="E69" s="41"/>
      <c r="F69" s="54">
        <v>87</v>
      </c>
      <c r="G69" s="55"/>
      <c r="H69" s="55"/>
      <c r="I69" s="73"/>
      <c r="J69" s="39">
        <v>84</v>
      </c>
      <c r="K69" s="40"/>
      <c r="L69" s="40"/>
      <c r="M69" s="68"/>
      <c r="N69" s="39">
        <v>85</v>
      </c>
      <c r="O69" s="40"/>
      <c r="P69" s="40"/>
      <c r="Q69" s="68"/>
      <c r="R69" s="39">
        <v>88</v>
      </c>
      <c r="S69" s="40"/>
      <c r="T69" s="40"/>
      <c r="U69" s="68"/>
      <c r="V69" s="81">
        <f t="shared" si="3"/>
        <v>86</v>
      </c>
      <c r="W69" s="82"/>
      <c r="X69" s="82"/>
      <c r="Y69" s="93"/>
      <c r="Z69" s="97" t="str">
        <f t="shared" si="4"/>
        <v>PASSED</v>
      </c>
      <c r="AA69" s="98"/>
      <c r="AB69" s="99"/>
    </row>
    <row r="70" ht="15" spans="1:28">
      <c r="A70" s="37">
        <v>19</v>
      </c>
      <c r="B70" s="33" t="str">
        <f>'INPUT DATA'!B71:D71</f>
        <v>PEREZ, MERCY JEAN T.</v>
      </c>
      <c r="C70" s="38"/>
      <c r="D70" s="38"/>
      <c r="E70" s="41"/>
      <c r="F70" s="54">
        <v>82</v>
      </c>
      <c r="G70" s="55"/>
      <c r="H70" s="55"/>
      <c r="I70" s="73"/>
      <c r="J70" s="39">
        <v>76</v>
      </c>
      <c r="K70" s="40"/>
      <c r="L70" s="40"/>
      <c r="M70" s="68"/>
      <c r="N70" s="39">
        <v>77</v>
      </c>
      <c r="O70" s="40"/>
      <c r="P70" s="40"/>
      <c r="Q70" s="68"/>
      <c r="R70" s="39">
        <v>84</v>
      </c>
      <c r="S70" s="40"/>
      <c r="T70" s="40"/>
      <c r="U70" s="68"/>
      <c r="V70" s="81">
        <f t="shared" si="3"/>
        <v>80</v>
      </c>
      <c r="W70" s="82"/>
      <c r="X70" s="82"/>
      <c r="Y70" s="93"/>
      <c r="Z70" s="97" t="str">
        <f t="shared" si="4"/>
        <v>PASSED</v>
      </c>
      <c r="AA70" s="98"/>
      <c r="AB70" s="99"/>
    </row>
    <row r="71" ht="15" spans="1:28">
      <c r="A71" s="37">
        <v>20</v>
      </c>
      <c r="B71" s="33" t="str">
        <f>'INPUT DATA'!B72:D72</f>
        <v>PINGOT, RHEA L.</v>
      </c>
      <c r="C71" s="38"/>
      <c r="D71" s="38"/>
      <c r="E71" s="41"/>
      <c r="F71" s="54">
        <v>81</v>
      </c>
      <c r="G71" s="55"/>
      <c r="H71" s="55"/>
      <c r="I71" s="73"/>
      <c r="J71" s="39">
        <v>73</v>
      </c>
      <c r="K71" s="40"/>
      <c r="L71" s="40"/>
      <c r="M71" s="68"/>
      <c r="N71" s="39">
        <v>71</v>
      </c>
      <c r="O71" s="40"/>
      <c r="P71" s="40"/>
      <c r="Q71" s="68"/>
      <c r="R71" s="39">
        <v>70</v>
      </c>
      <c r="S71" s="40"/>
      <c r="T71" s="40"/>
      <c r="U71" s="68"/>
      <c r="V71" s="81">
        <f t="shared" si="3"/>
        <v>74</v>
      </c>
      <c r="W71" s="82"/>
      <c r="X71" s="82"/>
      <c r="Y71" s="93"/>
      <c r="Z71" s="97" t="str">
        <f t="shared" si="4"/>
        <v>FAILED</v>
      </c>
      <c r="AA71" s="98"/>
      <c r="AB71" s="99"/>
    </row>
    <row r="72" ht="15" spans="1:28">
      <c r="A72" s="37">
        <v>21</v>
      </c>
      <c r="B72" s="33" t="str">
        <f>'INPUT DATA'!B73:D73</f>
        <v>QUILAT, FERRA MAE</v>
      </c>
      <c r="C72" s="38"/>
      <c r="D72" s="38"/>
      <c r="E72" s="41"/>
      <c r="F72" s="54">
        <v>79</v>
      </c>
      <c r="G72" s="55"/>
      <c r="H72" s="55"/>
      <c r="I72" s="73"/>
      <c r="J72" s="39">
        <v>70</v>
      </c>
      <c r="K72" s="40"/>
      <c r="L72" s="40"/>
      <c r="M72" s="68"/>
      <c r="N72" s="39">
        <v>73</v>
      </c>
      <c r="O72" s="40"/>
      <c r="P72" s="40"/>
      <c r="Q72" s="68"/>
      <c r="R72" s="39">
        <v>77</v>
      </c>
      <c r="S72" s="40"/>
      <c r="T72" s="40"/>
      <c r="U72" s="68"/>
      <c r="V72" s="81">
        <f t="shared" si="3"/>
        <v>75</v>
      </c>
      <c r="W72" s="82"/>
      <c r="X72" s="82"/>
      <c r="Y72" s="93"/>
      <c r="Z72" s="97" t="str">
        <f t="shared" si="4"/>
        <v>PASSED</v>
      </c>
      <c r="AA72" s="98"/>
      <c r="AB72" s="99"/>
    </row>
    <row r="73" ht="15" spans="1:28">
      <c r="A73" s="37">
        <v>22</v>
      </c>
      <c r="B73" s="33" t="str">
        <f>'INPUT DATA'!B74:D74</f>
        <v>ROSALES, RYZA MAE C.</v>
      </c>
      <c r="C73" s="38"/>
      <c r="D73" s="38"/>
      <c r="E73" s="41"/>
      <c r="F73" s="54">
        <v>88</v>
      </c>
      <c r="G73" s="55"/>
      <c r="H73" s="55"/>
      <c r="I73" s="73"/>
      <c r="J73" s="39">
        <v>82</v>
      </c>
      <c r="K73" s="40"/>
      <c r="L73" s="40"/>
      <c r="M73" s="68"/>
      <c r="N73" s="39">
        <v>86</v>
      </c>
      <c r="O73" s="40"/>
      <c r="P73" s="40"/>
      <c r="Q73" s="68"/>
      <c r="R73" s="39">
        <v>88</v>
      </c>
      <c r="S73" s="40"/>
      <c r="T73" s="40"/>
      <c r="U73" s="68"/>
      <c r="V73" s="81">
        <f t="shared" si="3"/>
        <v>86</v>
      </c>
      <c r="W73" s="82"/>
      <c r="X73" s="82"/>
      <c r="Y73" s="93"/>
      <c r="Z73" s="97" t="str">
        <f t="shared" si="4"/>
        <v>PASSED</v>
      </c>
      <c r="AA73" s="98"/>
      <c r="AB73" s="99"/>
    </row>
    <row r="74" ht="15" spans="1:28">
      <c r="A74" s="37">
        <v>23</v>
      </c>
      <c r="B74" s="33">
        <f>'INPUT DATA'!B75:D75</f>
        <v>0</v>
      </c>
      <c r="C74" s="38"/>
      <c r="D74" s="38"/>
      <c r="E74" s="41"/>
      <c r="F74" s="54" t="str">
        <f>IF(OR('MUSIC-ARTS'!F74="",ARTS!F74="",'PE-HEALTH'!F74="",HEALTH!F74=""),"",IF(ISERROR(ROUND(AVERAGE('MUSIC-ARTS'!F74,ARTS!F74,'PE-HEALTH'!F74,HEALTH!F74),0)),"",ROUND(AVERAGE('MUSIC-ARTS'!F74,ARTS!F74,'PE-HEALTH'!F74,HEALTH!F74),0)))</f>
        <v/>
      </c>
      <c r="G74" s="55"/>
      <c r="H74" s="55"/>
      <c r="I74" s="73"/>
      <c r="J74" s="39" t="str">
        <f>IF(OR('MUSIC-ARTS'!J74="",ARTS!J74="",'PE-HEALTH'!J74="",HEALTH!J74=""),"",IF(ISERROR(ROUND(AVERAGE('MUSIC-ARTS'!J74,ARTS!J74,'PE-HEALTH'!J74,HEALTH!J74),0)),"",ROUND(AVERAGE('MUSIC-ARTS'!J74,ARTS!J74,'PE-HEALTH'!J74,HEALTH!J74),0)))</f>
        <v/>
      </c>
      <c r="K74" s="40"/>
      <c r="L74" s="40"/>
      <c r="M74" s="68"/>
      <c r="N74" s="39" t="str">
        <f>IF(OR('MUSIC-ARTS'!N74="",ARTS!N74="",'PE-HEALTH'!N74="",HEALTH!N74=""),"",IF(ISERROR(ROUND(AVERAGE('MUSIC-ARTS'!N74,ARTS!N74,'PE-HEALTH'!N74,HEALTH!N74),0)),"",ROUND(AVERAGE('MUSIC-ARTS'!N74,ARTS!N74,'PE-HEALTH'!N74,HEALTH!N74),0)))</f>
        <v/>
      </c>
      <c r="O74" s="40"/>
      <c r="P74" s="40"/>
      <c r="Q74" s="68"/>
      <c r="R74" s="39" t="str">
        <f>IF(OR('MUSIC-ARTS'!R74="",ARTS!R74="",'PE-HEALTH'!R74="",HEALTH!R74=""),"",IF(ISERROR(ROUND(AVERAGE('MUSIC-ARTS'!R74,ARTS!R74,'PE-HEALTH'!R74,HEALTH!R74),0)),"",ROUND(AVERAGE('MUSIC-ARTS'!R74,ARTS!R74,'PE-HEALTH'!R74,HEALTH!R74),0)))</f>
        <v/>
      </c>
      <c r="S74" s="40"/>
      <c r="T74" s="40"/>
      <c r="U74" s="68"/>
      <c r="V74" s="81" t="str">
        <f t="shared" si="3"/>
        <v/>
      </c>
      <c r="W74" s="82"/>
      <c r="X74" s="82"/>
      <c r="Y74" s="93"/>
      <c r="Z74" s="97" t="str">
        <f t="shared" si="4"/>
        <v/>
      </c>
      <c r="AA74" s="98"/>
      <c r="AB74" s="99"/>
    </row>
    <row r="75" ht="15" spans="1:28">
      <c r="A75" s="37">
        <v>24</v>
      </c>
      <c r="B75" s="33">
        <f>'INPUT DATA'!B76:D76</f>
        <v>0</v>
      </c>
      <c r="C75" s="38"/>
      <c r="D75" s="38"/>
      <c r="E75" s="41"/>
      <c r="F75" s="54" t="str">
        <f>IF(OR('MUSIC-ARTS'!F75="",ARTS!F75="",'PE-HEALTH'!F75="",HEALTH!F75=""),"",IF(ISERROR(ROUND(AVERAGE('MUSIC-ARTS'!F75,ARTS!F75,'PE-HEALTH'!F75,HEALTH!F75),0)),"",ROUND(AVERAGE('MUSIC-ARTS'!F75,ARTS!F75,'PE-HEALTH'!F75,HEALTH!F75),0)))</f>
        <v/>
      </c>
      <c r="G75" s="55"/>
      <c r="H75" s="55"/>
      <c r="I75" s="73"/>
      <c r="J75" s="39" t="str">
        <f>IF(OR('MUSIC-ARTS'!J75="",ARTS!J75="",'PE-HEALTH'!J75="",HEALTH!J75=""),"",IF(ISERROR(ROUND(AVERAGE('MUSIC-ARTS'!J75,ARTS!J75,'PE-HEALTH'!J75,HEALTH!J75),0)),"",ROUND(AVERAGE('MUSIC-ARTS'!J75,ARTS!J75,'PE-HEALTH'!J75,HEALTH!J75),0)))</f>
        <v/>
      </c>
      <c r="K75" s="40"/>
      <c r="L75" s="40"/>
      <c r="M75" s="68"/>
      <c r="N75" s="39" t="str">
        <f>IF(OR('MUSIC-ARTS'!N75="",ARTS!N75="",'PE-HEALTH'!N75="",HEALTH!N75=""),"",IF(ISERROR(ROUND(AVERAGE('MUSIC-ARTS'!N75,ARTS!N75,'PE-HEALTH'!N75,HEALTH!N75),0)),"",ROUND(AVERAGE('MUSIC-ARTS'!N75,ARTS!N75,'PE-HEALTH'!N75,HEALTH!N75),0)))</f>
        <v/>
      </c>
      <c r="O75" s="40"/>
      <c r="P75" s="40"/>
      <c r="Q75" s="68"/>
      <c r="R75" s="39" t="str">
        <f>IF(OR('MUSIC-ARTS'!R75="",ARTS!R75="",'PE-HEALTH'!R75="",HEALTH!R75=""),"",IF(ISERROR(ROUND(AVERAGE('MUSIC-ARTS'!R75,ARTS!R75,'PE-HEALTH'!R75,HEALTH!R75),0)),"",ROUND(AVERAGE('MUSIC-ARTS'!R75,ARTS!R75,'PE-HEALTH'!R75,HEALTH!R75),0)))</f>
        <v/>
      </c>
      <c r="S75" s="40"/>
      <c r="T75" s="40"/>
      <c r="U75" s="68"/>
      <c r="V75" s="81" t="str">
        <f t="shared" si="3"/>
        <v/>
      </c>
      <c r="W75" s="82"/>
      <c r="X75" s="82"/>
      <c r="Y75" s="93"/>
      <c r="Z75" s="97" t="str">
        <f t="shared" si="4"/>
        <v/>
      </c>
      <c r="AA75" s="98"/>
      <c r="AB75" s="99"/>
    </row>
    <row r="76" ht="15" spans="1:28">
      <c r="A76" s="37">
        <v>25</v>
      </c>
      <c r="B76" s="33">
        <f>'INPUT DATA'!B77:D77</f>
        <v>0</v>
      </c>
      <c r="C76" s="38"/>
      <c r="D76" s="38"/>
      <c r="E76" s="41"/>
      <c r="F76" s="54" t="str">
        <f>IF(OR('MUSIC-ARTS'!F76="",ARTS!F76="",'PE-HEALTH'!F76="",HEALTH!F76=""),"",IF(ISERROR(ROUND(AVERAGE('MUSIC-ARTS'!F76,ARTS!F76,'PE-HEALTH'!F76,HEALTH!F76),0)),"",ROUND(AVERAGE('MUSIC-ARTS'!F76,ARTS!F76,'PE-HEALTH'!F76,HEALTH!F76),0)))</f>
        <v/>
      </c>
      <c r="G76" s="55"/>
      <c r="H76" s="55"/>
      <c r="I76" s="73"/>
      <c r="J76" s="39" t="str">
        <f>IF(OR('MUSIC-ARTS'!J76="",ARTS!J76="",'PE-HEALTH'!J76="",HEALTH!J76=""),"",IF(ISERROR(ROUND(AVERAGE('MUSIC-ARTS'!J76,ARTS!J76,'PE-HEALTH'!J76,HEALTH!J76),0)),"",ROUND(AVERAGE('MUSIC-ARTS'!J76,ARTS!J76,'PE-HEALTH'!J76,HEALTH!J76),0)))</f>
        <v/>
      </c>
      <c r="K76" s="40"/>
      <c r="L76" s="40"/>
      <c r="M76" s="68"/>
      <c r="N76" s="39" t="str">
        <f>IF(OR('MUSIC-ARTS'!N76="",ARTS!N76="",'PE-HEALTH'!N76="",HEALTH!N76=""),"",IF(ISERROR(ROUND(AVERAGE('MUSIC-ARTS'!N76,ARTS!N76,'PE-HEALTH'!N76,HEALTH!N76),0)),"",ROUND(AVERAGE('MUSIC-ARTS'!N76,ARTS!N76,'PE-HEALTH'!N76,HEALTH!N76),0)))</f>
        <v/>
      </c>
      <c r="O76" s="40"/>
      <c r="P76" s="40"/>
      <c r="Q76" s="68"/>
      <c r="R76" s="39" t="str">
        <f>IF(OR('MUSIC-ARTS'!R76="",ARTS!R76="",'PE-HEALTH'!R76="",HEALTH!R76=""),"",IF(ISERROR(ROUND(AVERAGE('MUSIC-ARTS'!R76,ARTS!R76,'PE-HEALTH'!R76,HEALTH!R76),0)),"",ROUND(AVERAGE('MUSIC-ARTS'!R76,ARTS!R76,'PE-HEALTH'!R76,HEALTH!R76),0)))</f>
        <v/>
      </c>
      <c r="S76" s="40"/>
      <c r="T76" s="40"/>
      <c r="U76" s="68"/>
      <c r="V76" s="81" t="str">
        <f t="shared" si="3"/>
        <v/>
      </c>
      <c r="W76" s="82"/>
      <c r="X76" s="82"/>
      <c r="Y76" s="93"/>
      <c r="Z76" s="97" t="str">
        <f t="shared" si="4"/>
        <v/>
      </c>
      <c r="AA76" s="98"/>
      <c r="AB76" s="99"/>
    </row>
    <row r="77" ht="15" hidden="1" spans="1:28">
      <c r="A77" s="42">
        <v>26</v>
      </c>
      <c r="B77" s="33">
        <f>'INPUT DATA'!B78:D78</f>
        <v>0</v>
      </c>
      <c r="C77" s="107"/>
      <c r="D77" s="107"/>
      <c r="E77" s="108"/>
      <c r="F77" s="54" t="str">
        <f>IF(OR('MUSIC-ARTS'!F77="",ARTS!F77="",'PE-HEALTH'!F77="",HEALTH!F77=""),"",IF(ISERROR(ROUND(AVERAGE('MUSIC-ARTS'!F77,ARTS!F77,'PE-HEALTH'!F77,HEALTH!F77),0)),"",ROUND(AVERAGE('MUSIC-ARTS'!F77,ARTS!F77,'PE-HEALTH'!F77,HEALTH!F77),0)))</f>
        <v/>
      </c>
      <c r="G77" s="55"/>
      <c r="H77" s="55"/>
      <c r="I77" s="73"/>
      <c r="J77" s="39" t="str">
        <f>IF(OR('MUSIC-ARTS'!J77="",ARTS!J77="",'PE-HEALTH'!J77="",HEALTH!J77=""),"",IF(ISERROR(ROUND(AVERAGE('MUSIC-ARTS'!J77,ARTS!J77,'PE-HEALTH'!J77,HEALTH!J77),0)),"",ROUND(AVERAGE('MUSIC-ARTS'!J77,ARTS!J77,'PE-HEALTH'!J77,HEALTH!J77),0)))</f>
        <v/>
      </c>
      <c r="K77" s="40"/>
      <c r="L77" s="40"/>
      <c r="M77" s="68"/>
      <c r="N77" s="39" t="str">
        <f>IF(OR('MUSIC-ARTS'!N77="",ARTS!N77="",'PE-HEALTH'!N77="",HEALTH!N77=""),"",IF(ISERROR(ROUND(AVERAGE('MUSIC-ARTS'!N77,ARTS!N77,'PE-HEALTH'!N77,HEALTH!N77),0)),"",ROUND(AVERAGE('MUSIC-ARTS'!N77,ARTS!N77,'PE-HEALTH'!N77,HEALTH!N77),0)))</f>
        <v/>
      </c>
      <c r="O77" s="40"/>
      <c r="P77" s="40"/>
      <c r="Q77" s="68"/>
      <c r="R77" s="39" t="str">
        <f>IF(OR('MUSIC-ARTS'!R77="",ARTS!R77="",'PE-HEALTH'!R77="",HEALTH!R77=""),"",IF(ISERROR(ROUND(AVERAGE('MUSIC-ARTS'!R77,ARTS!R77,'PE-HEALTH'!R77,HEALTH!R77),0)),"",ROUND(AVERAGE('MUSIC-ARTS'!R77,ARTS!R77,'PE-HEALTH'!R77,HEALTH!R77),0)))</f>
        <v/>
      </c>
      <c r="S77" s="40"/>
      <c r="T77" s="40"/>
      <c r="U77" s="68"/>
      <c r="V77" s="81" t="str">
        <f t="shared" ref="V77:V86" si="5">IF(OR(F77="",J77="",N77="",R77=""),"",IF(ISERROR(ROUND(AVERAGE(F77,J77,N77,R77),0)),"",ROUND(AVERAGE(F77,J77,N77,R77),0)))</f>
        <v/>
      </c>
      <c r="W77" s="82"/>
      <c r="X77" s="82"/>
      <c r="Y77" s="93"/>
      <c r="Z77" s="97" t="str">
        <f t="shared" si="4"/>
        <v/>
      </c>
      <c r="AA77" s="98"/>
      <c r="AB77" s="99"/>
    </row>
    <row r="78" ht="15" hidden="1" spans="1:28">
      <c r="A78" s="42">
        <v>27</v>
      </c>
      <c r="B78" s="33">
        <f>'INPUT DATA'!B79:D79</f>
        <v>0</v>
      </c>
      <c r="C78" s="109"/>
      <c r="D78" s="109"/>
      <c r="E78" s="110"/>
      <c r="F78" s="54" t="str">
        <f>IF(OR('MUSIC-ARTS'!F78="",ARTS!F78="",'PE-HEALTH'!F78="",HEALTH!F78=""),"",IF(ISERROR(ROUND(AVERAGE('MUSIC-ARTS'!F78,ARTS!F78,'PE-HEALTH'!F78,HEALTH!F78),0)),"",ROUND(AVERAGE('MUSIC-ARTS'!F78,ARTS!F78,'PE-HEALTH'!F78,HEALTH!F78),0)))</f>
        <v/>
      </c>
      <c r="G78" s="55"/>
      <c r="H78" s="55"/>
      <c r="I78" s="73"/>
      <c r="J78" s="39" t="str">
        <f>IF(OR('MUSIC-ARTS'!J78="",ARTS!J78="",'PE-HEALTH'!J78="",HEALTH!J78=""),"",IF(ISERROR(ROUND(AVERAGE('MUSIC-ARTS'!J78,ARTS!J78,'PE-HEALTH'!J78,HEALTH!J78),0)),"",ROUND(AVERAGE('MUSIC-ARTS'!J78,ARTS!J78,'PE-HEALTH'!J78,HEALTH!J78),0)))</f>
        <v/>
      </c>
      <c r="K78" s="40"/>
      <c r="L78" s="40"/>
      <c r="M78" s="68"/>
      <c r="N78" s="39" t="str">
        <f>IF(OR('MUSIC-ARTS'!N78="",ARTS!N78="",'PE-HEALTH'!N78="",HEALTH!N78=""),"",IF(ISERROR(ROUND(AVERAGE('MUSIC-ARTS'!N78,ARTS!N78,'PE-HEALTH'!N78,HEALTH!N78),0)),"",ROUND(AVERAGE('MUSIC-ARTS'!N78,ARTS!N78,'PE-HEALTH'!N78,HEALTH!N78),0)))</f>
        <v/>
      </c>
      <c r="O78" s="40"/>
      <c r="P78" s="40"/>
      <c r="Q78" s="68"/>
      <c r="R78" s="39" t="str">
        <f>IF(OR('MUSIC-ARTS'!R78="",ARTS!R78="",'PE-HEALTH'!R78="",HEALTH!R78=""),"",IF(ISERROR(ROUND(AVERAGE('MUSIC-ARTS'!R78,ARTS!R78,'PE-HEALTH'!R78,HEALTH!R78),0)),"",ROUND(AVERAGE('MUSIC-ARTS'!R78,ARTS!R78,'PE-HEALTH'!R78,HEALTH!R78),0)))</f>
        <v/>
      </c>
      <c r="S78" s="40"/>
      <c r="T78" s="40"/>
      <c r="U78" s="68"/>
      <c r="V78" s="81" t="str">
        <f t="shared" si="5"/>
        <v/>
      </c>
      <c r="W78" s="82"/>
      <c r="X78" s="82"/>
      <c r="Y78" s="93"/>
      <c r="Z78" s="97" t="str">
        <f t="shared" si="4"/>
        <v/>
      </c>
      <c r="AA78" s="98"/>
      <c r="AB78" s="99"/>
    </row>
    <row r="79" ht="15" hidden="1" spans="1:28">
      <c r="A79" s="42">
        <v>28</v>
      </c>
      <c r="B79" s="33">
        <f>'INPUT DATA'!B80:D80</f>
        <v>0</v>
      </c>
      <c r="C79" s="109"/>
      <c r="D79" s="109"/>
      <c r="E79" s="110"/>
      <c r="F79" s="54" t="str">
        <f>IF(OR('MUSIC-ARTS'!F79="",ARTS!F79="",'PE-HEALTH'!F79="",HEALTH!F79=""),"",IF(ISERROR(ROUND(AVERAGE('MUSIC-ARTS'!F79,ARTS!F79,'PE-HEALTH'!F79,HEALTH!F79),0)),"",ROUND(AVERAGE('MUSIC-ARTS'!F79,ARTS!F79,'PE-HEALTH'!F79,HEALTH!F79),0)))</f>
        <v/>
      </c>
      <c r="G79" s="55"/>
      <c r="H79" s="55"/>
      <c r="I79" s="73"/>
      <c r="J79" s="39" t="str">
        <f>IF(OR('MUSIC-ARTS'!J79="",ARTS!J79="",'PE-HEALTH'!J79="",HEALTH!J79=""),"",IF(ISERROR(ROUND(AVERAGE('MUSIC-ARTS'!J79,ARTS!J79,'PE-HEALTH'!J79,HEALTH!J79),0)),"",ROUND(AVERAGE('MUSIC-ARTS'!J79,ARTS!J79,'PE-HEALTH'!J79,HEALTH!J79),0)))</f>
        <v/>
      </c>
      <c r="K79" s="40"/>
      <c r="L79" s="40"/>
      <c r="M79" s="68"/>
      <c r="N79" s="39" t="str">
        <f>IF(OR('MUSIC-ARTS'!N79="",ARTS!N79="",'PE-HEALTH'!N79="",HEALTH!N79=""),"",IF(ISERROR(ROUND(AVERAGE('MUSIC-ARTS'!N79,ARTS!N79,'PE-HEALTH'!N79,HEALTH!N79),0)),"",ROUND(AVERAGE('MUSIC-ARTS'!N79,ARTS!N79,'PE-HEALTH'!N79,HEALTH!N79),0)))</f>
        <v/>
      </c>
      <c r="O79" s="40"/>
      <c r="P79" s="40"/>
      <c r="Q79" s="68"/>
      <c r="R79" s="39" t="str">
        <f>IF(OR('MUSIC-ARTS'!R79="",ARTS!R79="",'PE-HEALTH'!R79="",HEALTH!R79=""),"",IF(ISERROR(ROUND(AVERAGE('MUSIC-ARTS'!R79,ARTS!R79,'PE-HEALTH'!R79,HEALTH!R79),0)),"",ROUND(AVERAGE('MUSIC-ARTS'!R79,ARTS!R79,'PE-HEALTH'!R79,HEALTH!R79),0)))</f>
        <v/>
      </c>
      <c r="S79" s="40"/>
      <c r="T79" s="40"/>
      <c r="U79" s="68"/>
      <c r="V79" s="81" t="str">
        <f t="shared" si="5"/>
        <v/>
      </c>
      <c r="W79" s="82"/>
      <c r="X79" s="82"/>
      <c r="Y79" s="93"/>
      <c r="Z79" s="97" t="str">
        <f t="shared" si="4"/>
        <v/>
      </c>
      <c r="AA79" s="98"/>
      <c r="AB79" s="99"/>
    </row>
    <row r="80" ht="15" hidden="1" spans="1:28">
      <c r="A80" s="42">
        <v>29</v>
      </c>
      <c r="B80" s="33">
        <f>'INPUT DATA'!B81:D81</f>
        <v>0</v>
      </c>
      <c r="C80" s="109"/>
      <c r="D80" s="109"/>
      <c r="E80" s="110"/>
      <c r="F80" s="54" t="str">
        <f>IF(OR('MUSIC-ARTS'!F80="",ARTS!F80="",'PE-HEALTH'!F80="",HEALTH!F80=""),"",IF(ISERROR(ROUND(AVERAGE('MUSIC-ARTS'!F80,ARTS!F80,'PE-HEALTH'!F80,HEALTH!F80),0)),"",ROUND(AVERAGE('MUSIC-ARTS'!F80,ARTS!F80,'PE-HEALTH'!F80,HEALTH!F80),0)))</f>
        <v/>
      </c>
      <c r="G80" s="55"/>
      <c r="H80" s="55"/>
      <c r="I80" s="73"/>
      <c r="J80" s="39" t="str">
        <f>IF(OR('MUSIC-ARTS'!J80="",ARTS!J80="",'PE-HEALTH'!J80="",HEALTH!J80=""),"",IF(ISERROR(ROUND(AVERAGE('MUSIC-ARTS'!J80,ARTS!J80,'PE-HEALTH'!J80,HEALTH!J80),0)),"",ROUND(AVERAGE('MUSIC-ARTS'!J80,ARTS!J80,'PE-HEALTH'!J80,HEALTH!J80),0)))</f>
        <v/>
      </c>
      <c r="K80" s="40"/>
      <c r="L80" s="40"/>
      <c r="M80" s="68"/>
      <c r="N80" s="39" t="str">
        <f>IF(OR('MUSIC-ARTS'!N80="",ARTS!N80="",'PE-HEALTH'!N80="",HEALTH!N80=""),"",IF(ISERROR(ROUND(AVERAGE('MUSIC-ARTS'!N80,ARTS!N80,'PE-HEALTH'!N80,HEALTH!N80),0)),"",ROUND(AVERAGE('MUSIC-ARTS'!N80,ARTS!N80,'PE-HEALTH'!N80,HEALTH!N80),0)))</f>
        <v/>
      </c>
      <c r="O80" s="40"/>
      <c r="P80" s="40"/>
      <c r="Q80" s="68"/>
      <c r="R80" s="39" t="str">
        <f>IF(OR('MUSIC-ARTS'!R80="",ARTS!R80="",'PE-HEALTH'!R80="",HEALTH!R80=""),"",IF(ISERROR(ROUND(AVERAGE('MUSIC-ARTS'!R80,ARTS!R80,'PE-HEALTH'!R80,HEALTH!R80),0)),"",ROUND(AVERAGE('MUSIC-ARTS'!R80,ARTS!R80,'PE-HEALTH'!R80,HEALTH!R80),0)))</f>
        <v/>
      </c>
      <c r="S80" s="40"/>
      <c r="T80" s="40"/>
      <c r="U80" s="68"/>
      <c r="V80" s="81" t="str">
        <f t="shared" si="5"/>
        <v/>
      </c>
      <c r="W80" s="82"/>
      <c r="X80" s="82"/>
      <c r="Y80" s="93"/>
      <c r="Z80" s="97" t="str">
        <f t="shared" si="4"/>
        <v/>
      </c>
      <c r="AA80" s="98"/>
      <c r="AB80" s="99"/>
    </row>
    <row r="81" ht="15" hidden="1" spans="1:28">
      <c r="A81" s="42">
        <v>30</v>
      </c>
      <c r="B81" s="33">
        <f>'INPUT DATA'!B82:D82</f>
        <v>0</v>
      </c>
      <c r="C81" s="109"/>
      <c r="D81" s="109"/>
      <c r="E81" s="110"/>
      <c r="F81" s="54" t="str">
        <f>IF(OR('MUSIC-ARTS'!F81="",ARTS!F81="",'PE-HEALTH'!F81="",HEALTH!F81=""),"",IF(ISERROR(ROUND(AVERAGE('MUSIC-ARTS'!F81,ARTS!F81,'PE-HEALTH'!F81,HEALTH!F81),0)),"",ROUND(AVERAGE('MUSIC-ARTS'!F81,ARTS!F81,'PE-HEALTH'!F81,HEALTH!F81),0)))</f>
        <v/>
      </c>
      <c r="G81" s="55"/>
      <c r="H81" s="55"/>
      <c r="I81" s="73"/>
      <c r="J81" s="39" t="str">
        <f>IF(OR('MUSIC-ARTS'!J81="",ARTS!J81="",'PE-HEALTH'!J81="",HEALTH!J81=""),"",IF(ISERROR(ROUND(AVERAGE('MUSIC-ARTS'!J81,ARTS!J81,'PE-HEALTH'!J81,HEALTH!J81),0)),"",ROUND(AVERAGE('MUSIC-ARTS'!J81,ARTS!J81,'PE-HEALTH'!J81,HEALTH!J81),0)))</f>
        <v/>
      </c>
      <c r="K81" s="40"/>
      <c r="L81" s="40"/>
      <c r="M81" s="68"/>
      <c r="N81" s="39" t="str">
        <f>IF(OR('MUSIC-ARTS'!N81="",ARTS!N81="",'PE-HEALTH'!N81="",HEALTH!N81=""),"",IF(ISERROR(ROUND(AVERAGE('MUSIC-ARTS'!N81,ARTS!N81,'PE-HEALTH'!N81,HEALTH!N81),0)),"",ROUND(AVERAGE('MUSIC-ARTS'!N81,ARTS!N81,'PE-HEALTH'!N81,HEALTH!N81),0)))</f>
        <v/>
      </c>
      <c r="O81" s="40"/>
      <c r="P81" s="40"/>
      <c r="Q81" s="68"/>
      <c r="R81" s="39" t="str">
        <f>IF(OR('MUSIC-ARTS'!R81="",ARTS!R81="",'PE-HEALTH'!R81="",HEALTH!R81=""),"",IF(ISERROR(ROUND(AVERAGE('MUSIC-ARTS'!R81,ARTS!R81,'PE-HEALTH'!R81,HEALTH!R81),0)),"",ROUND(AVERAGE('MUSIC-ARTS'!R81,ARTS!R81,'PE-HEALTH'!R81,HEALTH!R81),0)))</f>
        <v/>
      </c>
      <c r="S81" s="40"/>
      <c r="T81" s="40"/>
      <c r="U81" s="68"/>
      <c r="V81" s="81" t="str">
        <f t="shared" si="5"/>
        <v/>
      </c>
      <c r="W81" s="82"/>
      <c r="X81" s="82"/>
      <c r="Y81" s="93"/>
      <c r="Z81" s="97" t="str">
        <f t="shared" si="4"/>
        <v/>
      </c>
      <c r="AA81" s="98"/>
      <c r="AB81" s="99"/>
    </row>
    <row r="82" ht="15" hidden="1" spans="1:28">
      <c r="A82" s="42">
        <v>31</v>
      </c>
      <c r="B82" s="33">
        <f>'INPUT DATA'!B83:D83</f>
        <v>0</v>
      </c>
      <c r="C82" s="109"/>
      <c r="D82" s="109"/>
      <c r="E82" s="110"/>
      <c r="F82" s="54" t="str">
        <f>IF(OR('MUSIC-ARTS'!F82="",ARTS!F82="",'PE-HEALTH'!F82="",HEALTH!F82=""),"",IF(ISERROR(ROUND(AVERAGE('MUSIC-ARTS'!F82,ARTS!F82,'PE-HEALTH'!F82,HEALTH!F82),0)),"",ROUND(AVERAGE('MUSIC-ARTS'!F82,ARTS!F82,'PE-HEALTH'!F82,HEALTH!F82),0)))</f>
        <v/>
      </c>
      <c r="G82" s="55"/>
      <c r="H82" s="55"/>
      <c r="I82" s="73"/>
      <c r="J82" s="39" t="str">
        <f>IF(OR('MUSIC-ARTS'!J82="",ARTS!J82="",'PE-HEALTH'!J82="",HEALTH!J82=""),"",IF(ISERROR(ROUND(AVERAGE('MUSIC-ARTS'!J82,ARTS!J82,'PE-HEALTH'!J82,HEALTH!J82),0)),"",ROUND(AVERAGE('MUSIC-ARTS'!J82,ARTS!J82,'PE-HEALTH'!J82,HEALTH!J82),0)))</f>
        <v/>
      </c>
      <c r="K82" s="40"/>
      <c r="L82" s="40"/>
      <c r="M82" s="68"/>
      <c r="N82" s="39" t="str">
        <f>IF(OR('MUSIC-ARTS'!N82="",ARTS!N82="",'PE-HEALTH'!N82="",HEALTH!N82=""),"",IF(ISERROR(ROUND(AVERAGE('MUSIC-ARTS'!N82,ARTS!N82,'PE-HEALTH'!N82,HEALTH!N82),0)),"",ROUND(AVERAGE('MUSIC-ARTS'!N82,ARTS!N82,'PE-HEALTH'!N82,HEALTH!N82),0)))</f>
        <v/>
      </c>
      <c r="O82" s="40"/>
      <c r="P82" s="40"/>
      <c r="Q82" s="68"/>
      <c r="R82" s="39" t="str">
        <f>IF(OR('MUSIC-ARTS'!R82="",ARTS!R82="",'PE-HEALTH'!R82="",HEALTH!R82=""),"",IF(ISERROR(ROUND(AVERAGE('MUSIC-ARTS'!R82,ARTS!R82,'PE-HEALTH'!R82,HEALTH!R82),0)),"",ROUND(AVERAGE('MUSIC-ARTS'!R82,ARTS!R82,'PE-HEALTH'!R82,HEALTH!R82),0)))</f>
        <v/>
      </c>
      <c r="S82" s="40"/>
      <c r="T82" s="40"/>
      <c r="U82" s="68"/>
      <c r="V82" s="81" t="str">
        <f t="shared" si="5"/>
        <v/>
      </c>
      <c r="W82" s="82"/>
      <c r="X82" s="82"/>
      <c r="Y82" s="93"/>
      <c r="Z82" s="97" t="str">
        <f t="shared" si="4"/>
        <v/>
      </c>
      <c r="AA82" s="98"/>
      <c r="AB82" s="99"/>
    </row>
    <row r="83" ht="15" hidden="1" spans="1:28">
      <c r="A83" s="42">
        <v>32</v>
      </c>
      <c r="B83" s="33">
        <f>'INPUT DATA'!B84:D84</f>
        <v>0</v>
      </c>
      <c r="C83" s="109"/>
      <c r="D83" s="109"/>
      <c r="E83" s="110"/>
      <c r="F83" s="54" t="str">
        <f>IF(OR('MUSIC-ARTS'!F83="",ARTS!F83="",'PE-HEALTH'!F83="",HEALTH!F83=""),"",IF(ISERROR(ROUND(AVERAGE('MUSIC-ARTS'!F83,ARTS!F83,'PE-HEALTH'!F83,HEALTH!F83),0)),"",ROUND(AVERAGE('MUSIC-ARTS'!F83,ARTS!F83,'PE-HEALTH'!F83,HEALTH!F83),0)))</f>
        <v/>
      </c>
      <c r="G83" s="55"/>
      <c r="H83" s="55"/>
      <c r="I83" s="73"/>
      <c r="J83" s="39" t="str">
        <f>IF(OR('MUSIC-ARTS'!J83="",ARTS!J83="",'PE-HEALTH'!J83="",HEALTH!J83=""),"",IF(ISERROR(ROUND(AVERAGE('MUSIC-ARTS'!J83,ARTS!J83,'PE-HEALTH'!J83,HEALTH!J83),0)),"",ROUND(AVERAGE('MUSIC-ARTS'!J83,ARTS!J83,'PE-HEALTH'!J83,HEALTH!J83),0)))</f>
        <v/>
      </c>
      <c r="K83" s="40"/>
      <c r="L83" s="40"/>
      <c r="M83" s="68"/>
      <c r="N83" s="39" t="str">
        <f>IF(OR('MUSIC-ARTS'!N83="",ARTS!N83="",'PE-HEALTH'!N83="",HEALTH!N83=""),"",IF(ISERROR(ROUND(AVERAGE('MUSIC-ARTS'!N83,ARTS!N83,'PE-HEALTH'!N83,HEALTH!N83),0)),"",ROUND(AVERAGE('MUSIC-ARTS'!N83,ARTS!N83,'PE-HEALTH'!N83,HEALTH!N83),0)))</f>
        <v/>
      </c>
      <c r="O83" s="40"/>
      <c r="P83" s="40"/>
      <c r="Q83" s="68"/>
      <c r="R83" s="39" t="str">
        <f>IF(OR('MUSIC-ARTS'!R83="",ARTS!R83="",'PE-HEALTH'!R83="",HEALTH!R83=""),"",IF(ISERROR(ROUND(AVERAGE('MUSIC-ARTS'!R83,ARTS!R83,'PE-HEALTH'!R83,HEALTH!R83),0)),"",ROUND(AVERAGE('MUSIC-ARTS'!R83,ARTS!R83,'PE-HEALTH'!R83,HEALTH!R83),0)))</f>
        <v/>
      </c>
      <c r="S83" s="40"/>
      <c r="T83" s="40"/>
      <c r="U83" s="68"/>
      <c r="V83" s="81" t="str">
        <f t="shared" si="5"/>
        <v/>
      </c>
      <c r="W83" s="82"/>
      <c r="X83" s="82"/>
      <c r="Y83" s="93"/>
      <c r="Z83" s="97" t="str">
        <f t="shared" si="4"/>
        <v/>
      </c>
      <c r="AA83" s="98"/>
      <c r="AB83" s="99"/>
    </row>
    <row r="84" ht="15" hidden="1" spans="1:28">
      <c r="A84" s="42">
        <v>33</v>
      </c>
      <c r="B84" s="33">
        <f>'INPUT DATA'!B85:D85</f>
        <v>0</v>
      </c>
      <c r="C84" s="109"/>
      <c r="D84" s="109"/>
      <c r="E84" s="110"/>
      <c r="F84" s="54" t="str">
        <f>IF(OR('MUSIC-ARTS'!F84="",ARTS!F84="",'PE-HEALTH'!F84="",HEALTH!F84=""),"",IF(ISERROR(ROUND(AVERAGE('MUSIC-ARTS'!F84,ARTS!F84,'PE-HEALTH'!F84,HEALTH!F84),0)),"",ROUND(AVERAGE('MUSIC-ARTS'!F84,ARTS!F84,'PE-HEALTH'!F84,HEALTH!F84),0)))</f>
        <v/>
      </c>
      <c r="G84" s="55"/>
      <c r="H84" s="55"/>
      <c r="I84" s="73"/>
      <c r="J84" s="39" t="str">
        <f>IF(OR('MUSIC-ARTS'!J84="",ARTS!J84="",'PE-HEALTH'!J84="",HEALTH!J84=""),"",IF(ISERROR(ROUND(AVERAGE('MUSIC-ARTS'!J84,ARTS!J84,'PE-HEALTH'!J84,HEALTH!J84),0)),"",ROUND(AVERAGE('MUSIC-ARTS'!J84,ARTS!J84,'PE-HEALTH'!J84,HEALTH!J84),0)))</f>
        <v/>
      </c>
      <c r="K84" s="40"/>
      <c r="L84" s="40"/>
      <c r="M84" s="68"/>
      <c r="N84" s="39" t="str">
        <f>IF(OR('MUSIC-ARTS'!N84="",ARTS!N84="",'PE-HEALTH'!N84="",HEALTH!N84=""),"",IF(ISERROR(ROUND(AVERAGE('MUSIC-ARTS'!N84,ARTS!N84,'PE-HEALTH'!N84,HEALTH!N84),0)),"",ROUND(AVERAGE('MUSIC-ARTS'!N84,ARTS!N84,'PE-HEALTH'!N84,HEALTH!N84),0)))</f>
        <v/>
      </c>
      <c r="O84" s="40"/>
      <c r="P84" s="40"/>
      <c r="Q84" s="68"/>
      <c r="R84" s="39" t="str">
        <f>IF(OR('MUSIC-ARTS'!R84="",ARTS!R84="",'PE-HEALTH'!R84="",HEALTH!R84=""),"",IF(ISERROR(ROUND(AVERAGE('MUSIC-ARTS'!R84,ARTS!R84,'PE-HEALTH'!R84,HEALTH!R84),0)),"",ROUND(AVERAGE('MUSIC-ARTS'!R84,ARTS!R84,'PE-HEALTH'!R84,HEALTH!R84),0)))</f>
        <v/>
      </c>
      <c r="S84" s="40"/>
      <c r="T84" s="40"/>
      <c r="U84" s="68"/>
      <c r="V84" s="81" t="str">
        <f t="shared" si="5"/>
        <v/>
      </c>
      <c r="W84" s="82"/>
      <c r="X84" s="82"/>
      <c r="Y84" s="93"/>
      <c r="Z84" s="97" t="str">
        <f t="shared" si="4"/>
        <v/>
      </c>
      <c r="AA84" s="98"/>
      <c r="AB84" s="99"/>
    </row>
    <row r="85" ht="15" hidden="1" spans="1:28">
      <c r="A85" s="42">
        <v>34</v>
      </c>
      <c r="B85" s="33">
        <f>'INPUT DATA'!B86:D86</f>
        <v>0</v>
      </c>
      <c r="C85" s="109"/>
      <c r="D85" s="109"/>
      <c r="E85" s="110"/>
      <c r="F85" s="54" t="str">
        <f>IF(OR('MUSIC-ARTS'!F85="",ARTS!F85="",'PE-HEALTH'!F85="",HEALTH!F85=""),"",IF(ISERROR(ROUND(AVERAGE('MUSIC-ARTS'!F85,ARTS!F85,'PE-HEALTH'!F85,HEALTH!F85),0)),"",ROUND(AVERAGE('MUSIC-ARTS'!F85,ARTS!F85,'PE-HEALTH'!F85,HEALTH!F85),0)))</f>
        <v/>
      </c>
      <c r="G85" s="55"/>
      <c r="H85" s="55"/>
      <c r="I85" s="73"/>
      <c r="J85" s="39" t="str">
        <f>IF(OR('MUSIC-ARTS'!J85="",ARTS!J85="",'PE-HEALTH'!J85="",HEALTH!J85=""),"",IF(ISERROR(ROUND(AVERAGE('MUSIC-ARTS'!J85,ARTS!J85,'PE-HEALTH'!J85,HEALTH!J85),0)),"",ROUND(AVERAGE('MUSIC-ARTS'!J85,ARTS!J85,'PE-HEALTH'!J85,HEALTH!J85),0)))</f>
        <v/>
      </c>
      <c r="K85" s="40"/>
      <c r="L85" s="40"/>
      <c r="M85" s="68"/>
      <c r="N85" s="39" t="str">
        <f>IF(OR('MUSIC-ARTS'!N85="",ARTS!N85="",'PE-HEALTH'!N85="",HEALTH!N85=""),"",IF(ISERROR(ROUND(AVERAGE('MUSIC-ARTS'!N85,ARTS!N85,'PE-HEALTH'!N85,HEALTH!N85),0)),"",ROUND(AVERAGE('MUSIC-ARTS'!N85,ARTS!N85,'PE-HEALTH'!N85,HEALTH!N85),0)))</f>
        <v/>
      </c>
      <c r="O85" s="40"/>
      <c r="P85" s="40"/>
      <c r="Q85" s="68"/>
      <c r="R85" s="39" t="str">
        <f>IF(OR('MUSIC-ARTS'!R85="",ARTS!R85="",'PE-HEALTH'!R85="",HEALTH!R85=""),"",IF(ISERROR(ROUND(AVERAGE('MUSIC-ARTS'!R85,ARTS!R85,'PE-HEALTH'!R85,HEALTH!R85),0)),"",ROUND(AVERAGE('MUSIC-ARTS'!R85,ARTS!R85,'PE-HEALTH'!R85,HEALTH!R85),0)))</f>
        <v/>
      </c>
      <c r="S85" s="40"/>
      <c r="T85" s="40"/>
      <c r="U85" s="68"/>
      <c r="V85" s="81" t="str">
        <f t="shared" si="5"/>
        <v/>
      </c>
      <c r="W85" s="82"/>
      <c r="X85" s="82"/>
      <c r="Y85" s="93"/>
      <c r="Z85" s="97" t="str">
        <f t="shared" si="4"/>
        <v/>
      </c>
      <c r="AA85" s="98"/>
      <c r="AB85" s="99"/>
    </row>
    <row r="86" ht="15" hidden="1" spans="1:28">
      <c r="A86" s="42">
        <v>35</v>
      </c>
      <c r="B86" s="33">
        <f>'INPUT DATA'!B87:D87</f>
        <v>0</v>
      </c>
      <c r="C86" s="109"/>
      <c r="D86" s="109"/>
      <c r="E86" s="110"/>
      <c r="F86" s="54" t="str">
        <f>IF(OR('MUSIC-ARTS'!F86="",ARTS!F86="",'PE-HEALTH'!F86="",HEALTH!F86=""),"",IF(ISERROR(ROUND(AVERAGE('MUSIC-ARTS'!F86,ARTS!F86,'PE-HEALTH'!F86,HEALTH!F86),0)),"",ROUND(AVERAGE('MUSIC-ARTS'!F86,ARTS!F86,'PE-HEALTH'!F86,HEALTH!F86),0)))</f>
        <v/>
      </c>
      <c r="G86" s="55"/>
      <c r="H86" s="55"/>
      <c r="I86" s="73"/>
      <c r="J86" s="39" t="str">
        <f>IF(OR('MUSIC-ARTS'!J86="",ARTS!J86="",'PE-HEALTH'!J86="",HEALTH!J86=""),"",IF(ISERROR(ROUND(AVERAGE('MUSIC-ARTS'!J86,ARTS!J86,'PE-HEALTH'!J86,HEALTH!J86),0)),"",ROUND(AVERAGE('MUSIC-ARTS'!J86,ARTS!J86,'PE-HEALTH'!J86,HEALTH!J86),0)))</f>
        <v/>
      </c>
      <c r="K86" s="40"/>
      <c r="L86" s="40"/>
      <c r="M86" s="68"/>
      <c r="N86" s="39" t="str">
        <f>IF(OR('MUSIC-ARTS'!N86="",ARTS!N86="",'PE-HEALTH'!N86="",HEALTH!N86=""),"",IF(ISERROR(ROUND(AVERAGE('MUSIC-ARTS'!N86,ARTS!N86,'PE-HEALTH'!N86,HEALTH!N86),0)),"",ROUND(AVERAGE('MUSIC-ARTS'!N86,ARTS!N86,'PE-HEALTH'!N86,HEALTH!N86),0)))</f>
        <v/>
      </c>
      <c r="O86" s="40"/>
      <c r="P86" s="40"/>
      <c r="Q86" s="68"/>
      <c r="R86" s="39" t="str">
        <f>IF(OR('MUSIC-ARTS'!R86="",ARTS!R86="",'PE-HEALTH'!R86="",HEALTH!R86=""),"",IF(ISERROR(ROUND(AVERAGE('MUSIC-ARTS'!R86,ARTS!R86,'PE-HEALTH'!R86,HEALTH!R86),0)),"",ROUND(AVERAGE('MUSIC-ARTS'!R86,ARTS!R86,'PE-HEALTH'!R86,HEALTH!R86),0)))</f>
        <v/>
      </c>
      <c r="S86" s="40"/>
      <c r="T86" s="40"/>
      <c r="U86" s="68"/>
      <c r="V86" s="81" t="str">
        <f t="shared" si="5"/>
        <v/>
      </c>
      <c r="W86" s="82"/>
      <c r="X86" s="82"/>
      <c r="Y86" s="93"/>
      <c r="Z86" s="97" t="str">
        <f t="shared" si="4"/>
        <v/>
      </c>
      <c r="AA86" s="98"/>
      <c r="AB86" s="99"/>
    </row>
  </sheetData>
  <mergeCells count="491">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B32:C32"/>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A1:AB2"/>
    <mergeCell ref="B7:E10"/>
    <mergeCell ref="Z9:AB10"/>
  </mergeCells>
  <dataValidations count="3">
    <dataValidation allowBlank="1" showInputMessage="1" showErrorMessage="1" prompt="EITHER WRITE YOUR OWN HPS OR EMPTY" sqref="F11"/>
    <dataValidation allowBlank="1" showErrorMessage="1" prompt="EITHER WRITE YOUR OWN HPS OR EMPTY" sqref="F9:AB10"/>
    <dataValidation allowBlank="1" showErrorMessage="1" sqref="F12:AB86"/>
  </dataValidations>
  <pageMargins left="0.2" right="0.2" top="0.25" bottom="0.25" header="0.3" footer="0.3"/>
  <pageSetup paperSize="1" scale="70"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indexed="34"/>
  </sheetPr>
  <dimension ref="A1:DU85"/>
  <sheetViews>
    <sheetView showGridLines="0" tabSelected="1" zoomScale="130" zoomScaleNormal="130" workbookViewId="0">
      <pane xSplit="20" ySplit="6" topLeftCell="AS68" activePane="bottomRight" state="frozen"/>
      <selection/>
      <selection pane="topRight"/>
      <selection pane="bottomLeft"/>
      <selection pane="bottomRight" activeCell="BT1" sqref="BT$1:BT$1048576"/>
    </sheetView>
  </sheetViews>
  <sheetFormatPr defaultColWidth="9.17592592592593" defaultRowHeight="13.8"/>
  <cols>
    <col min="1" max="1" width="3.26851851851852" style="170" customWidth="1"/>
    <col min="2" max="2" width="20.6018518518519" style="170" customWidth="1"/>
    <col min="3" max="3" width="4.17592592592593" style="170" hidden="1" customWidth="1"/>
    <col min="4" max="4" width="3.72222222222222" style="170" hidden="1" customWidth="1"/>
    <col min="5" max="5" width="5" style="170" hidden="1" customWidth="1"/>
    <col min="6" max="9" width="3.72222222222222" style="170" customWidth="1"/>
    <col min="10" max="10" width="4.81481481481481" style="170" customWidth="1"/>
    <col min="11" max="14" width="3.72222222222222" style="170" customWidth="1"/>
    <col min="15" max="15" width="4.81481481481481" style="170" customWidth="1"/>
    <col min="16" max="19" width="3.72222222222222" style="170" customWidth="1"/>
    <col min="20" max="20" width="4.81481481481481" style="170" customWidth="1"/>
    <col min="21" max="24" width="3.72222222222222" style="170" customWidth="1"/>
    <col min="25" max="25" width="4.81481481481481" style="170" customWidth="1"/>
    <col min="26" max="29" width="3.72222222222222" style="170" customWidth="1"/>
    <col min="30" max="30" width="4.81481481481481" style="170" customWidth="1"/>
    <col min="31" max="34" width="3.72222222222222" style="170" customWidth="1"/>
    <col min="35" max="35" width="4.81481481481481" style="170" customWidth="1"/>
    <col min="36" max="38" width="3.72222222222222" style="170" customWidth="1"/>
    <col min="39" max="39" width="4.26851851851852" style="170" customWidth="1"/>
    <col min="40" max="40" width="4.81481481481481" style="170" customWidth="1"/>
    <col min="41" max="41" width="4.09259259259259" style="170" customWidth="1"/>
    <col min="42" max="44" width="3.72222222222222" style="170" customWidth="1"/>
    <col min="45" max="45" width="4.81481481481481" style="170" customWidth="1"/>
    <col min="46" max="46" width="4.26851851851852" style="170" hidden="1" customWidth="1"/>
    <col min="47" max="49" width="3.72222222222222" style="170" hidden="1" customWidth="1"/>
    <col min="50" max="50" width="3.5462962962963" style="170" hidden="1" customWidth="1"/>
    <col min="51" max="51" width="4.26851851851852" style="170" customWidth="1"/>
    <col min="52" max="54" width="3.72222222222222" style="170" customWidth="1"/>
    <col min="55" max="55" width="4" style="170" customWidth="1"/>
    <col min="56" max="56" width="4.26851851851852" style="170" hidden="1" customWidth="1"/>
    <col min="57" max="60" width="3.72222222222222" style="170" hidden="1" customWidth="1"/>
    <col min="61" max="61" width="4.26851851851852" style="171" customWidth="1"/>
    <col min="62" max="62" width="3.72222222222222" style="171" customWidth="1"/>
    <col min="63" max="64" width="3.72222222222222" style="172" customWidth="1"/>
    <col min="65" max="65" width="4.72222222222222" style="173" customWidth="1"/>
    <col min="66" max="66" width="7.5462962962963" style="174" customWidth="1"/>
    <col min="67" max="67" width="4.82407407407407" style="175" customWidth="1"/>
    <col min="68" max="68" width="1.19444444444444" style="171" hidden="1" customWidth="1"/>
    <col min="69" max="69" width="0.277777777777778" style="171" customWidth="1"/>
    <col min="70" max="70" width="3.58333333333333" style="171" hidden="1" customWidth="1"/>
    <col min="71" max="71" width="3.57407407407407" style="171" customWidth="1"/>
    <col min="72" max="72" width="37" style="171" customWidth="1"/>
    <col min="73" max="125" width="9.17592592592593" style="171"/>
    <col min="126" max="16384" width="9.17592592592593" style="170"/>
  </cols>
  <sheetData>
    <row r="1" ht="30" spans="2:67">
      <c r="B1" s="176" t="s">
        <v>99</v>
      </c>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272"/>
      <c r="BO1" s="272"/>
    </row>
    <row r="2" spans="6:62">
      <c r="F2" s="177"/>
      <c r="G2" s="177"/>
      <c r="H2" s="177"/>
      <c r="I2" s="177"/>
      <c r="J2" s="177"/>
      <c r="K2" s="177"/>
      <c r="L2" s="177"/>
      <c r="M2" s="177"/>
      <c r="N2" s="177"/>
      <c r="O2" s="177"/>
      <c r="P2" s="177"/>
      <c r="Q2" s="177"/>
      <c r="R2" s="177"/>
      <c r="S2" s="177"/>
      <c r="T2" s="177"/>
      <c r="U2" s="245"/>
      <c r="V2" s="245"/>
      <c r="W2" s="177"/>
      <c r="X2" s="177"/>
      <c r="Y2" s="177"/>
      <c r="Z2" s="177"/>
      <c r="AA2" s="177"/>
      <c r="AB2" s="177"/>
      <c r="AC2" s="177"/>
      <c r="AD2" s="177"/>
      <c r="AE2" s="177"/>
      <c r="AF2" s="177"/>
      <c r="AG2" s="177"/>
      <c r="AH2" s="177"/>
      <c r="AI2" s="177"/>
      <c r="AJ2" s="177"/>
      <c r="AK2" s="245"/>
      <c r="AL2" s="245"/>
      <c r="AM2" s="177"/>
      <c r="AN2" s="245"/>
      <c r="AO2" s="245"/>
      <c r="AP2" s="245"/>
      <c r="AQ2" s="245"/>
      <c r="AR2" s="245"/>
      <c r="AS2" s="245"/>
      <c r="AT2" s="245"/>
      <c r="AU2" s="245"/>
      <c r="AV2" s="245"/>
      <c r="AW2" s="245"/>
      <c r="AX2" s="245"/>
      <c r="AY2" s="245"/>
      <c r="AZ2" s="245"/>
      <c r="BA2" s="245"/>
      <c r="BB2" s="245"/>
      <c r="BC2" s="245"/>
      <c r="BD2" s="245"/>
      <c r="BE2" s="245"/>
      <c r="BF2" s="245"/>
      <c r="BG2" s="245"/>
      <c r="BH2" s="245"/>
      <c r="BI2" s="245"/>
      <c r="BJ2" s="245"/>
    </row>
    <row r="3" ht="20.25" customHeight="1" spans="3:65">
      <c r="C3" s="178" t="s">
        <v>1</v>
      </c>
      <c r="D3" s="178"/>
      <c r="E3" s="178"/>
      <c r="F3" s="179"/>
      <c r="G3" s="180"/>
      <c r="H3" s="181"/>
      <c r="I3" s="221" t="s">
        <v>2</v>
      </c>
      <c r="J3" s="181"/>
      <c r="K3" s="222"/>
      <c r="L3" s="223"/>
      <c r="M3" s="223"/>
      <c r="N3" s="223"/>
      <c r="O3" s="223"/>
      <c r="P3" s="223"/>
      <c r="Q3" s="223"/>
      <c r="R3" s="246" t="s">
        <v>3</v>
      </c>
      <c r="S3" s="246"/>
      <c r="T3" s="246"/>
      <c r="U3" s="247" t="s">
        <v>4</v>
      </c>
      <c r="V3" s="248"/>
      <c r="W3" s="248"/>
      <c r="X3" s="248"/>
      <c r="Y3" s="248"/>
      <c r="Z3" s="256"/>
      <c r="AA3" s="257"/>
      <c r="AB3" s="257"/>
      <c r="AC3" s="257"/>
      <c r="AD3" s="257"/>
      <c r="AE3" s="258" t="s">
        <v>8</v>
      </c>
      <c r="AF3" s="258"/>
      <c r="AG3" s="258"/>
      <c r="AH3" s="258"/>
      <c r="AI3" s="264"/>
      <c r="AK3" s="247" t="str">
        <f>'INPUT DATA'!AG5</f>
        <v>2025 - 2026</v>
      </c>
      <c r="AL3" s="248"/>
      <c r="AM3" s="248"/>
      <c r="AN3" s="248"/>
      <c r="AO3" s="248"/>
      <c r="AP3" s="248"/>
      <c r="AQ3" s="248"/>
      <c r="AR3" s="248"/>
      <c r="AS3" s="248"/>
      <c r="AT3" s="248"/>
      <c r="AU3" s="248"/>
      <c r="AV3" s="248"/>
      <c r="AW3" s="248"/>
      <c r="AX3" s="248"/>
      <c r="AY3" s="248"/>
      <c r="AZ3" s="248"/>
      <c r="BA3" s="248"/>
      <c r="BB3" s="248"/>
      <c r="BC3" s="248"/>
      <c r="BD3" s="248"/>
      <c r="BE3" s="248"/>
      <c r="BF3" s="248"/>
      <c r="BG3" s="248"/>
      <c r="BH3" s="248"/>
      <c r="BI3" s="248"/>
      <c r="BJ3" s="256"/>
      <c r="BK3" s="253"/>
      <c r="BL3" s="253"/>
      <c r="BM3" s="253"/>
    </row>
    <row r="4" ht="10.5" customHeight="1" spans="3:65">
      <c r="C4" s="182"/>
      <c r="D4" s="183"/>
      <c r="F4" s="177"/>
      <c r="G4" s="183"/>
      <c r="K4" s="183"/>
      <c r="L4" s="224"/>
      <c r="M4" s="224"/>
      <c r="N4" s="225"/>
      <c r="O4" s="225"/>
      <c r="P4" s="225"/>
      <c r="Q4" s="225"/>
      <c r="R4" s="246"/>
      <c r="S4" s="249"/>
      <c r="T4" s="249"/>
      <c r="V4" s="250"/>
      <c r="W4" s="251"/>
      <c r="X4" s="251"/>
      <c r="Y4" s="257"/>
      <c r="Z4" s="257"/>
      <c r="AA4" s="257"/>
      <c r="AB4" s="257"/>
      <c r="AC4" s="257"/>
      <c r="AD4" s="257"/>
      <c r="AE4" s="259"/>
      <c r="AF4" s="258"/>
      <c r="AG4" s="258"/>
      <c r="AH4" s="258"/>
      <c r="AI4" s="264"/>
      <c r="AM4" s="265"/>
      <c r="AN4" s="265"/>
      <c r="AO4" s="265"/>
      <c r="AP4" s="265"/>
      <c r="AQ4" s="265"/>
      <c r="AR4" s="265"/>
      <c r="AS4" s="265"/>
      <c r="AT4" s="265"/>
      <c r="AU4" s="265"/>
      <c r="AV4" s="265"/>
      <c r="AW4" s="265"/>
      <c r="AX4" s="265"/>
      <c r="AY4" s="265"/>
      <c r="AZ4" s="265"/>
      <c r="BA4" s="265"/>
      <c r="BB4" s="265"/>
      <c r="BC4" s="265"/>
      <c r="BD4" s="265"/>
      <c r="BE4" s="265"/>
      <c r="BF4" s="265"/>
      <c r="BG4" s="265"/>
      <c r="BH4" s="265"/>
      <c r="BI4" s="250"/>
      <c r="BJ4" s="253"/>
      <c r="BK4" s="225"/>
      <c r="BL4" s="253"/>
      <c r="BM4" s="253"/>
    </row>
    <row r="5" ht="20.25" customHeight="1" spans="1:65">
      <c r="A5" s="177"/>
      <c r="B5" s="177"/>
      <c r="C5" s="184" t="s">
        <v>5</v>
      </c>
      <c r="D5" s="177"/>
      <c r="F5" s="185"/>
      <c r="G5" s="186" t="s">
        <v>6</v>
      </c>
      <c r="H5" s="187"/>
      <c r="I5" s="187"/>
      <c r="J5" s="187"/>
      <c r="K5" s="187"/>
      <c r="L5" s="187"/>
      <c r="M5" s="187"/>
      <c r="N5" s="187"/>
      <c r="O5" s="187"/>
      <c r="P5" s="226"/>
      <c r="Q5" s="223"/>
      <c r="R5" s="246" t="s">
        <v>7</v>
      </c>
      <c r="S5" s="246"/>
      <c r="T5" s="246"/>
      <c r="U5" s="252">
        <v>316405</v>
      </c>
      <c r="V5" s="248"/>
      <c r="W5" s="248"/>
      <c r="X5" s="248"/>
      <c r="Y5" s="248"/>
      <c r="Z5" s="256"/>
      <c r="AA5" s="257"/>
      <c r="AB5" s="257"/>
      <c r="AC5" s="257"/>
      <c r="AD5" s="257"/>
      <c r="AE5" s="260" t="s">
        <v>100</v>
      </c>
      <c r="AF5" s="260"/>
      <c r="AG5" s="260"/>
      <c r="AH5" s="260"/>
      <c r="AI5" s="260"/>
      <c r="AK5" s="247" t="str">
        <f>'INPUT DATA'!K7</f>
        <v>8 - ARIES</v>
      </c>
      <c r="AL5" s="248"/>
      <c r="AM5" s="248"/>
      <c r="AN5" s="248"/>
      <c r="AO5" s="248"/>
      <c r="AP5" s="248"/>
      <c r="AQ5" s="248"/>
      <c r="AR5" s="248"/>
      <c r="AS5" s="248"/>
      <c r="AT5" s="248"/>
      <c r="AU5" s="248"/>
      <c r="AV5" s="248"/>
      <c r="AW5" s="248"/>
      <c r="AX5" s="248"/>
      <c r="AY5" s="248"/>
      <c r="AZ5" s="248"/>
      <c r="BA5" s="248"/>
      <c r="BB5" s="248"/>
      <c r="BC5" s="248"/>
      <c r="BD5" s="248"/>
      <c r="BE5" s="248"/>
      <c r="BF5" s="248"/>
      <c r="BG5" s="248"/>
      <c r="BH5" s="248"/>
      <c r="BI5" s="248"/>
      <c r="BJ5" s="256"/>
      <c r="BK5" s="253"/>
      <c r="BL5" s="253"/>
      <c r="BM5" s="253"/>
    </row>
    <row r="6" ht="18.75" customHeight="1" spans="1:62">
      <c r="A6" s="177"/>
      <c r="B6" s="177"/>
      <c r="C6" s="177"/>
      <c r="D6" s="177"/>
      <c r="E6" s="177"/>
      <c r="F6" s="177"/>
      <c r="G6" s="177"/>
      <c r="H6" s="177"/>
      <c r="I6" s="177"/>
      <c r="J6" s="177"/>
      <c r="K6" s="177"/>
      <c r="L6" s="177"/>
      <c r="M6" s="177"/>
      <c r="N6" s="225"/>
      <c r="O6" s="225"/>
      <c r="P6" s="225"/>
      <c r="Q6" s="225"/>
      <c r="R6" s="225"/>
      <c r="S6" s="225"/>
      <c r="T6" s="225"/>
      <c r="U6" s="250"/>
      <c r="V6" s="250"/>
      <c r="W6" s="250"/>
      <c r="X6" s="253"/>
      <c r="Y6" s="253"/>
      <c r="Z6" s="253"/>
      <c r="AA6" s="253"/>
      <c r="AB6" s="253"/>
      <c r="AC6" s="253"/>
      <c r="AD6" s="253"/>
      <c r="AE6" s="253"/>
      <c r="AF6" s="253"/>
      <c r="AG6" s="253"/>
      <c r="AH6" s="266"/>
      <c r="AI6" s="251"/>
      <c r="AJ6" s="251"/>
      <c r="AK6" s="251"/>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row>
    <row r="7" s="167" customFormat="1" ht="33.75" customHeight="1" spans="1:125">
      <c r="A7" s="188" t="s">
        <v>101</v>
      </c>
      <c r="B7" s="189"/>
      <c r="C7" s="189"/>
      <c r="D7" s="189"/>
      <c r="E7" s="189"/>
      <c r="F7" s="190" t="s">
        <v>65</v>
      </c>
      <c r="G7" s="191"/>
      <c r="H7" s="191"/>
      <c r="I7" s="191"/>
      <c r="J7" s="227"/>
      <c r="K7" s="228" t="s">
        <v>76</v>
      </c>
      <c r="L7" s="229"/>
      <c r="M7" s="229"/>
      <c r="N7" s="229"/>
      <c r="O7" s="230"/>
      <c r="P7" s="190" t="s">
        <v>78</v>
      </c>
      <c r="Q7" s="191"/>
      <c r="R7" s="191"/>
      <c r="S7" s="191"/>
      <c r="T7" s="227"/>
      <c r="U7" s="228" t="s">
        <v>80</v>
      </c>
      <c r="V7" s="229"/>
      <c r="W7" s="229"/>
      <c r="X7" s="229"/>
      <c r="Y7" s="230"/>
      <c r="Z7" s="261" t="s">
        <v>83</v>
      </c>
      <c r="AA7" s="229"/>
      <c r="AB7" s="229"/>
      <c r="AC7" s="229"/>
      <c r="AD7" s="262"/>
      <c r="AE7" s="263" t="s">
        <v>102</v>
      </c>
      <c r="AF7" s="263"/>
      <c r="AG7" s="263"/>
      <c r="AH7" s="263"/>
      <c r="AI7" s="263"/>
      <c r="AJ7" s="261" t="s">
        <v>89</v>
      </c>
      <c r="AK7" s="229"/>
      <c r="AL7" s="229"/>
      <c r="AM7" s="229"/>
      <c r="AN7" s="262"/>
      <c r="AO7" s="261" t="s">
        <v>91</v>
      </c>
      <c r="AP7" s="229"/>
      <c r="AQ7" s="229"/>
      <c r="AR7" s="229"/>
      <c r="AS7" s="230"/>
      <c r="AT7" s="261" t="s">
        <v>93</v>
      </c>
      <c r="AU7" s="229"/>
      <c r="AV7" s="229"/>
      <c r="AW7" s="229"/>
      <c r="AX7" s="262"/>
      <c r="AY7" s="228" t="s">
        <v>95</v>
      </c>
      <c r="AZ7" s="229"/>
      <c r="BA7" s="229"/>
      <c r="BB7" s="229"/>
      <c r="BC7" s="230"/>
      <c r="BD7" s="261" t="s">
        <v>96</v>
      </c>
      <c r="BE7" s="229"/>
      <c r="BF7" s="229"/>
      <c r="BG7" s="229"/>
      <c r="BH7" s="262"/>
      <c r="BI7" s="228" t="s">
        <v>98</v>
      </c>
      <c r="BJ7" s="229"/>
      <c r="BK7" s="229"/>
      <c r="BL7" s="229"/>
      <c r="BM7" s="262"/>
      <c r="BN7" s="273"/>
      <c r="BO7" s="274" t="s">
        <v>103</v>
      </c>
      <c r="BP7" s="275" t="s">
        <v>104</v>
      </c>
      <c r="BQ7" s="275"/>
      <c r="BR7" s="275">
        <v>1</v>
      </c>
      <c r="BS7" s="275"/>
      <c r="BT7" s="169"/>
      <c r="BU7" s="275"/>
      <c r="BW7" s="275"/>
      <c r="BX7" s="275"/>
      <c r="BY7" s="275"/>
      <c r="BZ7" s="275"/>
      <c r="CA7" s="275"/>
      <c r="CB7" s="275"/>
      <c r="CC7" s="275"/>
      <c r="CD7" s="275"/>
      <c r="CE7" s="275"/>
      <c r="CF7" s="275"/>
      <c r="CG7" s="275"/>
      <c r="CH7" s="275"/>
      <c r="CI7" s="275"/>
      <c r="CJ7" s="275"/>
      <c r="CK7" s="275"/>
      <c r="CL7" s="275"/>
      <c r="CM7" s="275"/>
      <c r="CN7" s="275"/>
      <c r="CO7" s="275"/>
      <c r="CP7" s="275"/>
      <c r="CQ7" s="275"/>
      <c r="CR7" s="275"/>
      <c r="CS7" s="275"/>
      <c r="CT7" s="275"/>
      <c r="CU7" s="275"/>
      <c r="CV7" s="275"/>
      <c r="CW7" s="275"/>
      <c r="CX7" s="275"/>
      <c r="CY7" s="275"/>
      <c r="CZ7" s="275"/>
      <c r="DA7" s="275"/>
      <c r="DB7" s="275"/>
      <c r="DC7" s="275"/>
      <c r="DD7" s="275"/>
      <c r="DE7" s="275"/>
      <c r="DF7" s="275"/>
      <c r="DG7" s="275"/>
      <c r="DH7" s="275"/>
      <c r="DI7" s="275"/>
      <c r="DJ7" s="275"/>
      <c r="DK7" s="275"/>
      <c r="DL7" s="275"/>
      <c r="DM7" s="275"/>
      <c r="DN7" s="275"/>
      <c r="DO7" s="275"/>
      <c r="DP7" s="275"/>
      <c r="DQ7" s="275"/>
      <c r="DR7" s="275"/>
      <c r="DS7" s="275"/>
      <c r="DT7" s="275"/>
      <c r="DU7" s="275"/>
    </row>
    <row r="8" s="167" customFormat="1" ht="17.25" customHeight="1" spans="1:125">
      <c r="A8" s="192"/>
      <c r="B8" s="193"/>
      <c r="C8" s="193"/>
      <c r="D8" s="193"/>
      <c r="E8" s="193"/>
      <c r="F8" s="194" t="s">
        <v>105</v>
      </c>
      <c r="G8" s="195"/>
      <c r="H8" s="195"/>
      <c r="I8" s="231"/>
      <c r="J8" s="232" t="s">
        <v>92</v>
      </c>
      <c r="K8" s="195" t="s">
        <v>105</v>
      </c>
      <c r="L8" s="195"/>
      <c r="M8" s="195"/>
      <c r="N8" s="231"/>
      <c r="O8" s="232" t="s">
        <v>92</v>
      </c>
      <c r="P8" s="194" t="s">
        <v>105</v>
      </c>
      <c r="Q8" s="195"/>
      <c r="R8" s="195"/>
      <c r="S8" s="231"/>
      <c r="T8" s="232" t="s">
        <v>92</v>
      </c>
      <c r="U8" s="195" t="s">
        <v>105</v>
      </c>
      <c r="V8" s="195"/>
      <c r="W8" s="195"/>
      <c r="X8" s="231"/>
      <c r="Y8" s="232" t="s">
        <v>92</v>
      </c>
      <c r="Z8" s="194" t="s">
        <v>105</v>
      </c>
      <c r="AA8" s="195"/>
      <c r="AB8" s="195"/>
      <c r="AC8" s="231"/>
      <c r="AD8" s="232" t="s">
        <v>92</v>
      </c>
      <c r="AE8" s="195" t="s">
        <v>105</v>
      </c>
      <c r="AF8" s="195"/>
      <c r="AG8" s="195"/>
      <c r="AH8" s="231"/>
      <c r="AI8" s="232" t="s">
        <v>92</v>
      </c>
      <c r="AJ8" s="194" t="s">
        <v>105</v>
      </c>
      <c r="AK8" s="195"/>
      <c r="AL8" s="195"/>
      <c r="AM8" s="231"/>
      <c r="AN8" s="232" t="s">
        <v>92</v>
      </c>
      <c r="AO8" s="195" t="s">
        <v>105</v>
      </c>
      <c r="AP8" s="195"/>
      <c r="AQ8" s="195"/>
      <c r="AR8" s="231"/>
      <c r="AS8" s="232" t="s">
        <v>92</v>
      </c>
      <c r="AT8" s="194" t="s">
        <v>105</v>
      </c>
      <c r="AU8" s="195"/>
      <c r="AV8" s="195"/>
      <c r="AW8" s="231"/>
      <c r="AX8" s="232" t="s">
        <v>92</v>
      </c>
      <c r="AY8" s="195" t="s">
        <v>105</v>
      </c>
      <c r="AZ8" s="195"/>
      <c r="BA8" s="195"/>
      <c r="BB8" s="231"/>
      <c r="BC8" s="232" t="s">
        <v>92</v>
      </c>
      <c r="BD8" s="194" t="s">
        <v>105</v>
      </c>
      <c r="BE8" s="195"/>
      <c r="BF8" s="195"/>
      <c r="BG8" s="231"/>
      <c r="BH8" s="232" t="s">
        <v>92</v>
      </c>
      <c r="BI8" s="195" t="s">
        <v>105</v>
      </c>
      <c r="BJ8" s="195"/>
      <c r="BK8" s="195"/>
      <c r="BL8" s="231"/>
      <c r="BM8" s="232" t="s">
        <v>92</v>
      </c>
      <c r="BN8" s="276"/>
      <c r="BO8" s="277"/>
      <c r="BP8" s="275"/>
      <c r="BQ8" s="275"/>
      <c r="BR8" s="275">
        <v>2</v>
      </c>
      <c r="BS8" s="169"/>
      <c r="BT8" s="169"/>
      <c r="BU8" s="275"/>
      <c r="BW8" s="275"/>
      <c r="BX8" s="275"/>
      <c r="BY8" s="275"/>
      <c r="BZ8" s="275"/>
      <c r="CA8" s="275"/>
      <c r="CB8" s="275"/>
      <c r="CC8" s="275"/>
      <c r="CD8" s="275"/>
      <c r="CE8" s="275"/>
      <c r="CF8" s="275"/>
      <c r="CG8" s="275"/>
      <c r="CH8" s="275"/>
      <c r="CI8" s="275"/>
      <c r="CJ8" s="275"/>
      <c r="CK8" s="275"/>
      <c r="CL8" s="275"/>
      <c r="CM8" s="275"/>
      <c r="CN8" s="275"/>
      <c r="CO8" s="275"/>
      <c r="CP8" s="275"/>
      <c r="CQ8" s="275"/>
      <c r="CR8" s="275"/>
      <c r="CS8" s="275"/>
      <c r="CT8" s="275"/>
      <c r="CU8" s="275"/>
      <c r="CV8" s="275"/>
      <c r="CW8" s="275"/>
      <c r="CX8" s="275"/>
      <c r="CY8" s="275"/>
      <c r="CZ8" s="275"/>
      <c r="DA8" s="275"/>
      <c r="DB8" s="275"/>
      <c r="DC8" s="275"/>
      <c r="DD8" s="275"/>
      <c r="DE8" s="275"/>
      <c r="DF8" s="275"/>
      <c r="DG8" s="275"/>
      <c r="DH8" s="275"/>
      <c r="DI8" s="275"/>
      <c r="DJ8" s="275"/>
      <c r="DK8" s="275"/>
      <c r="DL8" s="275"/>
      <c r="DM8" s="275"/>
      <c r="DN8" s="275"/>
      <c r="DO8" s="275"/>
      <c r="DP8" s="275"/>
      <c r="DQ8" s="275"/>
      <c r="DR8" s="275"/>
      <c r="DS8" s="275"/>
      <c r="DT8" s="275"/>
      <c r="DU8" s="275"/>
    </row>
    <row r="9" s="167" customFormat="1" ht="15.75" customHeight="1" spans="1:125">
      <c r="A9" s="196"/>
      <c r="B9" s="197"/>
      <c r="C9" s="197"/>
      <c r="D9" s="197"/>
      <c r="E9" s="197"/>
      <c r="F9" s="198">
        <v>1</v>
      </c>
      <c r="G9" s="199">
        <v>2</v>
      </c>
      <c r="H9" s="199">
        <v>3</v>
      </c>
      <c r="I9" s="199">
        <v>4</v>
      </c>
      <c r="J9" s="233"/>
      <c r="K9" s="231">
        <v>1</v>
      </c>
      <c r="L9" s="199">
        <v>2</v>
      </c>
      <c r="M9" s="199">
        <v>3</v>
      </c>
      <c r="N9" s="199">
        <v>4</v>
      </c>
      <c r="O9" s="233"/>
      <c r="P9" s="198">
        <v>1</v>
      </c>
      <c r="Q9" s="199">
        <v>2</v>
      </c>
      <c r="R9" s="199">
        <v>3</v>
      </c>
      <c r="S9" s="199">
        <v>4</v>
      </c>
      <c r="T9" s="233"/>
      <c r="U9" s="231">
        <v>1</v>
      </c>
      <c r="V9" s="199">
        <v>2</v>
      </c>
      <c r="W9" s="199">
        <v>3</v>
      </c>
      <c r="X9" s="199">
        <v>4</v>
      </c>
      <c r="Y9" s="233"/>
      <c r="Z9" s="198">
        <v>1</v>
      </c>
      <c r="AA9" s="199">
        <v>2</v>
      </c>
      <c r="AB9" s="199">
        <v>3</v>
      </c>
      <c r="AC9" s="199">
        <v>4</v>
      </c>
      <c r="AD9" s="233"/>
      <c r="AE9" s="231">
        <v>1</v>
      </c>
      <c r="AF9" s="199">
        <v>2</v>
      </c>
      <c r="AG9" s="199">
        <v>3</v>
      </c>
      <c r="AH9" s="199">
        <v>4</v>
      </c>
      <c r="AI9" s="233"/>
      <c r="AJ9" s="198">
        <v>1</v>
      </c>
      <c r="AK9" s="199">
        <v>2</v>
      </c>
      <c r="AL9" s="199">
        <v>3</v>
      </c>
      <c r="AM9" s="199">
        <v>4</v>
      </c>
      <c r="AN9" s="233"/>
      <c r="AO9" s="231">
        <v>1</v>
      </c>
      <c r="AP9" s="199">
        <v>2</v>
      </c>
      <c r="AQ9" s="199">
        <v>3</v>
      </c>
      <c r="AR9" s="199">
        <v>4</v>
      </c>
      <c r="AS9" s="233"/>
      <c r="AT9" s="198">
        <v>1</v>
      </c>
      <c r="AU9" s="199">
        <v>2</v>
      </c>
      <c r="AV9" s="199">
        <v>3</v>
      </c>
      <c r="AW9" s="199">
        <v>4</v>
      </c>
      <c r="AX9" s="233"/>
      <c r="AY9" s="231">
        <v>1</v>
      </c>
      <c r="AZ9" s="199">
        <v>2</v>
      </c>
      <c r="BA9" s="199">
        <v>3</v>
      </c>
      <c r="BB9" s="199">
        <v>4</v>
      </c>
      <c r="BC9" s="233"/>
      <c r="BD9" s="198">
        <v>1</v>
      </c>
      <c r="BE9" s="199">
        <v>2</v>
      </c>
      <c r="BF9" s="199">
        <v>3</v>
      </c>
      <c r="BG9" s="199">
        <v>4</v>
      </c>
      <c r="BH9" s="233"/>
      <c r="BI9" s="231">
        <v>1</v>
      </c>
      <c r="BJ9" s="199">
        <v>2</v>
      </c>
      <c r="BK9" s="199">
        <v>3</v>
      </c>
      <c r="BL9" s="199">
        <v>4</v>
      </c>
      <c r="BM9" s="233"/>
      <c r="BN9" s="278"/>
      <c r="BO9" s="279"/>
      <c r="BP9" s="275"/>
      <c r="BQ9" s="275"/>
      <c r="BR9" s="275">
        <v>3</v>
      </c>
      <c r="BS9" s="275"/>
      <c r="BT9" s="169"/>
      <c r="BU9" s="275"/>
      <c r="BV9" s="275"/>
      <c r="BW9" s="275"/>
      <c r="BX9" s="275"/>
      <c r="BY9" s="275"/>
      <c r="BZ9" s="275"/>
      <c r="CA9" s="275"/>
      <c r="CB9" s="275"/>
      <c r="CC9" s="275"/>
      <c r="CD9" s="275"/>
      <c r="CE9" s="275"/>
      <c r="CF9" s="275"/>
      <c r="CG9" s="275"/>
      <c r="CH9" s="275"/>
      <c r="CI9" s="275"/>
      <c r="CJ9" s="275"/>
      <c r="CK9" s="275"/>
      <c r="CL9" s="275"/>
      <c r="CM9" s="275"/>
      <c r="CN9" s="275"/>
      <c r="CO9" s="275"/>
      <c r="CP9" s="275"/>
      <c r="CQ9" s="275"/>
      <c r="CR9" s="275"/>
      <c r="CS9" s="275"/>
      <c r="CT9" s="275"/>
      <c r="CU9" s="275"/>
      <c r="CV9" s="275"/>
      <c r="CW9" s="275"/>
      <c r="CX9" s="275"/>
      <c r="CY9" s="275"/>
      <c r="CZ9" s="275"/>
      <c r="DA9" s="275"/>
      <c r="DB9" s="275"/>
      <c r="DC9" s="275"/>
      <c r="DD9" s="275"/>
      <c r="DE9" s="275"/>
      <c r="DF9" s="275"/>
      <c r="DG9" s="275"/>
      <c r="DH9" s="275"/>
      <c r="DI9" s="275"/>
      <c r="DJ9" s="275"/>
      <c r="DK9" s="275"/>
      <c r="DL9" s="275"/>
      <c r="DM9" s="275"/>
      <c r="DN9" s="275"/>
      <c r="DO9" s="275"/>
      <c r="DP9" s="275"/>
      <c r="DQ9" s="275"/>
      <c r="DR9" s="275"/>
      <c r="DS9" s="275"/>
      <c r="DT9" s="275"/>
      <c r="DU9" s="275"/>
    </row>
    <row r="10" s="167" customFormat="1" ht="13.2" spans="1:125">
      <c r="A10" s="200"/>
      <c r="B10" s="201" t="s">
        <v>106</v>
      </c>
      <c r="C10" s="202"/>
      <c r="D10" s="202"/>
      <c r="E10" s="202"/>
      <c r="F10" s="200"/>
      <c r="G10" s="203"/>
      <c r="H10" s="203"/>
      <c r="I10" s="203"/>
      <c r="J10" s="234"/>
      <c r="K10" s="235"/>
      <c r="L10" s="203"/>
      <c r="M10" s="203"/>
      <c r="N10" s="203"/>
      <c r="O10" s="236"/>
      <c r="P10" s="200"/>
      <c r="Q10" s="203"/>
      <c r="R10" s="203"/>
      <c r="S10" s="203"/>
      <c r="T10" s="234"/>
      <c r="U10" s="235"/>
      <c r="V10" s="203"/>
      <c r="W10" s="203"/>
      <c r="X10" s="203"/>
      <c r="Y10" s="236"/>
      <c r="Z10" s="200"/>
      <c r="AA10" s="203"/>
      <c r="AB10" s="203"/>
      <c r="AC10" s="203"/>
      <c r="AD10" s="234"/>
      <c r="AE10" s="235"/>
      <c r="AF10" s="203"/>
      <c r="AG10" s="203"/>
      <c r="AH10" s="203"/>
      <c r="AI10" s="236"/>
      <c r="AJ10" s="267"/>
      <c r="AK10" s="203"/>
      <c r="AL10" s="203"/>
      <c r="AM10" s="203"/>
      <c r="AN10" s="234"/>
      <c r="AO10" s="235"/>
      <c r="AP10" s="203"/>
      <c r="AQ10" s="203"/>
      <c r="AR10" s="203"/>
      <c r="AS10" s="236"/>
      <c r="AT10" s="200"/>
      <c r="AU10" s="203"/>
      <c r="AV10" s="203"/>
      <c r="AW10" s="203"/>
      <c r="AX10" s="234"/>
      <c r="AY10" s="235"/>
      <c r="AZ10" s="203"/>
      <c r="BA10" s="203"/>
      <c r="BB10" s="203"/>
      <c r="BC10" s="236"/>
      <c r="BD10" s="200"/>
      <c r="BE10" s="203"/>
      <c r="BF10" s="203"/>
      <c r="BG10" s="203"/>
      <c r="BH10" s="234"/>
      <c r="BI10" s="235"/>
      <c r="BJ10" s="203"/>
      <c r="BK10" s="203"/>
      <c r="BL10" s="203"/>
      <c r="BM10" s="236"/>
      <c r="BN10" s="203"/>
      <c r="BO10" s="203"/>
      <c r="BP10" s="275"/>
      <c r="BQ10" s="275"/>
      <c r="BR10" s="275">
        <v>4</v>
      </c>
      <c r="BS10" s="169"/>
      <c r="BT10" s="169"/>
      <c r="BU10" s="275"/>
      <c r="BV10" s="275"/>
      <c r="BW10" s="275"/>
      <c r="BX10" s="275"/>
      <c r="BY10" s="275"/>
      <c r="BZ10" s="275"/>
      <c r="CA10" s="275"/>
      <c r="CB10" s="275"/>
      <c r="CC10" s="275"/>
      <c r="CD10" s="275"/>
      <c r="CE10" s="275"/>
      <c r="CF10" s="275"/>
      <c r="CG10" s="275"/>
      <c r="CH10" s="275"/>
      <c r="CI10" s="275"/>
      <c r="CJ10" s="275"/>
      <c r="CK10" s="275"/>
      <c r="CL10" s="275"/>
      <c r="CM10" s="275"/>
      <c r="CN10" s="275"/>
      <c r="CO10" s="275"/>
      <c r="CP10" s="275"/>
      <c r="CQ10" s="275"/>
      <c r="CR10" s="275"/>
      <c r="CS10" s="275"/>
      <c r="CT10" s="275"/>
      <c r="CU10" s="275"/>
      <c r="CV10" s="275"/>
      <c r="CW10" s="275"/>
      <c r="CX10" s="275"/>
      <c r="CY10" s="275"/>
      <c r="CZ10" s="275"/>
      <c r="DA10" s="275"/>
      <c r="DB10" s="275"/>
      <c r="DC10" s="275"/>
      <c r="DD10" s="275"/>
      <c r="DE10" s="275"/>
      <c r="DF10" s="275"/>
      <c r="DG10" s="275"/>
      <c r="DH10" s="275"/>
      <c r="DI10" s="275"/>
      <c r="DJ10" s="275"/>
      <c r="DK10" s="275"/>
      <c r="DL10" s="275"/>
      <c r="DM10" s="275"/>
      <c r="DN10" s="275"/>
      <c r="DO10" s="275"/>
      <c r="DP10" s="275"/>
      <c r="DQ10" s="275"/>
      <c r="DR10" s="275"/>
      <c r="DS10" s="275"/>
      <c r="DT10" s="275"/>
      <c r="DU10" s="275"/>
    </row>
    <row r="11" s="168" customFormat="1" ht="18" customHeight="1" spans="1:125">
      <c r="A11" s="204">
        <f>'INPUT DATA'!A12</f>
        <v>1</v>
      </c>
      <c r="B11" s="205" t="str">
        <f>'INPUT DATA'!B12:D12</f>
        <v>ANUBLING, REGIE C.</v>
      </c>
      <c r="C11" s="206"/>
      <c r="D11" s="206"/>
      <c r="E11" s="206"/>
      <c r="F11" s="207">
        <f>FILIPINO!F12</f>
        <v>75</v>
      </c>
      <c r="G11" s="208">
        <f>FILIPINO!J12</f>
        <v>75</v>
      </c>
      <c r="H11" s="209">
        <f>FILIPINO!N12</f>
        <v>78</v>
      </c>
      <c r="I11" s="208">
        <f>FILIPINO!R12</f>
        <v>75</v>
      </c>
      <c r="J11" s="237">
        <f>FILIPINO!V12</f>
        <v>75.75</v>
      </c>
      <c r="K11" s="238">
        <f>ENGLISH!F12</f>
        <v>75</v>
      </c>
      <c r="L11" s="208">
        <f>ENGLISH!J12</f>
        <v>73</v>
      </c>
      <c r="M11" s="208">
        <f>ENGLISH!N12</f>
        <v>76</v>
      </c>
      <c r="N11" s="208">
        <f>ENGLISH!R12</f>
        <v>81</v>
      </c>
      <c r="O11" s="239">
        <f>ENGLISH!V12</f>
        <v>76.25</v>
      </c>
      <c r="P11" s="240">
        <f>MATHEMATICS!F12</f>
        <v>77</v>
      </c>
      <c r="Q11" s="208">
        <f>MATHEMATICS!J12</f>
        <v>79</v>
      </c>
      <c r="R11" s="208">
        <f>MATHEMATICS!N12</f>
        <v>79</v>
      </c>
      <c r="S11" s="208">
        <f>MATHEMATICS!R12</f>
        <v>80</v>
      </c>
      <c r="T11" s="237">
        <f>MATHEMATICS!V12</f>
        <v>78.75</v>
      </c>
      <c r="U11" s="238">
        <f>SCIENCE!F12</f>
        <v>79</v>
      </c>
      <c r="V11" s="208">
        <f>SCIENCE!J12</f>
        <v>80</v>
      </c>
      <c r="W11" s="209">
        <f>SCIENCE!N12</f>
        <v>82</v>
      </c>
      <c r="X11" s="254">
        <f>SCIENCE!R12</f>
        <v>82</v>
      </c>
      <c r="Y11" s="239">
        <f>SCIENCE!V12</f>
        <v>80.75</v>
      </c>
      <c r="Z11" s="240">
        <f>AP!F12</f>
        <v>70</v>
      </c>
      <c r="AA11" s="208">
        <f>AP!J12</f>
        <v>75</v>
      </c>
      <c r="AB11" s="208">
        <f>AP!N12</f>
        <v>77</v>
      </c>
      <c r="AC11" s="208">
        <f>AP!R12</f>
        <v>79</v>
      </c>
      <c r="AD11" s="237">
        <f>AP!V12</f>
        <v>75.25</v>
      </c>
      <c r="AE11" s="240">
        <f>VALED!F12</f>
        <v>80</v>
      </c>
      <c r="AF11" s="254">
        <f>VALED!J12</f>
        <v>80</v>
      </c>
      <c r="AG11" s="254">
        <f>VALED!N12</f>
        <v>80</v>
      </c>
      <c r="AH11" s="208">
        <f>VALED!R12</f>
        <v>80</v>
      </c>
      <c r="AI11" s="239">
        <f>VALED!V12</f>
        <v>80</v>
      </c>
      <c r="AJ11" s="268">
        <f>TLE!F12</f>
        <v>76</v>
      </c>
      <c r="AK11" s="208">
        <f>TLE!J12</f>
        <v>74</v>
      </c>
      <c r="AL11" s="208">
        <f>TLE!N12</f>
        <v>73</v>
      </c>
      <c r="AM11" s="208">
        <f>TLE!R12</f>
        <v>80</v>
      </c>
      <c r="AN11" s="237">
        <f>TLE!V12</f>
        <v>75.75</v>
      </c>
      <c r="AO11" s="238">
        <f>'MUSIC-ARTS'!F12</f>
        <v>81</v>
      </c>
      <c r="AP11" s="270">
        <f>'MUSIC-ARTS'!J12</f>
        <v>75</v>
      </c>
      <c r="AQ11" s="270">
        <f>'MUSIC-ARTS'!N12</f>
        <v>76</v>
      </c>
      <c r="AR11" s="208">
        <f>'MUSIC-ARTS'!R12</f>
        <v>80</v>
      </c>
      <c r="AS11" s="239">
        <f>IF(OR(AO11="",AP11="",AQ11="",AR11=""),"",IF(ISERROR(ROUND(AVERAGE(AO11,AP11,AQ11,AR11),0)),"",ROUND(AVERAGE(AO11,AP11,AQ11,AR11),0)))</f>
        <v>78</v>
      </c>
      <c r="AT11" s="240">
        <f>ARTS!F12</f>
        <v>0</v>
      </c>
      <c r="AU11" s="270">
        <f>ARTS!J12</f>
        <v>0</v>
      </c>
      <c r="AV11" s="270">
        <f>ARTS!N12</f>
        <v>0</v>
      </c>
      <c r="AW11" s="208">
        <f>ARTS!R12</f>
        <v>0</v>
      </c>
      <c r="AX11" s="237">
        <f>IF(OR(AT11="",AU11="",AV11="",AW11=""),"",IF(ISERROR(ROUND(AVERAGE(AT11,AU11,AV11,AW11),0)),"",ROUND(AVERAGE(AT11,AU11,AV11,AW11),0)))</f>
        <v>0</v>
      </c>
      <c r="AY11" s="238">
        <f>'PE-HEALTH'!F12</f>
        <v>80</v>
      </c>
      <c r="AZ11" s="270">
        <f>'PE-HEALTH'!J12</f>
        <v>75</v>
      </c>
      <c r="BA11" s="270">
        <f>'PE-HEALTH'!N12</f>
        <v>78</v>
      </c>
      <c r="BB11" s="208">
        <f>'PE-HEALTH'!R12</f>
        <v>90</v>
      </c>
      <c r="BC11" s="239">
        <f>IF(OR(AY11="",AZ11="",BA11="",BB11=""),"",IF(ISERROR(ROUND(AVERAGE(AY11,AZ11,BA11,BB11),0)),"",ROUND(AVERAGE(AY11,AZ11,BA11,BB11),0)))</f>
        <v>81</v>
      </c>
      <c r="BD11" s="240">
        <f>HEALTH!F12</f>
        <v>0</v>
      </c>
      <c r="BE11" s="270">
        <f>HEALTH!J12</f>
        <v>0</v>
      </c>
      <c r="BF11" s="270">
        <f>HEALTH!N12</f>
        <v>0</v>
      </c>
      <c r="BG11" s="208">
        <f>HEALTH!R12</f>
        <v>0</v>
      </c>
      <c r="BH11" s="237">
        <f>IF(OR(BD11="",BE11="",BF11="",BG11=""),"",IF(ISERROR(ROUND(AVERAGE(BD11,BE11,BF11,BG11),0)),"",ROUND(AVERAGE(BD11,BE11,BF11,BG11),0)))</f>
        <v>0</v>
      </c>
      <c r="BI11" s="238">
        <f>' MAPEH FINAL'!F12</f>
        <v>81</v>
      </c>
      <c r="BJ11" s="270">
        <f>' MAPEH FINAL'!J12</f>
        <v>75</v>
      </c>
      <c r="BK11" s="270">
        <f>' MAPEH FINAL'!N12</f>
        <v>77</v>
      </c>
      <c r="BL11" s="208">
        <f>' MAPEH FINAL'!R12</f>
        <v>85</v>
      </c>
      <c r="BM11" s="239">
        <f t="shared" ref="BM11:BM72" si="0">IF(OR(BI11="",BJ11="",BK11="",BL11=""),"",IF(ISERROR(ROUND(AVERAGE(BI11,BJ11,BK11,BL11),0)),"",ROUND(AVERAGE(BI11,BJ11,BK11,BL11),0)))</f>
        <v>80</v>
      </c>
      <c r="BN11" s="280">
        <f>IF(ISERROR(J11+O11+T11+Y11+AD11+AI11+AN11+BM11)/8,"",(J11+O11+T11+Y11+AD11+AI11+AN11+BM11)/8)</f>
        <v>77.8125</v>
      </c>
      <c r="BO11" s="281">
        <f>IF(ISERROR(ROUND(BN11,0)),"",ROUND(BN11,0))</f>
        <v>78</v>
      </c>
      <c r="BP11" s="169">
        <f>RANK(N11,$N$11:$N$68)</f>
        <v>24</v>
      </c>
      <c r="BQ11" s="169"/>
      <c r="BR11" s="169">
        <v>5</v>
      </c>
      <c r="BS11" s="204">
        <v>1</v>
      </c>
      <c r="BT11" s="119" t="s">
        <v>18</v>
      </c>
      <c r="BU11" s="206"/>
      <c r="BV11" s="169"/>
      <c r="BW11" s="169"/>
      <c r="BX11" s="169"/>
      <c r="BY11" s="169"/>
      <c r="BZ11" s="169"/>
      <c r="CA11" s="169"/>
      <c r="CB11" s="169"/>
      <c r="CC11" s="169"/>
      <c r="CD11" s="169"/>
      <c r="CE11" s="169"/>
      <c r="CF11" s="169"/>
      <c r="CG11" s="169"/>
      <c r="CH11" s="169"/>
      <c r="CI11" s="169"/>
      <c r="CJ11" s="169"/>
      <c r="CK11" s="169"/>
      <c r="CL11" s="169"/>
      <c r="CM11" s="169"/>
      <c r="CN11" s="169"/>
      <c r="CO11" s="169"/>
      <c r="CP11" s="169"/>
      <c r="CQ11" s="169"/>
      <c r="CR11" s="169"/>
      <c r="CS11" s="169"/>
      <c r="CT11" s="169"/>
      <c r="CU11" s="169"/>
      <c r="CV11" s="169"/>
      <c r="CW11" s="169"/>
      <c r="CX11" s="169"/>
      <c r="CY11" s="169"/>
      <c r="CZ11" s="169"/>
      <c r="DA11" s="169"/>
      <c r="DB11" s="169"/>
      <c r="DC11" s="169"/>
      <c r="DD11" s="169"/>
      <c r="DE11" s="169"/>
      <c r="DF11" s="169"/>
      <c r="DG11" s="169"/>
      <c r="DH11" s="169"/>
      <c r="DI11" s="169"/>
      <c r="DJ11" s="169"/>
      <c r="DK11" s="169"/>
      <c r="DL11" s="169"/>
      <c r="DM11" s="169"/>
      <c r="DN11" s="169"/>
      <c r="DO11" s="169"/>
      <c r="DP11" s="169"/>
      <c r="DQ11" s="169"/>
      <c r="DR11" s="169"/>
      <c r="DS11" s="169"/>
      <c r="DT11" s="169"/>
      <c r="DU11" s="169"/>
    </row>
    <row r="12" s="168" customFormat="1" ht="18" customHeight="1" spans="1:125">
      <c r="A12" s="204">
        <f>'INPUT DATA'!A13</f>
        <v>2</v>
      </c>
      <c r="B12" s="205" t="str">
        <f>'INPUT DATA'!B13:D13</f>
        <v>BANGCOY, JOHN PAUL P.</v>
      </c>
      <c r="C12" s="206"/>
      <c r="D12" s="206"/>
      <c r="E12" s="206"/>
      <c r="F12" s="207">
        <f>FILIPINO!F13</f>
        <v>60</v>
      </c>
      <c r="G12" s="208">
        <f>FILIPINO!J13</f>
        <v>60</v>
      </c>
      <c r="H12" s="209">
        <f>FILIPINO!N13</f>
        <v>60</v>
      </c>
      <c r="I12" s="208">
        <f>FILIPINO!R13</f>
        <v>60</v>
      </c>
      <c r="J12" s="237">
        <f>FILIPINO!V13</f>
        <v>60</v>
      </c>
      <c r="K12" s="238">
        <f>ENGLISH!F13</f>
        <v>0</v>
      </c>
      <c r="L12" s="208">
        <f>ENGLISH!J13</f>
        <v>0</v>
      </c>
      <c r="M12" s="208">
        <f>ENGLISH!N13</f>
        <v>0</v>
      </c>
      <c r="N12" s="208">
        <f>ENGLISH!R13</f>
        <v>0</v>
      </c>
      <c r="O12" s="239">
        <f>ENGLISH!V13</f>
        <v>0</v>
      </c>
      <c r="P12" s="240">
        <f>MATHEMATICS!F13</f>
        <v>0</v>
      </c>
      <c r="Q12" s="208">
        <f>MATHEMATICS!J13</f>
        <v>0</v>
      </c>
      <c r="R12" s="208">
        <f>MATHEMATICS!N13</f>
        <v>0</v>
      </c>
      <c r="S12" s="208">
        <f>MATHEMATICS!R13</f>
        <v>0</v>
      </c>
      <c r="T12" s="237">
        <f>MATHEMATICS!V13</f>
        <v>0</v>
      </c>
      <c r="U12" s="238">
        <f>SCIENCE!F13</f>
        <v>0</v>
      </c>
      <c r="V12" s="208">
        <f>SCIENCE!J13</f>
        <v>0</v>
      </c>
      <c r="W12" s="209">
        <f>SCIENCE!N13</f>
        <v>0</v>
      </c>
      <c r="X12" s="254">
        <f>SCIENCE!R13</f>
        <v>0</v>
      </c>
      <c r="Y12" s="239">
        <f>SCIENCE!V13</f>
        <v>0</v>
      </c>
      <c r="Z12" s="240">
        <f>AP!F13</f>
        <v>0</v>
      </c>
      <c r="AA12" s="208">
        <f>AP!J13</f>
        <v>0</v>
      </c>
      <c r="AB12" s="208">
        <f>AP!N13</f>
        <v>0</v>
      </c>
      <c r="AC12" s="208">
        <f>AP!R13</f>
        <v>0</v>
      </c>
      <c r="AD12" s="237">
        <f>AP!V13</f>
        <v>0</v>
      </c>
      <c r="AE12" s="240">
        <f>VALED!F13</f>
        <v>70</v>
      </c>
      <c r="AF12" s="254">
        <f>VALED!J13</f>
        <v>70</v>
      </c>
      <c r="AG12" s="254">
        <f>VALED!N13</f>
        <v>70</v>
      </c>
      <c r="AH12" s="208">
        <f>VALED!R13</f>
        <v>70</v>
      </c>
      <c r="AI12" s="239">
        <f>VALED!V13</f>
        <v>70</v>
      </c>
      <c r="AJ12" s="268">
        <f>TLE!F13</f>
        <v>0</v>
      </c>
      <c r="AK12" s="208">
        <f>TLE!J13</f>
        <v>0</v>
      </c>
      <c r="AL12" s="208">
        <f>TLE!N13</f>
        <v>0</v>
      </c>
      <c r="AM12" s="208">
        <f>TLE!R13</f>
        <v>0</v>
      </c>
      <c r="AN12" s="237">
        <f>TLE!V13</f>
        <v>0</v>
      </c>
      <c r="AO12" s="238">
        <f>'MUSIC-ARTS'!F13</f>
        <v>76</v>
      </c>
      <c r="AP12" s="270">
        <f>'MUSIC-ARTS'!J13</f>
        <v>0</v>
      </c>
      <c r="AQ12" s="270">
        <f>'MUSIC-ARTS'!N13</f>
        <v>0</v>
      </c>
      <c r="AR12" s="208">
        <f>'MUSIC-ARTS'!R13</f>
        <v>0</v>
      </c>
      <c r="AS12" s="239">
        <f t="shared" ref="AS12:AS36" si="1">IF(OR(AO12="",AP12="",AQ12="",AR12=""),"",IF(ISERROR(ROUND(AVERAGE(AO12,AP12,AQ12,AR12),0)),"",ROUND(AVERAGE(AO12,AP12,AQ12,AR12),0)))</f>
        <v>19</v>
      </c>
      <c r="AT12" s="240">
        <f>ARTS!F13</f>
        <v>0</v>
      </c>
      <c r="AU12" s="270">
        <f>ARTS!J13</f>
        <v>0</v>
      </c>
      <c r="AV12" s="270">
        <f>ARTS!N13</f>
        <v>0</v>
      </c>
      <c r="AW12" s="208">
        <f>ARTS!R13</f>
        <v>0</v>
      </c>
      <c r="AX12" s="237">
        <f t="shared" ref="AX12:AX36" si="2">IF(OR(AT12="",AU12="",AV12="",AW12=""),"",IF(ISERROR(ROUND(AVERAGE(AT12,AU12,AV12,AW12),0)),"",ROUND(AVERAGE(AT12,AU12,AV12,AW12),0)))</f>
        <v>0</v>
      </c>
      <c r="AY12" s="238">
        <f>'PE-HEALTH'!F13</f>
        <v>76</v>
      </c>
      <c r="AZ12" s="270">
        <f>'PE-HEALTH'!J13</f>
        <v>0</v>
      </c>
      <c r="BA12" s="270">
        <f>'PE-HEALTH'!N13</f>
        <v>0</v>
      </c>
      <c r="BB12" s="208">
        <f>'PE-HEALTH'!R13</f>
        <v>0</v>
      </c>
      <c r="BC12" s="239">
        <f t="shared" ref="BC12:BC36" si="3">IF(OR(AY12="",AZ12="",BA12="",BB12=""),"",IF(ISERROR(ROUND(AVERAGE(AY12,AZ12,BA12,BB12),0)),"",ROUND(AVERAGE(AY12,AZ12,BA12,BB12),0)))</f>
        <v>19</v>
      </c>
      <c r="BD12" s="240">
        <f>HEALTH!F13</f>
        <v>0</v>
      </c>
      <c r="BE12" s="270">
        <f>HEALTH!J13</f>
        <v>0</v>
      </c>
      <c r="BF12" s="270">
        <f>HEALTH!N13</f>
        <v>0</v>
      </c>
      <c r="BG12" s="208">
        <f>HEALTH!R13</f>
        <v>0</v>
      </c>
      <c r="BH12" s="237">
        <f t="shared" ref="BH12:BH36" si="4">IF(OR(BD12="",BE12="",BF12="",BG12=""),"",IF(ISERROR(ROUND(AVERAGE(BD12,BE12,BF12,BG12),0)),"",ROUND(AVERAGE(BD12,BE12,BF12,BG12),0)))</f>
        <v>0</v>
      </c>
      <c r="BI12" s="238">
        <f>' MAPEH FINAL'!F13</f>
        <v>76</v>
      </c>
      <c r="BJ12" s="270">
        <f>' MAPEH FINAL'!J13</f>
        <v>72</v>
      </c>
      <c r="BK12" s="270">
        <f>' MAPEH FINAL'!N13</f>
        <v>65</v>
      </c>
      <c r="BL12" s="208">
        <f>' MAPEH FINAL'!R13</f>
        <v>65</v>
      </c>
      <c r="BM12" s="239">
        <f t="shared" si="0"/>
        <v>70</v>
      </c>
      <c r="BN12" s="280">
        <f t="shared" ref="BN12:BN49" si="5">IF(ISERROR(J12+O12+T12+Y12+AD12+AI12+AN12+BM12)/8,"",(J12+O12+T12+Y12+AD12+AI12+AN12+BM12)/8)</f>
        <v>25</v>
      </c>
      <c r="BO12" s="281">
        <f t="shared" ref="BO12:BO72" si="6">IF(ISERROR(ROUND(BN12,0)),"",ROUND(BN12,0))</f>
        <v>25</v>
      </c>
      <c r="BP12" s="169">
        <f t="shared" ref="BP12:BP36" si="7">RANK(N12,$N$11:$N$68)</f>
        <v>34</v>
      </c>
      <c r="BQ12" s="169"/>
      <c r="BR12" s="169">
        <v>6</v>
      </c>
      <c r="BS12" s="204">
        <v>2</v>
      </c>
      <c r="BT12" s="152" t="s">
        <v>19</v>
      </c>
      <c r="BU12" s="206"/>
      <c r="BV12" s="169"/>
      <c r="BW12" s="169"/>
      <c r="BX12" s="169"/>
      <c r="BY12" s="169"/>
      <c r="BZ12" s="169"/>
      <c r="CA12" s="169"/>
      <c r="CB12" s="169"/>
      <c r="CC12" s="169"/>
      <c r="CD12" s="169"/>
      <c r="CE12" s="169"/>
      <c r="CF12" s="169"/>
      <c r="CG12" s="169"/>
      <c r="CH12" s="169"/>
      <c r="CI12" s="169"/>
      <c r="CJ12" s="169"/>
      <c r="CK12" s="169"/>
      <c r="CL12" s="169"/>
      <c r="CM12" s="169"/>
      <c r="CN12" s="169"/>
      <c r="CO12" s="169"/>
      <c r="CP12" s="169"/>
      <c r="CQ12" s="169"/>
      <c r="CR12" s="169"/>
      <c r="CS12" s="169"/>
      <c r="CT12" s="169"/>
      <c r="CU12" s="169"/>
      <c r="CV12" s="169"/>
      <c r="CW12" s="169"/>
      <c r="CX12" s="169"/>
      <c r="CY12" s="169"/>
      <c r="CZ12" s="169"/>
      <c r="DA12" s="169"/>
      <c r="DB12" s="169"/>
      <c r="DC12" s="169"/>
      <c r="DD12" s="169"/>
      <c r="DE12" s="169"/>
      <c r="DF12" s="169"/>
      <c r="DG12" s="169"/>
      <c r="DH12" s="169"/>
      <c r="DI12" s="169"/>
      <c r="DJ12" s="169"/>
      <c r="DK12" s="169"/>
      <c r="DL12" s="169"/>
      <c r="DM12" s="169"/>
      <c r="DN12" s="169"/>
      <c r="DO12" s="169"/>
      <c r="DP12" s="169"/>
      <c r="DQ12" s="169"/>
      <c r="DR12" s="169"/>
      <c r="DS12" s="169"/>
      <c r="DT12" s="169"/>
      <c r="DU12" s="169"/>
    </row>
    <row r="13" s="168" customFormat="1" ht="18" customHeight="1" spans="1:125">
      <c r="A13" s="204">
        <f>'INPUT DATA'!A14</f>
        <v>3</v>
      </c>
      <c r="B13" s="205" t="str">
        <f>'INPUT DATA'!B14:D14</f>
        <v>BARRIENTOS, JOHN PAUL M.</v>
      </c>
      <c r="C13" s="206"/>
      <c r="D13" s="206"/>
      <c r="E13" s="206"/>
      <c r="F13" s="207">
        <f>FILIPINO!F14</f>
        <v>90</v>
      </c>
      <c r="G13" s="208">
        <f>FILIPINO!J14</f>
        <v>85</v>
      </c>
      <c r="H13" s="209">
        <f>FILIPINO!N14</f>
        <v>93</v>
      </c>
      <c r="I13" s="208">
        <f>FILIPINO!R14</f>
        <v>95</v>
      </c>
      <c r="J13" s="237">
        <f>FILIPINO!V14</f>
        <v>90.75</v>
      </c>
      <c r="K13" s="238">
        <f>ENGLISH!F14</f>
        <v>90</v>
      </c>
      <c r="L13" s="208">
        <f>ENGLISH!J14</f>
        <v>86</v>
      </c>
      <c r="M13" s="208">
        <f>ENGLISH!N14</f>
        <v>89</v>
      </c>
      <c r="N13" s="208">
        <f>ENGLISH!R14</f>
        <v>90</v>
      </c>
      <c r="O13" s="239">
        <f>ENGLISH!V14</f>
        <v>88.75</v>
      </c>
      <c r="P13" s="240">
        <f>MATHEMATICS!F14</f>
        <v>86</v>
      </c>
      <c r="Q13" s="208">
        <f>MATHEMATICS!J14</f>
        <v>89</v>
      </c>
      <c r="R13" s="208">
        <f>MATHEMATICS!N14</f>
        <v>90</v>
      </c>
      <c r="S13" s="208">
        <f>MATHEMATICS!R14</f>
        <v>90</v>
      </c>
      <c r="T13" s="237">
        <f>MATHEMATICS!V14</f>
        <v>88.75</v>
      </c>
      <c r="U13" s="238">
        <f>SCIENCE!F14</f>
        <v>90</v>
      </c>
      <c r="V13" s="208">
        <f>SCIENCE!J14</f>
        <v>89</v>
      </c>
      <c r="W13" s="209">
        <f>SCIENCE!N14</f>
        <v>91</v>
      </c>
      <c r="X13" s="254">
        <f>SCIENCE!R14</f>
        <v>92</v>
      </c>
      <c r="Y13" s="239">
        <f>SCIENCE!V14</f>
        <v>90.5</v>
      </c>
      <c r="Z13" s="240">
        <f>AP!F14</f>
        <v>88</v>
      </c>
      <c r="AA13" s="208">
        <f>AP!J14</f>
        <v>86</v>
      </c>
      <c r="AB13" s="208">
        <f>AP!N14</f>
        <v>87</v>
      </c>
      <c r="AC13" s="208">
        <f>AP!R14</f>
        <v>90</v>
      </c>
      <c r="AD13" s="237">
        <f>AP!V14</f>
        <v>87.75</v>
      </c>
      <c r="AE13" s="240">
        <f>VALED!F14</f>
        <v>85</v>
      </c>
      <c r="AF13" s="254">
        <f>VALED!J14</f>
        <v>88</v>
      </c>
      <c r="AG13" s="254">
        <f>VALED!N14</f>
        <v>92</v>
      </c>
      <c r="AH13" s="208">
        <f>VALED!R14</f>
        <v>95</v>
      </c>
      <c r="AI13" s="239">
        <f>VALED!V14</f>
        <v>90</v>
      </c>
      <c r="AJ13" s="268">
        <f>TLE!F14</f>
        <v>81</v>
      </c>
      <c r="AK13" s="208">
        <f>TLE!J14</f>
        <v>86</v>
      </c>
      <c r="AL13" s="208">
        <f>TLE!N14</f>
        <v>90</v>
      </c>
      <c r="AM13" s="208">
        <f>TLE!R14</f>
        <v>92</v>
      </c>
      <c r="AN13" s="237">
        <f>TLE!V14</f>
        <v>87.25</v>
      </c>
      <c r="AO13" s="238">
        <f>'MUSIC-ARTS'!F14</f>
        <v>84</v>
      </c>
      <c r="AP13" s="270">
        <f>'MUSIC-ARTS'!J14</f>
        <v>85</v>
      </c>
      <c r="AQ13" s="270">
        <f>'MUSIC-ARTS'!N14</f>
        <v>88</v>
      </c>
      <c r="AR13" s="208">
        <f>'MUSIC-ARTS'!R14</f>
        <v>87</v>
      </c>
      <c r="AS13" s="239">
        <f t="shared" si="1"/>
        <v>86</v>
      </c>
      <c r="AT13" s="240">
        <f>ARTS!F14</f>
        <v>0</v>
      </c>
      <c r="AU13" s="270">
        <f>ARTS!J14</f>
        <v>0</v>
      </c>
      <c r="AV13" s="270">
        <f>ARTS!N14</f>
        <v>0</v>
      </c>
      <c r="AW13" s="208">
        <f>ARTS!R14</f>
        <v>0</v>
      </c>
      <c r="AX13" s="237">
        <f t="shared" si="2"/>
        <v>0</v>
      </c>
      <c r="AY13" s="238">
        <f>'PE-HEALTH'!F14</f>
        <v>91</v>
      </c>
      <c r="AZ13" s="270">
        <f>'PE-HEALTH'!J14</f>
        <v>87</v>
      </c>
      <c r="BA13" s="270">
        <f>'PE-HEALTH'!N14</f>
        <v>88</v>
      </c>
      <c r="BB13" s="208">
        <f>'PE-HEALTH'!R14</f>
        <v>95</v>
      </c>
      <c r="BC13" s="239">
        <f t="shared" si="3"/>
        <v>90</v>
      </c>
      <c r="BD13" s="240">
        <f>HEALTH!F14</f>
        <v>0</v>
      </c>
      <c r="BE13" s="270">
        <f>HEALTH!J14</f>
        <v>0</v>
      </c>
      <c r="BF13" s="270">
        <f>HEALTH!N14</f>
        <v>0</v>
      </c>
      <c r="BG13" s="208">
        <f>HEALTH!R14</f>
        <v>0</v>
      </c>
      <c r="BH13" s="237">
        <f t="shared" si="4"/>
        <v>0</v>
      </c>
      <c r="BI13" s="238">
        <f>' MAPEH FINAL'!F14</f>
        <v>88</v>
      </c>
      <c r="BJ13" s="270">
        <f>' MAPEH FINAL'!J14</f>
        <v>86</v>
      </c>
      <c r="BK13" s="270">
        <f>' MAPEH FINAL'!N14</f>
        <v>88</v>
      </c>
      <c r="BL13" s="208">
        <f>' MAPEH FINAL'!R14</f>
        <v>91</v>
      </c>
      <c r="BM13" s="239">
        <f t="shared" si="0"/>
        <v>88</v>
      </c>
      <c r="BN13" s="280">
        <f t="shared" si="5"/>
        <v>88.96875</v>
      </c>
      <c r="BO13" s="281">
        <f t="shared" si="6"/>
        <v>89</v>
      </c>
      <c r="BP13" s="169">
        <f t="shared" si="7"/>
        <v>8</v>
      </c>
      <c r="BQ13" s="169"/>
      <c r="BR13" s="169">
        <v>7</v>
      </c>
      <c r="BS13" s="204">
        <v>3</v>
      </c>
      <c r="BT13" s="119" t="s">
        <v>20</v>
      </c>
      <c r="BU13" s="206"/>
      <c r="BV13" s="169"/>
      <c r="BW13" s="169"/>
      <c r="BX13" s="169"/>
      <c r="BY13" s="169"/>
      <c r="BZ13" s="169"/>
      <c r="CA13" s="169"/>
      <c r="CB13" s="169"/>
      <c r="CC13" s="169"/>
      <c r="CD13" s="169"/>
      <c r="CE13" s="169"/>
      <c r="CF13" s="169"/>
      <c r="CG13" s="169"/>
      <c r="CH13" s="169"/>
      <c r="CI13" s="169"/>
      <c r="CJ13" s="169"/>
      <c r="CK13" s="169"/>
      <c r="CL13" s="169"/>
      <c r="CM13" s="169"/>
      <c r="CN13" s="169"/>
      <c r="CO13" s="169"/>
      <c r="CP13" s="169"/>
      <c r="CQ13" s="169"/>
      <c r="CR13" s="169"/>
      <c r="CS13" s="169"/>
      <c r="CT13" s="169"/>
      <c r="CU13" s="169"/>
      <c r="CV13" s="169"/>
      <c r="CW13" s="169"/>
      <c r="CX13" s="169"/>
      <c r="CY13" s="169"/>
      <c r="CZ13" s="169"/>
      <c r="DA13" s="169"/>
      <c r="DB13" s="169"/>
      <c r="DC13" s="169"/>
      <c r="DD13" s="169"/>
      <c r="DE13" s="169"/>
      <c r="DF13" s="169"/>
      <c r="DG13" s="169"/>
      <c r="DH13" s="169"/>
      <c r="DI13" s="169"/>
      <c r="DJ13" s="169"/>
      <c r="DK13" s="169"/>
      <c r="DL13" s="169"/>
      <c r="DM13" s="169"/>
      <c r="DN13" s="169"/>
      <c r="DO13" s="169"/>
      <c r="DP13" s="169"/>
      <c r="DQ13" s="169"/>
      <c r="DR13" s="169"/>
      <c r="DS13" s="169"/>
      <c r="DT13" s="169"/>
      <c r="DU13" s="169"/>
    </row>
    <row r="14" s="168" customFormat="1" ht="18" customHeight="1" spans="1:125">
      <c r="A14" s="204">
        <f>'INPUT DATA'!A15</f>
        <v>4</v>
      </c>
      <c r="B14" s="205" t="str">
        <f>'INPUT DATA'!B15:D15</f>
        <v>BRIGOLE, ROMEL</v>
      </c>
      <c r="C14" s="206"/>
      <c r="D14" s="206"/>
      <c r="E14" s="206"/>
      <c r="F14" s="207">
        <f>FILIPINO!F15</f>
        <v>75</v>
      </c>
      <c r="G14" s="208">
        <f>FILIPINO!J15</f>
        <v>75</v>
      </c>
      <c r="H14" s="209">
        <f>FILIPINO!N15</f>
        <v>65</v>
      </c>
      <c r="I14" s="208">
        <f>FILIPINO!R15</f>
        <v>65</v>
      </c>
      <c r="J14" s="237">
        <f>FILIPINO!V15</f>
        <v>70</v>
      </c>
      <c r="K14" s="238">
        <f>ENGLISH!F15</f>
        <v>75</v>
      </c>
      <c r="L14" s="208">
        <f>ENGLISH!J15</f>
        <v>0</v>
      </c>
      <c r="M14" s="208">
        <f>ENGLISH!N15</f>
        <v>0</v>
      </c>
      <c r="N14" s="208">
        <f>ENGLISH!R15</f>
        <v>0</v>
      </c>
      <c r="O14" s="239">
        <f>ENGLISH!V15</f>
        <v>18.75</v>
      </c>
      <c r="P14" s="240">
        <f>MATHEMATICS!F15</f>
        <v>0</v>
      </c>
      <c r="Q14" s="208">
        <f>MATHEMATICS!J15</f>
        <v>0</v>
      </c>
      <c r="R14" s="208">
        <f>MATHEMATICS!N15</f>
        <v>0</v>
      </c>
      <c r="S14" s="208">
        <f>MATHEMATICS!R15</f>
        <v>0</v>
      </c>
      <c r="T14" s="237">
        <f>MATHEMATICS!V15</f>
        <v>0</v>
      </c>
      <c r="U14" s="238">
        <f>SCIENCE!F15</f>
        <v>70</v>
      </c>
      <c r="V14" s="208">
        <f>SCIENCE!J15</f>
        <v>70</v>
      </c>
      <c r="W14" s="209">
        <f>SCIENCE!N15</f>
        <v>70</v>
      </c>
      <c r="X14" s="254">
        <f>SCIENCE!R15</f>
        <v>70</v>
      </c>
      <c r="Y14" s="239">
        <f>SCIENCE!V15</f>
        <v>70</v>
      </c>
      <c r="Z14" s="240">
        <f>AP!F15</f>
        <v>0</v>
      </c>
      <c r="AA14" s="208">
        <f>AP!J15</f>
        <v>0</v>
      </c>
      <c r="AB14" s="208">
        <f>AP!N15</f>
        <v>0</v>
      </c>
      <c r="AC14" s="208">
        <f>AP!R15</f>
        <v>0</v>
      </c>
      <c r="AD14" s="237">
        <f>AP!V15</f>
        <v>0</v>
      </c>
      <c r="AE14" s="240">
        <f>VALED!F15</f>
        <v>70</v>
      </c>
      <c r="AF14" s="254">
        <f>VALED!J15</f>
        <v>70</v>
      </c>
      <c r="AG14" s="254">
        <f>VALED!N15</f>
        <v>70</v>
      </c>
      <c r="AH14" s="208">
        <f>VALED!R15</f>
        <v>70</v>
      </c>
      <c r="AI14" s="239">
        <f>VALED!V15</f>
        <v>70</v>
      </c>
      <c r="AJ14" s="268">
        <f>TLE!F15</f>
        <v>70</v>
      </c>
      <c r="AK14" s="208">
        <f>TLE!J15</f>
        <v>70</v>
      </c>
      <c r="AL14" s="208">
        <f>TLE!N15</f>
        <v>70</v>
      </c>
      <c r="AM14" s="208">
        <f>TLE!R15</f>
        <v>70</v>
      </c>
      <c r="AN14" s="237">
        <f>TLE!V15</f>
        <v>70</v>
      </c>
      <c r="AO14" s="238">
        <f>'MUSIC-ARTS'!F15</f>
        <v>65</v>
      </c>
      <c r="AP14" s="270">
        <f>'MUSIC-ARTS'!J15</f>
        <v>65</v>
      </c>
      <c r="AQ14" s="270">
        <f>'MUSIC-ARTS'!N15</f>
        <v>65</v>
      </c>
      <c r="AR14" s="208">
        <f>'MUSIC-ARTS'!R15</f>
        <v>70</v>
      </c>
      <c r="AS14" s="239">
        <f t="shared" si="1"/>
        <v>66</v>
      </c>
      <c r="AT14" s="240">
        <f>ARTS!F15</f>
        <v>0</v>
      </c>
      <c r="AU14" s="270">
        <f>ARTS!J15</f>
        <v>0</v>
      </c>
      <c r="AV14" s="270">
        <f>ARTS!N15</f>
        <v>0</v>
      </c>
      <c r="AW14" s="208">
        <f>ARTS!R15</f>
        <v>0</v>
      </c>
      <c r="AX14" s="237">
        <f t="shared" si="2"/>
        <v>0</v>
      </c>
      <c r="AY14" s="238">
        <f>'PE-HEALTH'!F15</f>
        <v>65</v>
      </c>
      <c r="AZ14" s="270">
        <f>'PE-HEALTH'!J15</f>
        <v>65</v>
      </c>
      <c r="BA14" s="270">
        <f>'PE-HEALTH'!N15</f>
        <v>65</v>
      </c>
      <c r="BB14" s="208">
        <f>'PE-HEALTH'!R15</f>
        <v>70</v>
      </c>
      <c r="BC14" s="239">
        <f t="shared" si="3"/>
        <v>66</v>
      </c>
      <c r="BD14" s="240">
        <f>HEALTH!F15</f>
        <v>0</v>
      </c>
      <c r="BE14" s="270">
        <f>HEALTH!J15</f>
        <v>0</v>
      </c>
      <c r="BF14" s="270">
        <f>HEALTH!N15</f>
        <v>0</v>
      </c>
      <c r="BG14" s="208">
        <f>HEALTH!R15</f>
        <v>0</v>
      </c>
      <c r="BH14" s="237">
        <f t="shared" si="4"/>
        <v>0</v>
      </c>
      <c r="BI14" s="238">
        <f>' MAPEH FINAL'!F15</f>
        <v>65</v>
      </c>
      <c r="BJ14" s="270">
        <f>' MAPEH FINAL'!J15</f>
        <v>65</v>
      </c>
      <c r="BK14" s="270">
        <f>' MAPEH FINAL'!N15</f>
        <v>65</v>
      </c>
      <c r="BL14" s="208">
        <f>' MAPEH FINAL'!R15</f>
        <v>70</v>
      </c>
      <c r="BM14" s="239">
        <f t="shared" si="0"/>
        <v>66</v>
      </c>
      <c r="BN14" s="280">
        <f t="shared" si="5"/>
        <v>45.59375</v>
      </c>
      <c r="BO14" s="281">
        <f t="shared" si="6"/>
        <v>46</v>
      </c>
      <c r="BP14" s="169">
        <f t="shared" si="7"/>
        <v>34</v>
      </c>
      <c r="BQ14" s="169"/>
      <c r="BR14" s="169">
        <v>8</v>
      </c>
      <c r="BS14" s="204">
        <v>4</v>
      </c>
      <c r="BT14" s="152" t="s">
        <v>21</v>
      </c>
      <c r="BU14" s="206"/>
      <c r="BV14" s="169"/>
      <c r="BW14" s="169"/>
      <c r="BX14" s="169"/>
      <c r="BY14" s="169"/>
      <c r="BZ14" s="169"/>
      <c r="CA14" s="169"/>
      <c r="CB14" s="169"/>
      <c r="CC14" s="169"/>
      <c r="CD14" s="169"/>
      <c r="CE14" s="169"/>
      <c r="CF14" s="169"/>
      <c r="CG14" s="169"/>
      <c r="CH14" s="169"/>
      <c r="CI14" s="169"/>
      <c r="CJ14" s="169"/>
      <c r="CK14" s="169"/>
      <c r="CL14" s="169"/>
      <c r="CM14" s="169"/>
      <c r="CN14" s="169"/>
      <c r="CO14" s="169"/>
      <c r="CP14" s="169"/>
      <c r="CQ14" s="169"/>
      <c r="CR14" s="169"/>
      <c r="CS14" s="169"/>
      <c r="CT14" s="169"/>
      <c r="CU14" s="169"/>
      <c r="CV14" s="169"/>
      <c r="CW14" s="169"/>
      <c r="CX14" s="169"/>
      <c r="CY14" s="169"/>
      <c r="CZ14" s="169"/>
      <c r="DA14" s="169"/>
      <c r="DB14" s="169"/>
      <c r="DC14" s="169"/>
      <c r="DD14" s="169"/>
      <c r="DE14" s="169"/>
      <c r="DF14" s="169"/>
      <c r="DG14" s="169"/>
      <c r="DH14" s="169"/>
      <c r="DI14" s="169"/>
      <c r="DJ14" s="169"/>
      <c r="DK14" s="169"/>
      <c r="DL14" s="169"/>
      <c r="DM14" s="169"/>
      <c r="DN14" s="169"/>
      <c r="DO14" s="169"/>
      <c r="DP14" s="169"/>
      <c r="DQ14" s="169"/>
      <c r="DR14" s="169"/>
      <c r="DS14" s="169"/>
      <c r="DT14" s="169"/>
      <c r="DU14" s="169"/>
    </row>
    <row r="15" s="168" customFormat="1" ht="18" customHeight="1" spans="1:125">
      <c r="A15" s="204">
        <f>'INPUT DATA'!A16</f>
        <v>5</v>
      </c>
      <c r="B15" s="205" t="str">
        <f>'INPUT DATA'!B16:D16</f>
        <v>BULAHAN,ROVIC L.</v>
      </c>
      <c r="C15" s="206"/>
      <c r="D15" s="206"/>
      <c r="E15" s="206"/>
      <c r="F15" s="207">
        <f>FILIPINO!F16</f>
        <v>91</v>
      </c>
      <c r="G15" s="208">
        <f>FILIPINO!J16</f>
        <v>92</v>
      </c>
      <c r="H15" s="209">
        <f>FILIPINO!N16</f>
        <v>89</v>
      </c>
      <c r="I15" s="208">
        <f>FILIPINO!R16</f>
        <v>91</v>
      </c>
      <c r="J15" s="237">
        <f>FILIPINO!V16</f>
        <v>90.75</v>
      </c>
      <c r="K15" s="238">
        <f>ENGLISH!F16</f>
        <v>88</v>
      </c>
      <c r="L15" s="208">
        <f>ENGLISH!J16</f>
        <v>83</v>
      </c>
      <c r="M15" s="208">
        <f>ENGLISH!N16</f>
        <v>92</v>
      </c>
      <c r="N15" s="208">
        <f>ENGLISH!R16</f>
        <v>92</v>
      </c>
      <c r="O15" s="239">
        <f>ENGLISH!V16</f>
        <v>88.75</v>
      </c>
      <c r="P15" s="240">
        <f>MATHEMATICS!F16</f>
        <v>82</v>
      </c>
      <c r="Q15" s="208">
        <f>MATHEMATICS!J16</f>
        <v>84</v>
      </c>
      <c r="R15" s="208">
        <f>MATHEMATICS!N16</f>
        <v>86</v>
      </c>
      <c r="S15" s="208">
        <f>MATHEMATICS!R16</f>
        <v>87</v>
      </c>
      <c r="T15" s="237">
        <f>MATHEMATICS!V16</f>
        <v>84.75</v>
      </c>
      <c r="U15" s="238">
        <f>SCIENCE!F16</f>
        <v>91</v>
      </c>
      <c r="V15" s="208">
        <f>SCIENCE!J16</f>
        <v>92</v>
      </c>
      <c r="W15" s="209">
        <f>SCIENCE!N16</f>
        <v>92</v>
      </c>
      <c r="X15" s="254">
        <f>SCIENCE!R16</f>
        <v>93</v>
      </c>
      <c r="Y15" s="239">
        <f>SCIENCE!V16</f>
        <v>92</v>
      </c>
      <c r="Z15" s="240">
        <f>AP!F16</f>
        <v>91</v>
      </c>
      <c r="AA15" s="208">
        <f>AP!J16</f>
        <v>87</v>
      </c>
      <c r="AB15" s="208">
        <f>AP!N16</f>
        <v>90</v>
      </c>
      <c r="AC15" s="208">
        <f>AP!R16</f>
        <v>90</v>
      </c>
      <c r="AD15" s="237">
        <f>AP!V16</f>
        <v>89.5</v>
      </c>
      <c r="AE15" s="240">
        <f>VALED!F16</f>
        <v>80</v>
      </c>
      <c r="AF15" s="254">
        <f>VALED!J16</f>
        <v>87</v>
      </c>
      <c r="AG15" s="254">
        <f>VALED!N16</f>
        <v>90</v>
      </c>
      <c r="AH15" s="208">
        <f>VALED!R16</f>
        <v>91</v>
      </c>
      <c r="AI15" s="239">
        <f>VALED!V16</f>
        <v>87</v>
      </c>
      <c r="AJ15" s="268">
        <f>TLE!F16</f>
        <v>82</v>
      </c>
      <c r="AK15" s="208">
        <f>TLE!J16</f>
        <v>86</v>
      </c>
      <c r="AL15" s="208">
        <f>TLE!N16</f>
        <v>90</v>
      </c>
      <c r="AM15" s="208">
        <f>TLE!R16</f>
        <v>92</v>
      </c>
      <c r="AN15" s="237">
        <f>TLE!V16</f>
        <v>87.5</v>
      </c>
      <c r="AO15" s="238">
        <f>'MUSIC-ARTS'!F16</f>
        <v>88</v>
      </c>
      <c r="AP15" s="270">
        <f>'MUSIC-ARTS'!J16</f>
        <v>86</v>
      </c>
      <c r="AQ15" s="270">
        <f>'MUSIC-ARTS'!N16</f>
        <v>88</v>
      </c>
      <c r="AR15" s="208">
        <f>'MUSIC-ARTS'!R16</f>
        <v>89</v>
      </c>
      <c r="AS15" s="239">
        <f t="shared" si="1"/>
        <v>88</v>
      </c>
      <c r="AT15" s="240">
        <f>ARTS!F16</f>
        <v>0</v>
      </c>
      <c r="AU15" s="270">
        <f>ARTS!J16</f>
        <v>0</v>
      </c>
      <c r="AV15" s="270">
        <f>ARTS!N16</f>
        <v>0</v>
      </c>
      <c r="AW15" s="208">
        <f>ARTS!R16</f>
        <v>0</v>
      </c>
      <c r="AX15" s="237">
        <f t="shared" si="2"/>
        <v>0</v>
      </c>
      <c r="AY15" s="238">
        <f>'PE-HEALTH'!F16</f>
        <v>89</v>
      </c>
      <c r="AZ15" s="270">
        <f>'PE-HEALTH'!J16</f>
        <v>87</v>
      </c>
      <c r="BA15" s="270">
        <f>'PE-HEALTH'!N16</f>
        <v>88</v>
      </c>
      <c r="BB15" s="208">
        <f>'PE-HEALTH'!R16</f>
        <v>95</v>
      </c>
      <c r="BC15" s="239">
        <f t="shared" si="3"/>
        <v>90</v>
      </c>
      <c r="BD15" s="240">
        <f>HEALTH!F16</f>
        <v>0</v>
      </c>
      <c r="BE15" s="270">
        <f>HEALTH!J16</f>
        <v>0</v>
      </c>
      <c r="BF15" s="270">
        <f>HEALTH!N16</f>
        <v>0</v>
      </c>
      <c r="BG15" s="208">
        <f>HEALTH!R16</f>
        <v>0</v>
      </c>
      <c r="BH15" s="237">
        <f t="shared" si="4"/>
        <v>0</v>
      </c>
      <c r="BI15" s="238">
        <f>' MAPEH FINAL'!F16</f>
        <v>89</v>
      </c>
      <c r="BJ15" s="270">
        <f>' MAPEH FINAL'!J16</f>
        <v>87</v>
      </c>
      <c r="BK15" s="270">
        <f>' MAPEH FINAL'!N16</f>
        <v>88</v>
      </c>
      <c r="BL15" s="208">
        <f>' MAPEH FINAL'!R16</f>
        <v>92</v>
      </c>
      <c r="BM15" s="239">
        <f t="shared" si="0"/>
        <v>89</v>
      </c>
      <c r="BN15" s="280">
        <f t="shared" si="5"/>
        <v>88.65625</v>
      </c>
      <c r="BO15" s="281">
        <f t="shared" si="6"/>
        <v>89</v>
      </c>
      <c r="BP15" s="169">
        <f t="shared" si="7"/>
        <v>4</v>
      </c>
      <c r="BQ15" s="169"/>
      <c r="BR15" s="169">
        <v>9</v>
      </c>
      <c r="BS15" s="204">
        <v>5</v>
      </c>
      <c r="BT15" s="119" t="s">
        <v>22</v>
      </c>
      <c r="BU15" s="206"/>
      <c r="BV15" s="169"/>
      <c r="BW15" s="169"/>
      <c r="BX15" s="169"/>
      <c r="BY15" s="169"/>
      <c r="BZ15" s="169"/>
      <c r="CA15" s="169"/>
      <c r="CB15" s="169"/>
      <c r="CC15" s="169"/>
      <c r="CD15" s="169"/>
      <c r="CE15" s="169"/>
      <c r="CF15" s="169"/>
      <c r="CG15" s="169"/>
      <c r="CH15" s="169"/>
      <c r="CI15" s="169"/>
      <c r="CJ15" s="169"/>
      <c r="CK15" s="169"/>
      <c r="CL15" s="169"/>
      <c r="CM15" s="169"/>
      <c r="CN15" s="169"/>
      <c r="CO15" s="169"/>
      <c r="CP15" s="169"/>
      <c r="CQ15" s="169"/>
      <c r="CR15" s="169"/>
      <c r="CS15" s="169"/>
      <c r="CT15" s="169"/>
      <c r="CU15" s="169"/>
      <c r="CV15" s="169"/>
      <c r="CW15" s="169"/>
      <c r="CX15" s="169"/>
      <c r="CY15" s="169"/>
      <c r="CZ15" s="169"/>
      <c r="DA15" s="169"/>
      <c r="DB15" s="169"/>
      <c r="DC15" s="169"/>
      <c r="DD15" s="169"/>
      <c r="DE15" s="169"/>
      <c r="DF15" s="169"/>
      <c r="DG15" s="169"/>
      <c r="DH15" s="169"/>
      <c r="DI15" s="169"/>
      <c r="DJ15" s="169"/>
      <c r="DK15" s="169"/>
      <c r="DL15" s="169"/>
      <c r="DM15" s="169"/>
      <c r="DN15" s="169"/>
      <c r="DO15" s="169"/>
      <c r="DP15" s="169"/>
      <c r="DQ15" s="169"/>
      <c r="DR15" s="169"/>
      <c r="DS15" s="169"/>
      <c r="DT15" s="169"/>
      <c r="DU15" s="169"/>
    </row>
    <row r="16" s="168" customFormat="1" ht="18" customHeight="1" spans="1:125">
      <c r="A16" s="204">
        <f>'INPUT DATA'!A17</f>
        <v>6</v>
      </c>
      <c r="B16" s="205" t="str">
        <f>'INPUT DATA'!B17:D17</f>
        <v>CIJAS, ROLIE JR. A.</v>
      </c>
      <c r="C16" s="206"/>
      <c r="D16" s="206"/>
      <c r="E16" s="206"/>
      <c r="F16" s="207">
        <f>FILIPINO!F17</f>
        <v>87</v>
      </c>
      <c r="G16" s="208">
        <f>FILIPINO!J17</f>
        <v>84</v>
      </c>
      <c r="H16" s="209">
        <f>FILIPINO!N17</f>
        <v>86</v>
      </c>
      <c r="I16" s="208">
        <f>FILIPINO!R17</f>
        <v>94</v>
      </c>
      <c r="J16" s="237">
        <f>FILIPINO!V17</f>
        <v>87.75</v>
      </c>
      <c r="K16" s="238">
        <f>ENGLISH!F17</f>
        <v>84</v>
      </c>
      <c r="L16" s="208">
        <f>ENGLISH!J17</f>
        <v>84</v>
      </c>
      <c r="M16" s="208">
        <f>ENGLISH!N17</f>
        <v>93</v>
      </c>
      <c r="N16" s="208">
        <f>ENGLISH!R17</f>
        <v>92</v>
      </c>
      <c r="O16" s="239">
        <f>ENGLISH!V17</f>
        <v>88.25</v>
      </c>
      <c r="P16" s="240">
        <f>MATHEMATICS!F17</f>
        <v>89</v>
      </c>
      <c r="Q16" s="208">
        <f>MATHEMATICS!J17</f>
        <v>91</v>
      </c>
      <c r="R16" s="208">
        <f>MATHEMATICS!N17</f>
        <v>91</v>
      </c>
      <c r="S16" s="208">
        <f>MATHEMATICS!R17</f>
        <v>92</v>
      </c>
      <c r="T16" s="237">
        <f>MATHEMATICS!V17</f>
        <v>90.75</v>
      </c>
      <c r="U16" s="238">
        <f>SCIENCE!F17</f>
        <v>90</v>
      </c>
      <c r="V16" s="208">
        <f>SCIENCE!J17</f>
        <v>92</v>
      </c>
      <c r="W16" s="209">
        <f>SCIENCE!N17</f>
        <v>92</v>
      </c>
      <c r="X16" s="254">
        <f>SCIENCE!R17</f>
        <v>93</v>
      </c>
      <c r="Y16" s="239">
        <f>SCIENCE!V17</f>
        <v>91.75</v>
      </c>
      <c r="Z16" s="240">
        <f>AP!F17</f>
        <v>83</v>
      </c>
      <c r="AA16" s="208">
        <f>AP!J17</f>
        <v>84</v>
      </c>
      <c r="AB16" s="208">
        <f>AP!N17</f>
        <v>87</v>
      </c>
      <c r="AC16" s="208">
        <f>AP!R17</f>
        <v>92</v>
      </c>
      <c r="AD16" s="237">
        <f>AP!V17</f>
        <v>86.5</v>
      </c>
      <c r="AE16" s="240">
        <f>VALED!F17</f>
        <v>81</v>
      </c>
      <c r="AF16" s="254">
        <f>VALED!J17</f>
        <v>87</v>
      </c>
      <c r="AG16" s="254">
        <f>VALED!N17</f>
        <v>91</v>
      </c>
      <c r="AH16" s="208">
        <f>VALED!R17</f>
        <v>92</v>
      </c>
      <c r="AI16" s="239">
        <f>VALED!V17</f>
        <v>87.75</v>
      </c>
      <c r="AJ16" s="268">
        <f>TLE!F17</f>
        <v>86</v>
      </c>
      <c r="AK16" s="208">
        <f>TLE!J17</f>
        <v>89</v>
      </c>
      <c r="AL16" s="208">
        <f>TLE!N17</f>
        <v>90</v>
      </c>
      <c r="AM16" s="208">
        <f>TLE!R17</f>
        <v>92</v>
      </c>
      <c r="AN16" s="237">
        <f>TLE!V17</f>
        <v>89.25</v>
      </c>
      <c r="AO16" s="238">
        <f>'MUSIC-ARTS'!F17</f>
        <v>84</v>
      </c>
      <c r="AP16" s="270">
        <f>'MUSIC-ARTS'!J17</f>
        <v>87</v>
      </c>
      <c r="AQ16" s="270">
        <f>'MUSIC-ARTS'!N17</f>
        <v>89</v>
      </c>
      <c r="AR16" s="208">
        <f>'MUSIC-ARTS'!R17</f>
        <v>90</v>
      </c>
      <c r="AS16" s="239">
        <f t="shared" si="1"/>
        <v>88</v>
      </c>
      <c r="AT16" s="240">
        <f>ARTS!F17</f>
        <v>0</v>
      </c>
      <c r="AU16" s="270">
        <f>ARTS!J17</f>
        <v>0</v>
      </c>
      <c r="AV16" s="270">
        <f>ARTS!N17</f>
        <v>0</v>
      </c>
      <c r="AW16" s="208">
        <f>ARTS!R17</f>
        <v>0</v>
      </c>
      <c r="AX16" s="237">
        <f t="shared" si="2"/>
        <v>0</v>
      </c>
      <c r="AY16" s="238">
        <f>'PE-HEALTH'!F17</f>
        <v>90</v>
      </c>
      <c r="AZ16" s="270">
        <f>'PE-HEALTH'!J17</f>
        <v>89</v>
      </c>
      <c r="BA16" s="270">
        <f>'PE-HEALTH'!N17</f>
        <v>90</v>
      </c>
      <c r="BB16" s="208">
        <f>'PE-HEALTH'!R17</f>
        <v>90</v>
      </c>
      <c r="BC16" s="239">
        <f t="shared" si="3"/>
        <v>90</v>
      </c>
      <c r="BD16" s="240">
        <f>HEALTH!F17</f>
        <v>0</v>
      </c>
      <c r="BE16" s="270">
        <f>HEALTH!J17</f>
        <v>0</v>
      </c>
      <c r="BF16" s="270">
        <f>HEALTH!N17</f>
        <v>0</v>
      </c>
      <c r="BG16" s="208">
        <f>HEALTH!R17</f>
        <v>0</v>
      </c>
      <c r="BH16" s="237">
        <f t="shared" si="4"/>
        <v>0</v>
      </c>
      <c r="BI16" s="238">
        <f>' MAPEH FINAL'!F17</f>
        <v>87</v>
      </c>
      <c r="BJ16" s="270">
        <f>' MAPEH FINAL'!J17</f>
        <v>88</v>
      </c>
      <c r="BK16" s="270">
        <f>' MAPEH FINAL'!N17</f>
        <v>90</v>
      </c>
      <c r="BL16" s="208">
        <f>' MAPEH FINAL'!R17</f>
        <v>90</v>
      </c>
      <c r="BM16" s="239">
        <f t="shared" si="0"/>
        <v>89</v>
      </c>
      <c r="BN16" s="280">
        <f t="shared" si="5"/>
        <v>88.875</v>
      </c>
      <c r="BO16" s="281">
        <f t="shared" si="6"/>
        <v>89</v>
      </c>
      <c r="BP16" s="169">
        <f t="shared" si="7"/>
        <v>4</v>
      </c>
      <c r="BQ16" s="169"/>
      <c r="BR16" s="169">
        <v>10</v>
      </c>
      <c r="BS16" s="204">
        <v>6</v>
      </c>
      <c r="BT16" s="119" t="s">
        <v>23</v>
      </c>
      <c r="BU16" s="206"/>
      <c r="BV16" s="169"/>
      <c r="BW16" s="169"/>
      <c r="BX16" s="169"/>
      <c r="BY16" s="169"/>
      <c r="BZ16" s="169"/>
      <c r="CA16" s="169"/>
      <c r="CB16" s="169"/>
      <c r="CC16" s="169"/>
      <c r="CD16" s="169"/>
      <c r="CE16" s="169"/>
      <c r="CF16" s="169"/>
      <c r="CG16" s="169"/>
      <c r="CH16" s="169"/>
      <c r="CI16" s="169"/>
      <c r="CJ16" s="169"/>
      <c r="CK16" s="169"/>
      <c r="CL16" s="169"/>
      <c r="CM16" s="169"/>
      <c r="CN16" s="169"/>
      <c r="CO16" s="169"/>
      <c r="CP16" s="169"/>
      <c r="CQ16" s="169"/>
      <c r="CR16" s="169"/>
      <c r="CS16" s="169"/>
      <c r="CT16" s="169"/>
      <c r="CU16" s="169"/>
      <c r="CV16" s="169"/>
      <c r="CW16" s="169"/>
      <c r="CX16" s="169"/>
      <c r="CY16" s="169"/>
      <c r="CZ16" s="169"/>
      <c r="DA16" s="169"/>
      <c r="DB16" s="169"/>
      <c r="DC16" s="169"/>
      <c r="DD16" s="169"/>
      <c r="DE16" s="169"/>
      <c r="DF16" s="169"/>
      <c r="DG16" s="169"/>
      <c r="DH16" s="169"/>
      <c r="DI16" s="169"/>
      <c r="DJ16" s="169"/>
      <c r="DK16" s="169"/>
      <c r="DL16" s="169"/>
      <c r="DM16" s="169"/>
      <c r="DN16" s="169"/>
      <c r="DO16" s="169"/>
      <c r="DP16" s="169"/>
      <c r="DQ16" s="169"/>
      <c r="DR16" s="169"/>
      <c r="DS16" s="169"/>
      <c r="DT16" s="169"/>
      <c r="DU16" s="169"/>
    </row>
    <row r="17" s="168" customFormat="1" ht="18" customHeight="1" spans="1:125">
      <c r="A17" s="204">
        <f>'INPUT DATA'!A18</f>
        <v>7</v>
      </c>
      <c r="B17" s="205" t="str">
        <f>'INPUT DATA'!B18:D18</f>
        <v>GARCIA, DAVE P.</v>
      </c>
      <c r="C17" s="206"/>
      <c r="D17" s="206"/>
      <c r="E17" s="206"/>
      <c r="F17" s="207">
        <f>FILIPINO!F18</f>
        <v>86</v>
      </c>
      <c r="G17" s="208">
        <f>FILIPINO!J18</f>
        <v>78</v>
      </c>
      <c r="H17" s="209">
        <f>FILIPINO!N18</f>
        <v>74</v>
      </c>
      <c r="I17" s="208">
        <f>FILIPINO!R18</f>
        <v>85</v>
      </c>
      <c r="J17" s="237">
        <f>FILIPINO!V18</f>
        <v>80.75</v>
      </c>
      <c r="K17" s="238">
        <f>ENGLISH!F18</f>
        <v>81</v>
      </c>
      <c r="L17" s="208">
        <f>ENGLISH!J18</f>
        <v>81</v>
      </c>
      <c r="M17" s="208">
        <f>ENGLISH!N18</f>
        <v>85</v>
      </c>
      <c r="N17" s="208">
        <f>ENGLISH!R18</f>
        <v>86</v>
      </c>
      <c r="O17" s="239">
        <f>ENGLISH!V18</f>
        <v>83.25</v>
      </c>
      <c r="P17" s="240">
        <f>MATHEMATICS!F18</f>
        <v>84</v>
      </c>
      <c r="Q17" s="208">
        <f>MATHEMATICS!J18</f>
        <v>85</v>
      </c>
      <c r="R17" s="208">
        <f>MATHEMATICS!N18</f>
        <v>84</v>
      </c>
      <c r="S17" s="208">
        <f>MATHEMATICS!R18</f>
        <v>85</v>
      </c>
      <c r="T17" s="237">
        <f>MATHEMATICS!V18</f>
        <v>84.5</v>
      </c>
      <c r="U17" s="238">
        <f>SCIENCE!F18</f>
        <v>82</v>
      </c>
      <c r="V17" s="208">
        <f>SCIENCE!J18</f>
        <v>83</v>
      </c>
      <c r="W17" s="209">
        <f>SCIENCE!N18</f>
        <v>82</v>
      </c>
      <c r="X17" s="254">
        <f>SCIENCE!R18</f>
        <v>83</v>
      </c>
      <c r="Y17" s="239">
        <f>SCIENCE!V18</f>
        <v>82.5</v>
      </c>
      <c r="Z17" s="240">
        <f>AP!F18</f>
        <v>80</v>
      </c>
      <c r="AA17" s="208">
        <f>AP!J18</f>
        <v>78</v>
      </c>
      <c r="AB17" s="208">
        <f>AP!N18</f>
        <v>80</v>
      </c>
      <c r="AC17" s="208">
        <f>AP!R18</f>
        <v>85</v>
      </c>
      <c r="AD17" s="237">
        <f>AP!V18</f>
        <v>80.75</v>
      </c>
      <c r="AE17" s="240">
        <f>VALED!F18</f>
        <v>78</v>
      </c>
      <c r="AF17" s="254">
        <f>VALED!J18</f>
        <v>83</v>
      </c>
      <c r="AG17" s="254">
        <f>VALED!N18</f>
        <v>82</v>
      </c>
      <c r="AH17" s="208">
        <f>VALED!R18</f>
        <v>84</v>
      </c>
      <c r="AI17" s="239">
        <f>VALED!V18</f>
        <v>81.75</v>
      </c>
      <c r="AJ17" s="268">
        <f>TLE!F18</f>
        <v>74</v>
      </c>
      <c r="AK17" s="208">
        <f>TLE!J18</f>
        <v>76</v>
      </c>
      <c r="AL17" s="208">
        <f>TLE!N18</f>
        <v>81</v>
      </c>
      <c r="AM17" s="208">
        <f>TLE!R18</f>
        <v>81</v>
      </c>
      <c r="AN17" s="237">
        <f>TLE!V18</f>
        <v>78</v>
      </c>
      <c r="AO17" s="238">
        <f>'MUSIC-ARTS'!F18</f>
        <v>80</v>
      </c>
      <c r="AP17" s="270">
        <f>'MUSIC-ARTS'!J18</f>
        <v>79</v>
      </c>
      <c r="AQ17" s="270">
        <f>'MUSIC-ARTS'!N18</f>
        <v>80</v>
      </c>
      <c r="AR17" s="208">
        <f>'MUSIC-ARTS'!R18</f>
        <v>82</v>
      </c>
      <c r="AS17" s="239">
        <f t="shared" si="1"/>
        <v>80</v>
      </c>
      <c r="AT17" s="240">
        <f>ARTS!F18</f>
        <v>0</v>
      </c>
      <c r="AU17" s="270">
        <f>ARTS!J18</f>
        <v>0</v>
      </c>
      <c r="AV17" s="270">
        <f>ARTS!N18</f>
        <v>0</v>
      </c>
      <c r="AW17" s="208">
        <f>ARTS!R18</f>
        <v>0</v>
      </c>
      <c r="AX17" s="237">
        <f t="shared" si="2"/>
        <v>0</v>
      </c>
      <c r="AY17" s="238">
        <f>'PE-HEALTH'!F18</f>
        <v>84</v>
      </c>
      <c r="AZ17" s="270">
        <f>'PE-HEALTH'!J18</f>
        <v>84</v>
      </c>
      <c r="BA17" s="270">
        <f>'PE-HEALTH'!N18</f>
        <v>83</v>
      </c>
      <c r="BB17" s="208">
        <f>'PE-HEALTH'!R18</f>
        <v>90</v>
      </c>
      <c r="BC17" s="239">
        <f t="shared" si="3"/>
        <v>85</v>
      </c>
      <c r="BD17" s="240">
        <f>HEALTH!F18</f>
        <v>0</v>
      </c>
      <c r="BE17" s="270">
        <f>HEALTH!J18</f>
        <v>0</v>
      </c>
      <c r="BF17" s="270">
        <f>HEALTH!N18</f>
        <v>0</v>
      </c>
      <c r="BG17" s="208">
        <f>HEALTH!R18</f>
        <v>0</v>
      </c>
      <c r="BH17" s="237">
        <f t="shared" si="4"/>
        <v>0</v>
      </c>
      <c r="BI17" s="238">
        <f>' MAPEH FINAL'!F18</f>
        <v>82</v>
      </c>
      <c r="BJ17" s="270">
        <f>' MAPEH FINAL'!J18</f>
        <v>82</v>
      </c>
      <c r="BK17" s="270">
        <f>' MAPEH FINAL'!N18</f>
        <v>82</v>
      </c>
      <c r="BL17" s="208">
        <f>' MAPEH FINAL'!R18</f>
        <v>86</v>
      </c>
      <c r="BM17" s="239">
        <f t="shared" si="0"/>
        <v>83</v>
      </c>
      <c r="BN17" s="280">
        <f t="shared" si="5"/>
        <v>81.8125</v>
      </c>
      <c r="BO17" s="281">
        <f t="shared" si="6"/>
        <v>82</v>
      </c>
      <c r="BP17" s="169">
        <f t="shared" si="7"/>
        <v>18</v>
      </c>
      <c r="BQ17" s="169"/>
      <c r="BR17" s="169"/>
      <c r="BS17" s="204">
        <v>7</v>
      </c>
      <c r="BT17" s="119" t="s">
        <v>24</v>
      </c>
      <c r="BU17" s="206"/>
      <c r="BV17" s="169"/>
      <c r="BW17" s="169"/>
      <c r="BX17" s="169"/>
      <c r="BY17" s="169"/>
      <c r="BZ17" s="169"/>
      <c r="CA17" s="169"/>
      <c r="CB17" s="169"/>
      <c r="CC17" s="169"/>
      <c r="CD17" s="169"/>
      <c r="CE17" s="169"/>
      <c r="CF17" s="169"/>
      <c r="CG17" s="169"/>
      <c r="CH17" s="169"/>
      <c r="CI17" s="169"/>
      <c r="CJ17" s="169"/>
      <c r="CK17" s="169"/>
      <c r="CL17" s="169"/>
      <c r="CM17" s="169"/>
      <c r="CN17" s="169"/>
      <c r="CO17" s="169"/>
      <c r="CP17" s="169"/>
      <c r="CQ17" s="169"/>
      <c r="CR17" s="169"/>
      <c r="CS17" s="169"/>
      <c r="CT17" s="169"/>
      <c r="CU17" s="169"/>
      <c r="CV17" s="169"/>
      <c r="CW17" s="169"/>
      <c r="CX17" s="169"/>
      <c r="CY17" s="169"/>
      <c r="CZ17" s="169"/>
      <c r="DA17" s="169"/>
      <c r="DB17" s="169"/>
      <c r="DC17" s="169"/>
      <c r="DD17" s="169"/>
      <c r="DE17" s="169"/>
      <c r="DF17" s="169"/>
      <c r="DG17" s="169"/>
      <c r="DH17" s="169"/>
      <c r="DI17" s="169"/>
      <c r="DJ17" s="169"/>
      <c r="DK17" s="169"/>
      <c r="DL17" s="169"/>
      <c r="DM17" s="169"/>
      <c r="DN17" s="169"/>
      <c r="DO17" s="169"/>
      <c r="DP17" s="169"/>
      <c r="DQ17" s="169"/>
      <c r="DR17" s="169"/>
      <c r="DS17" s="169"/>
      <c r="DT17" s="169"/>
      <c r="DU17" s="169"/>
    </row>
    <row r="18" s="168" customFormat="1" ht="18" customHeight="1" spans="1:125">
      <c r="A18" s="204">
        <f>'INPUT DATA'!A19</f>
        <v>8</v>
      </c>
      <c r="B18" s="205" t="str">
        <f>'INPUT DATA'!B19:D19</f>
        <v>GONZALES, JAMES A.</v>
      </c>
      <c r="C18" s="206"/>
      <c r="D18" s="206"/>
      <c r="E18" s="206"/>
      <c r="F18" s="207">
        <f>FILIPINO!F19</f>
        <v>80</v>
      </c>
      <c r="G18" s="208">
        <f>FILIPINO!J19</f>
        <v>78</v>
      </c>
      <c r="H18" s="209">
        <f>FILIPINO!N19</f>
        <v>85</v>
      </c>
      <c r="I18" s="208">
        <f>FILIPINO!R19</f>
        <v>85</v>
      </c>
      <c r="J18" s="237">
        <f>FILIPINO!V19</f>
        <v>82</v>
      </c>
      <c r="K18" s="238">
        <f>ENGLISH!F19</f>
        <v>75</v>
      </c>
      <c r="L18" s="208">
        <f>ENGLISH!J19</f>
        <v>80</v>
      </c>
      <c r="M18" s="208">
        <f>ENGLISH!N19</f>
        <v>84</v>
      </c>
      <c r="N18" s="208">
        <f>ENGLISH!R19</f>
        <v>87</v>
      </c>
      <c r="O18" s="239">
        <f>ENGLISH!V19</f>
        <v>81.5</v>
      </c>
      <c r="P18" s="240">
        <f>MATHEMATICS!F19</f>
        <v>87</v>
      </c>
      <c r="Q18" s="208">
        <f>MATHEMATICS!J19</f>
        <v>90</v>
      </c>
      <c r="R18" s="208">
        <f>MATHEMATICS!N19</f>
        <v>90</v>
      </c>
      <c r="S18" s="208">
        <f>MATHEMATICS!R19</f>
        <v>90</v>
      </c>
      <c r="T18" s="241">
        <f>MATHEMATICS!V19</f>
        <v>89.25</v>
      </c>
      <c r="U18" s="238">
        <f>SCIENCE!F19</f>
        <v>83</v>
      </c>
      <c r="V18" s="208">
        <f>SCIENCE!J19</f>
        <v>85</v>
      </c>
      <c r="W18" s="209">
        <f>SCIENCE!N19</f>
        <v>86</v>
      </c>
      <c r="X18" s="254">
        <f>SCIENCE!R19</f>
        <v>87</v>
      </c>
      <c r="Y18" s="239">
        <f>SCIENCE!V19</f>
        <v>85.25</v>
      </c>
      <c r="Z18" s="240">
        <f>AP!F19</f>
        <v>80</v>
      </c>
      <c r="AA18" s="208">
        <f>AP!J19</f>
        <v>80</v>
      </c>
      <c r="AB18" s="208">
        <f>AP!N19</f>
        <v>80</v>
      </c>
      <c r="AC18" s="208">
        <f>AP!R19</f>
        <v>79</v>
      </c>
      <c r="AD18" s="241">
        <f>AP!V19</f>
        <v>79.75</v>
      </c>
      <c r="AE18" s="240">
        <f>VALED!F19</f>
        <v>80</v>
      </c>
      <c r="AF18" s="254">
        <f>VALED!J19</f>
        <v>81</v>
      </c>
      <c r="AG18" s="254">
        <f>VALED!N19</f>
        <v>83</v>
      </c>
      <c r="AH18" s="208">
        <f>VALED!R19</f>
        <v>84</v>
      </c>
      <c r="AI18" s="239">
        <f>VALED!V19</f>
        <v>82</v>
      </c>
      <c r="AJ18" s="268">
        <f>TLE!F19</f>
        <v>85</v>
      </c>
      <c r="AK18" s="208">
        <f>TLE!J19</f>
        <v>86</v>
      </c>
      <c r="AL18" s="208">
        <f>TLE!N19</f>
        <v>81</v>
      </c>
      <c r="AM18" s="208">
        <f>TLE!R19</f>
        <v>83</v>
      </c>
      <c r="AN18" s="241">
        <f>TLE!V19</f>
        <v>83.75</v>
      </c>
      <c r="AO18" s="238">
        <f>'MUSIC-ARTS'!F19</f>
        <v>82</v>
      </c>
      <c r="AP18" s="270">
        <f>'MUSIC-ARTS'!J19</f>
        <v>83</v>
      </c>
      <c r="AQ18" s="270">
        <f>'MUSIC-ARTS'!N19</f>
        <v>84</v>
      </c>
      <c r="AR18" s="208">
        <f>'MUSIC-ARTS'!R19</f>
        <v>83</v>
      </c>
      <c r="AS18" s="239">
        <f t="shared" si="1"/>
        <v>83</v>
      </c>
      <c r="AT18" s="240">
        <f>ARTS!F19</f>
        <v>0</v>
      </c>
      <c r="AU18" s="270">
        <f>ARTS!J19</f>
        <v>0</v>
      </c>
      <c r="AV18" s="270">
        <f>ARTS!N19</f>
        <v>0</v>
      </c>
      <c r="AW18" s="208">
        <f>ARTS!R19</f>
        <v>0</v>
      </c>
      <c r="AX18" s="241">
        <f t="shared" si="2"/>
        <v>0</v>
      </c>
      <c r="AY18" s="238">
        <f>'PE-HEALTH'!F19</f>
        <v>82</v>
      </c>
      <c r="AZ18" s="270">
        <f>'PE-HEALTH'!J19</f>
        <v>85</v>
      </c>
      <c r="BA18" s="270">
        <f>'PE-HEALTH'!N19</f>
        <v>85</v>
      </c>
      <c r="BB18" s="208">
        <f>'PE-HEALTH'!R19</f>
        <v>90</v>
      </c>
      <c r="BC18" s="242">
        <f t="shared" si="3"/>
        <v>86</v>
      </c>
      <c r="BD18" s="240">
        <f>HEALTH!F19</f>
        <v>0</v>
      </c>
      <c r="BE18" s="270">
        <f>HEALTH!J19</f>
        <v>0</v>
      </c>
      <c r="BF18" s="270">
        <f>HEALTH!N19</f>
        <v>0</v>
      </c>
      <c r="BG18" s="208">
        <f>HEALTH!R19</f>
        <v>0</v>
      </c>
      <c r="BH18" s="241">
        <f t="shared" si="4"/>
        <v>0</v>
      </c>
      <c r="BI18" s="238">
        <f>' MAPEH FINAL'!F19</f>
        <v>82</v>
      </c>
      <c r="BJ18" s="270">
        <f>' MAPEH FINAL'!J19</f>
        <v>84</v>
      </c>
      <c r="BK18" s="270">
        <f>' MAPEH FINAL'!N19</f>
        <v>85</v>
      </c>
      <c r="BL18" s="208">
        <f>' MAPEH FINAL'!R19</f>
        <v>87</v>
      </c>
      <c r="BM18" s="242">
        <f t="shared" si="0"/>
        <v>85</v>
      </c>
      <c r="BN18" s="280">
        <f t="shared" si="5"/>
        <v>83.5625</v>
      </c>
      <c r="BO18" s="281">
        <f t="shared" si="6"/>
        <v>84</v>
      </c>
      <c r="BP18" s="282">
        <f t="shared" si="7"/>
        <v>14</v>
      </c>
      <c r="BQ18" s="169"/>
      <c r="BR18" s="169"/>
      <c r="BS18" s="204">
        <v>8</v>
      </c>
      <c r="BT18" s="119" t="s">
        <v>25</v>
      </c>
      <c r="BU18" s="206"/>
      <c r="BV18" s="169"/>
      <c r="BW18" s="169"/>
      <c r="BX18" s="169"/>
      <c r="BY18" s="169"/>
      <c r="BZ18" s="169"/>
      <c r="CA18" s="169"/>
      <c r="CB18" s="169"/>
      <c r="CC18" s="169"/>
      <c r="CD18" s="169"/>
      <c r="CE18" s="169"/>
      <c r="CF18" s="169"/>
      <c r="CG18" s="169"/>
      <c r="CH18" s="169"/>
      <c r="CI18" s="169"/>
      <c r="CJ18" s="169"/>
      <c r="CK18" s="169"/>
      <c r="CL18" s="169"/>
      <c r="CM18" s="169"/>
      <c r="CN18" s="169"/>
      <c r="CO18" s="169"/>
      <c r="CP18" s="169"/>
      <c r="CQ18" s="169"/>
      <c r="CR18" s="169"/>
      <c r="CS18" s="169"/>
      <c r="CT18" s="169"/>
      <c r="CU18" s="169"/>
      <c r="CV18" s="169"/>
      <c r="CW18" s="169"/>
      <c r="CX18" s="169"/>
      <c r="CY18" s="169"/>
      <c r="CZ18" s="169"/>
      <c r="DA18" s="169"/>
      <c r="DB18" s="169"/>
      <c r="DC18" s="169"/>
      <c r="DD18" s="169"/>
      <c r="DE18" s="169"/>
      <c r="DF18" s="169"/>
      <c r="DG18" s="169"/>
      <c r="DH18" s="169"/>
      <c r="DI18" s="169"/>
      <c r="DJ18" s="169"/>
      <c r="DK18" s="169"/>
      <c r="DL18" s="169"/>
      <c r="DM18" s="169"/>
      <c r="DN18" s="169"/>
      <c r="DO18" s="169"/>
      <c r="DP18" s="169"/>
      <c r="DQ18" s="169"/>
      <c r="DR18" s="169"/>
      <c r="DS18" s="169"/>
      <c r="DT18" s="169"/>
      <c r="DU18" s="169"/>
    </row>
    <row r="19" s="167" customFormat="1" ht="18" customHeight="1" spans="1:125">
      <c r="A19" s="204">
        <f>'INPUT DATA'!A20</f>
        <v>9</v>
      </c>
      <c r="B19" s="205" t="str">
        <f>'INPUT DATA'!B20:D20</f>
        <v>LAGUNA, J.B. B.</v>
      </c>
      <c r="C19" s="210"/>
      <c r="D19" s="210"/>
      <c r="E19" s="210"/>
      <c r="F19" s="207">
        <f>FILIPINO!F20</f>
        <v>85</v>
      </c>
      <c r="G19" s="208">
        <f>FILIPINO!J20</f>
        <v>88</v>
      </c>
      <c r="H19" s="209">
        <f>FILIPINO!N20</f>
        <v>80</v>
      </c>
      <c r="I19" s="208">
        <f>FILIPINO!R20</f>
        <v>94</v>
      </c>
      <c r="J19" s="241">
        <f>FILIPINO!V20</f>
        <v>86.75</v>
      </c>
      <c r="K19" s="238">
        <f>ENGLISH!F20</f>
        <v>88</v>
      </c>
      <c r="L19" s="208">
        <f>ENGLISH!J20</f>
        <v>84</v>
      </c>
      <c r="M19" s="208">
        <f>ENGLISH!N20</f>
        <v>86</v>
      </c>
      <c r="N19" s="208">
        <f>ENGLISH!R20</f>
        <v>88</v>
      </c>
      <c r="O19" s="242">
        <f>ENGLISH!V20</f>
        <v>86.5</v>
      </c>
      <c r="P19" s="240">
        <f>MATHEMATICS!F20</f>
        <v>84</v>
      </c>
      <c r="Q19" s="208">
        <f>MATHEMATICS!J20</f>
        <v>86</v>
      </c>
      <c r="R19" s="208">
        <f>MATHEMATICS!N20</f>
        <v>86</v>
      </c>
      <c r="S19" s="208">
        <f>MATHEMATICS!R20</f>
        <v>87</v>
      </c>
      <c r="T19" s="241">
        <f>MATHEMATICS!V20</f>
        <v>85.75</v>
      </c>
      <c r="U19" s="238">
        <f>SCIENCE!F20</f>
        <v>90</v>
      </c>
      <c r="V19" s="208">
        <f>SCIENCE!J20</f>
        <v>89</v>
      </c>
      <c r="W19" s="209">
        <f>SCIENCE!N20</f>
        <v>90</v>
      </c>
      <c r="X19" s="254">
        <f>SCIENCE!R20</f>
        <v>91</v>
      </c>
      <c r="Y19" s="242">
        <f>SCIENCE!V20</f>
        <v>90</v>
      </c>
      <c r="Z19" s="240">
        <f>AP!F20</f>
        <v>85</v>
      </c>
      <c r="AA19" s="208">
        <f>AP!J20</f>
        <v>85</v>
      </c>
      <c r="AB19" s="208">
        <f>AP!N20</f>
        <v>82</v>
      </c>
      <c r="AC19" s="208">
        <f>AP!R20</f>
        <v>88</v>
      </c>
      <c r="AD19" s="241">
        <f>AP!V20</f>
        <v>85</v>
      </c>
      <c r="AE19" s="240">
        <f>VALED!F20</f>
        <v>83</v>
      </c>
      <c r="AF19" s="254">
        <f>VALED!J20</f>
        <v>87</v>
      </c>
      <c r="AG19" s="254">
        <f>VALED!N20</f>
        <v>88</v>
      </c>
      <c r="AH19" s="208">
        <f>VALED!R20</f>
        <v>92</v>
      </c>
      <c r="AI19" s="242">
        <f>VALED!V20</f>
        <v>87.5</v>
      </c>
      <c r="AJ19" s="268">
        <f>TLE!F20</f>
        <v>86</v>
      </c>
      <c r="AK19" s="208">
        <f>TLE!J20</f>
        <v>79</v>
      </c>
      <c r="AL19" s="208">
        <f>TLE!N20</f>
        <v>87</v>
      </c>
      <c r="AM19" s="208">
        <f>TLE!R20</f>
        <v>85</v>
      </c>
      <c r="AN19" s="241">
        <f>TLE!V20</f>
        <v>84.25</v>
      </c>
      <c r="AO19" s="238">
        <f>'MUSIC-ARTS'!F20</f>
        <v>86</v>
      </c>
      <c r="AP19" s="270">
        <f>'MUSIC-ARTS'!J20</f>
        <v>84</v>
      </c>
      <c r="AQ19" s="270">
        <f>'MUSIC-ARTS'!N20</f>
        <v>85</v>
      </c>
      <c r="AR19" s="208">
        <f>'MUSIC-ARTS'!R20</f>
        <v>86</v>
      </c>
      <c r="AS19" s="242">
        <f t="shared" si="1"/>
        <v>85</v>
      </c>
      <c r="AT19" s="240">
        <f>ARTS!F20</f>
        <v>0</v>
      </c>
      <c r="AU19" s="270">
        <f>ARTS!J20</f>
        <v>0</v>
      </c>
      <c r="AV19" s="270">
        <f>ARTS!N20</f>
        <v>0</v>
      </c>
      <c r="AW19" s="208">
        <f>ARTS!R20</f>
        <v>0</v>
      </c>
      <c r="AX19" s="241">
        <f t="shared" si="2"/>
        <v>0</v>
      </c>
      <c r="AY19" s="238">
        <f>'PE-HEALTH'!F20</f>
        <v>90</v>
      </c>
      <c r="AZ19" s="270">
        <f>'PE-HEALTH'!J20</f>
        <v>87</v>
      </c>
      <c r="BA19" s="270">
        <f>'PE-HEALTH'!N20</f>
        <v>85</v>
      </c>
      <c r="BB19" s="208">
        <f>'PE-HEALTH'!R20</f>
        <v>95</v>
      </c>
      <c r="BC19" s="242">
        <f t="shared" si="3"/>
        <v>89</v>
      </c>
      <c r="BD19" s="240">
        <f>HEALTH!F20</f>
        <v>0</v>
      </c>
      <c r="BE19" s="270">
        <f>HEALTH!J20</f>
        <v>0</v>
      </c>
      <c r="BF19" s="270">
        <f>HEALTH!N20</f>
        <v>0</v>
      </c>
      <c r="BG19" s="208">
        <f>HEALTH!R20</f>
        <v>0</v>
      </c>
      <c r="BH19" s="241">
        <f t="shared" si="4"/>
        <v>0</v>
      </c>
      <c r="BI19" s="238">
        <f>' MAPEH FINAL'!F20</f>
        <v>88</v>
      </c>
      <c r="BJ19" s="270">
        <f>' MAPEH FINAL'!J20</f>
        <v>86</v>
      </c>
      <c r="BK19" s="270">
        <f>' MAPEH FINAL'!N20</f>
        <v>85</v>
      </c>
      <c r="BL19" s="208">
        <f>' MAPEH FINAL'!R20</f>
        <v>91</v>
      </c>
      <c r="BM19" s="242">
        <f t="shared" si="0"/>
        <v>88</v>
      </c>
      <c r="BN19" s="280">
        <f t="shared" si="5"/>
        <v>86.71875</v>
      </c>
      <c r="BO19" s="281">
        <f t="shared" si="6"/>
        <v>87</v>
      </c>
      <c r="BP19" s="275">
        <f t="shared" si="7"/>
        <v>11</v>
      </c>
      <c r="BQ19" s="275"/>
      <c r="BR19" s="275"/>
      <c r="BS19" s="204">
        <v>9</v>
      </c>
      <c r="BT19" s="119" t="s">
        <v>26</v>
      </c>
      <c r="BU19" s="210"/>
      <c r="BV19" s="275"/>
      <c r="BW19" s="275"/>
      <c r="BX19" s="275"/>
      <c r="BY19" s="275"/>
      <c r="BZ19" s="275"/>
      <c r="CA19" s="275"/>
      <c r="CB19" s="275"/>
      <c r="CC19" s="275"/>
      <c r="CD19" s="275"/>
      <c r="CE19" s="275"/>
      <c r="CF19" s="275"/>
      <c r="CG19" s="275"/>
      <c r="CH19" s="275"/>
      <c r="CI19" s="275"/>
      <c r="CJ19" s="275"/>
      <c r="CK19" s="275"/>
      <c r="CL19" s="275"/>
      <c r="CM19" s="275"/>
      <c r="CN19" s="275"/>
      <c r="CO19" s="275"/>
      <c r="CP19" s="275"/>
      <c r="CQ19" s="275"/>
      <c r="CR19" s="275"/>
      <c r="CS19" s="275"/>
      <c r="CT19" s="275"/>
      <c r="CU19" s="275"/>
      <c r="CV19" s="275"/>
      <c r="CW19" s="275"/>
      <c r="CX19" s="275"/>
      <c r="CY19" s="275"/>
      <c r="CZ19" s="275"/>
      <c r="DA19" s="275"/>
      <c r="DB19" s="275"/>
      <c r="DC19" s="275"/>
      <c r="DD19" s="275"/>
      <c r="DE19" s="275"/>
      <c r="DF19" s="275"/>
      <c r="DG19" s="275"/>
      <c r="DH19" s="275"/>
      <c r="DI19" s="275"/>
      <c r="DJ19" s="275"/>
      <c r="DK19" s="275"/>
      <c r="DL19" s="275"/>
      <c r="DM19" s="275"/>
      <c r="DN19" s="275"/>
      <c r="DO19" s="275"/>
      <c r="DP19" s="275"/>
      <c r="DQ19" s="275"/>
      <c r="DR19" s="275"/>
      <c r="DS19" s="275"/>
      <c r="DT19" s="275"/>
      <c r="DU19" s="275"/>
    </row>
    <row r="20" s="168" customFormat="1" ht="18" customHeight="1" spans="1:125">
      <c r="A20" s="204">
        <f>'INPUT DATA'!A21</f>
        <v>10</v>
      </c>
      <c r="B20" s="205" t="str">
        <f>'INPUT DATA'!B21:D21</f>
        <v>LARODA, STEVEN S.</v>
      </c>
      <c r="C20" s="206"/>
      <c r="D20" s="206"/>
      <c r="E20" s="206"/>
      <c r="F20" s="207">
        <f>FILIPINO!F21</f>
        <v>75</v>
      </c>
      <c r="G20" s="208">
        <f>FILIPINO!J21</f>
        <v>79</v>
      </c>
      <c r="H20" s="209">
        <f>FILIPINO!N21</f>
        <v>82</v>
      </c>
      <c r="I20" s="208">
        <f>FILIPINO!R21</f>
        <v>85</v>
      </c>
      <c r="J20" s="237">
        <f>FILIPINO!V21</f>
        <v>80.25</v>
      </c>
      <c r="K20" s="238">
        <f>ENGLISH!F21</f>
        <v>75</v>
      </c>
      <c r="L20" s="208">
        <f>ENGLISH!J21</f>
        <v>77</v>
      </c>
      <c r="M20" s="208">
        <f>ENGLISH!N21</f>
        <v>82</v>
      </c>
      <c r="N20" s="208">
        <f>ENGLISH!R21</f>
        <v>80</v>
      </c>
      <c r="O20" s="242">
        <f>ENGLISH!V21</f>
        <v>78.5</v>
      </c>
      <c r="P20" s="240">
        <f>MATHEMATICS!F21</f>
        <v>77</v>
      </c>
      <c r="Q20" s="208">
        <f>MATHEMATICS!J21</f>
        <v>79</v>
      </c>
      <c r="R20" s="208">
        <f>MATHEMATICS!N21</f>
        <v>79</v>
      </c>
      <c r="S20" s="208">
        <f>MATHEMATICS!R21</f>
        <v>80</v>
      </c>
      <c r="T20" s="241">
        <f>MATHEMATICS!V21</f>
        <v>78.75</v>
      </c>
      <c r="U20" s="238">
        <f>SCIENCE!F21</f>
        <v>84</v>
      </c>
      <c r="V20" s="208">
        <f>SCIENCE!J21</f>
        <v>84</v>
      </c>
      <c r="W20" s="209">
        <f>SCIENCE!N21</f>
        <v>83</v>
      </c>
      <c r="X20" s="254">
        <f>SCIENCE!R21</f>
        <v>84</v>
      </c>
      <c r="Y20" s="242">
        <f>SCIENCE!V21</f>
        <v>83.75</v>
      </c>
      <c r="Z20" s="240">
        <f>AP!F21</f>
        <v>71</v>
      </c>
      <c r="AA20" s="208">
        <f>AP!J21</f>
        <v>75</v>
      </c>
      <c r="AB20" s="208">
        <f>AP!N21</f>
        <v>75</v>
      </c>
      <c r="AC20" s="208">
        <f>AP!R21</f>
        <v>82</v>
      </c>
      <c r="AD20" s="241">
        <f>AP!V21</f>
        <v>75.75</v>
      </c>
      <c r="AE20" s="240">
        <f>VALED!F21</f>
        <v>80</v>
      </c>
      <c r="AF20" s="254">
        <f>VALED!J21</f>
        <v>81</v>
      </c>
      <c r="AG20" s="254">
        <f>VALED!N21</f>
        <v>80</v>
      </c>
      <c r="AH20" s="208">
        <f>VALED!R21</f>
        <v>82</v>
      </c>
      <c r="AI20" s="242">
        <f>VALED!V21</f>
        <v>80.75</v>
      </c>
      <c r="AJ20" s="268">
        <f>TLE!F21</f>
        <v>76</v>
      </c>
      <c r="AK20" s="208">
        <f>TLE!J21</f>
        <v>77</v>
      </c>
      <c r="AL20" s="208">
        <f>TLE!N21</f>
        <v>75</v>
      </c>
      <c r="AM20" s="208">
        <f>TLE!R21</f>
        <v>80</v>
      </c>
      <c r="AN20" s="241">
        <f>TLE!V21</f>
        <v>77</v>
      </c>
      <c r="AO20" s="238">
        <f>'MUSIC-ARTS'!F21</f>
        <v>84</v>
      </c>
      <c r="AP20" s="270">
        <f>'MUSIC-ARTS'!J21</f>
        <v>78</v>
      </c>
      <c r="AQ20" s="270">
        <f>'MUSIC-ARTS'!N21</f>
        <v>79</v>
      </c>
      <c r="AR20" s="208">
        <f>'MUSIC-ARTS'!R21</f>
        <v>80</v>
      </c>
      <c r="AS20" s="242">
        <f t="shared" si="1"/>
        <v>80</v>
      </c>
      <c r="AT20" s="240">
        <f>ARTS!F21</f>
        <v>0</v>
      </c>
      <c r="AU20" s="270">
        <f>ARTS!J21</f>
        <v>0</v>
      </c>
      <c r="AV20" s="270">
        <f>ARTS!N21</f>
        <v>0</v>
      </c>
      <c r="AW20" s="208">
        <f>ARTS!R21</f>
        <v>0</v>
      </c>
      <c r="AX20" s="241">
        <f t="shared" si="2"/>
        <v>0</v>
      </c>
      <c r="AY20" s="238">
        <f>'PE-HEALTH'!F21</f>
        <v>86</v>
      </c>
      <c r="AZ20" s="270">
        <f>'PE-HEALTH'!J21</f>
        <v>84</v>
      </c>
      <c r="BA20" s="270">
        <f>'PE-HEALTH'!N21</f>
        <v>80</v>
      </c>
      <c r="BB20" s="208">
        <f>'PE-HEALTH'!R21</f>
        <v>90</v>
      </c>
      <c r="BC20" s="242">
        <f t="shared" si="3"/>
        <v>85</v>
      </c>
      <c r="BD20" s="240">
        <f>HEALTH!F21</f>
        <v>0</v>
      </c>
      <c r="BE20" s="270">
        <f>HEALTH!J21</f>
        <v>0</v>
      </c>
      <c r="BF20" s="270">
        <f>HEALTH!N21</f>
        <v>0</v>
      </c>
      <c r="BG20" s="208">
        <f>HEALTH!R21</f>
        <v>0</v>
      </c>
      <c r="BH20" s="241">
        <f t="shared" si="4"/>
        <v>0</v>
      </c>
      <c r="BI20" s="238">
        <f>' MAPEH FINAL'!F21</f>
        <v>85</v>
      </c>
      <c r="BJ20" s="270">
        <f>' MAPEH FINAL'!J21</f>
        <v>81</v>
      </c>
      <c r="BK20" s="270">
        <f>' MAPEH FINAL'!N21</f>
        <v>80</v>
      </c>
      <c r="BL20" s="208">
        <f>' MAPEH FINAL'!R21</f>
        <v>85</v>
      </c>
      <c r="BM20" s="242">
        <f t="shared" si="0"/>
        <v>83</v>
      </c>
      <c r="BN20" s="280">
        <f t="shared" si="5"/>
        <v>79.71875</v>
      </c>
      <c r="BO20" s="281">
        <f t="shared" si="6"/>
        <v>80</v>
      </c>
      <c r="BP20" s="169">
        <f t="shared" si="7"/>
        <v>27</v>
      </c>
      <c r="BQ20" s="169"/>
      <c r="BR20" s="169"/>
      <c r="BS20" s="204">
        <v>10</v>
      </c>
      <c r="BT20" s="152" t="s">
        <v>27</v>
      </c>
      <c r="BU20" s="206"/>
      <c r="BV20" s="169"/>
      <c r="BW20" s="169"/>
      <c r="BX20" s="169"/>
      <c r="BY20" s="169"/>
      <c r="BZ20" s="169"/>
      <c r="CA20" s="169"/>
      <c r="CB20" s="169"/>
      <c r="CC20" s="169"/>
      <c r="CD20" s="169"/>
      <c r="CE20" s="169"/>
      <c r="CF20" s="169"/>
      <c r="CG20" s="169"/>
      <c r="CH20" s="169"/>
      <c r="CI20" s="169"/>
      <c r="CJ20" s="169"/>
      <c r="CK20" s="169"/>
      <c r="CL20" s="169"/>
      <c r="CM20" s="169"/>
      <c r="CN20" s="169"/>
      <c r="CO20" s="169"/>
      <c r="CP20" s="169"/>
      <c r="CQ20" s="169"/>
      <c r="CR20" s="169"/>
      <c r="CS20" s="169"/>
      <c r="CT20" s="169"/>
      <c r="CU20" s="169"/>
      <c r="CV20" s="169"/>
      <c r="CW20" s="169"/>
      <c r="CX20" s="169"/>
      <c r="CY20" s="169"/>
      <c r="CZ20" s="169"/>
      <c r="DA20" s="169"/>
      <c r="DB20" s="169"/>
      <c r="DC20" s="169"/>
      <c r="DD20" s="169"/>
      <c r="DE20" s="169"/>
      <c r="DF20" s="169"/>
      <c r="DG20" s="169"/>
      <c r="DH20" s="169"/>
      <c r="DI20" s="169"/>
      <c r="DJ20" s="169"/>
      <c r="DK20" s="169"/>
      <c r="DL20" s="169"/>
      <c r="DM20" s="169"/>
      <c r="DN20" s="169"/>
      <c r="DO20" s="169"/>
      <c r="DP20" s="169"/>
      <c r="DQ20" s="169"/>
      <c r="DR20" s="169"/>
      <c r="DS20" s="169"/>
      <c r="DT20" s="169"/>
      <c r="DU20" s="169"/>
    </row>
    <row r="21" s="168" customFormat="1" ht="18" customHeight="1" spans="1:125">
      <c r="A21" s="204">
        <f>'INPUT DATA'!A22</f>
        <v>11</v>
      </c>
      <c r="B21" s="205" t="str">
        <f>'INPUT DATA'!B22:D22</f>
        <v>MERINO, SEDRIK R.</v>
      </c>
      <c r="C21" s="206"/>
      <c r="D21" s="206"/>
      <c r="E21" s="206"/>
      <c r="F21" s="207">
        <f>FILIPINO!F22</f>
        <v>74</v>
      </c>
      <c r="G21" s="208">
        <f>FILIPINO!J22</f>
        <v>75</v>
      </c>
      <c r="H21" s="209">
        <f>FILIPINO!N22</f>
        <v>74</v>
      </c>
      <c r="I21" s="208">
        <f>FILIPINO!R22</f>
        <v>78</v>
      </c>
      <c r="J21" s="237">
        <f>FILIPINO!V22</f>
        <v>75.25</v>
      </c>
      <c r="K21" s="238">
        <f>ENGLISH!F22</f>
        <v>65</v>
      </c>
      <c r="L21" s="208">
        <f>ENGLISH!J22</f>
        <v>73</v>
      </c>
      <c r="M21" s="208">
        <f>ENGLISH!N22</f>
        <v>75</v>
      </c>
      <c r="N21" s="208">
        <f>ENGLISH!R22</f>
        <v>65</v>
      </c>
      <c r="O21" s="242">
        <f>ENGLISH!V22</f>
        <v>69.5</v>
      </c>
      <c r="P21" s="240">
        <f>MATHEMATICS!F22</f>
        <v>0</v>
      </c>
      <c r="Q21" s="208">
        <f>MATHEMATICS!J22</f>
        <v>0</v>
      </c>
      <c r="R21" s="208">
        <f>MATHEMATICS!N22</f>
        <v>0</v>
      </c>
      <c r="S21" s="208">
        <f>MATHEMATICS!R22</f>
        <v>0</v>
      </c>
      <c r="T21" s="241">
        <f>MATHEMATICS!V22</f>
        <v>0</v>
      </c>
      <c r="U21" s="238">
        <f>SCIENCE!F22</f>
        <v>76</v>
      </c>
      <c r="V21" s="208">
        <f>SCIENCE!J22</f>
        <v>76</v>
      </c>
      <c r="W21" s="209">
        <f>SCIENCE!N22</f>
        <v>75</v>
      </c>
      <c r="X21" s="254">
        <f>SCIENCE!R22</f>
        <v>72</v>
      </c>
      <c r="Y21" s="242">
        <f>SCIENCE!V22</f>
        <v>74.75</v>
      </c>
      <c r="Z21" s="240">
        <f>AP!F22</f>
        <v>70</v>
      </c>
      <c r="AA21" s="208">
        <f>AP!J22</f>
        <v>70</v>
      </c>
      <c r="AB21" s="208">
        <f>AP!N22</f>
        <v>75</v>
      </c>
      <c r="AC21" s="208">
        <f>AP!R22</f>
        <v>65</v>
      </c>
      <c r="AD21" s="241">
        <f>AP!V22</f>
        <v>70</v>
      </c>
      <c r="AE21" s="240">
        <f>VALED!F22</f>
        <v>80</v>
      </c>
      <c r="AF21" s="254">
        <f>VALED!J22</f>
        <v>70</v>
      </c>
      <c r="AG21" s="254">
        <f>VALED!N22</f>
        <v>70</v>
      </c>
      <c r="AH21" s="208">
        <f>VALED!R22</f>
        <v>60</v>
      </c>
      <c r="AI21" s="242">
        <f>VALED!V22</f>
        <v>70</v>
      </c>
      <c r="AJ21" s="268">
        <f>TLE!F22</f>
        <v>76</v>
      </c>
      <c r="AK21" s="208">
        <f>TLE!J22</f>
        <v>70</v>
      </c>
      <c r="AL21" s="208">
        <f>TLE!N22</f>
        <v>70</v>
      </c>
      <c r="AM21" s="208">
        <f>TLE!R22</f>
        <v>70</v>
      </c>
      <c r="AN21" s="241">
        <f>TLE!V22</f>
        <v>71.5</v>
      </c>
      <c r="AO21" s="238">
        <f>'MUSIC-ARTS'!F22</f>
        <v>80</v>
      </c>
      <c r="AP21" s="270">
        <f>'MUSIC-ARTS'!J22</f>
        <v>70</v>
      </c>
      <c r="AQ21" s="270">
        <f>'MUSIC-ARTS'!N22</f>
        <v>70</v>
      </c>
      <c r="AR21" s="208">
        <f>'MUSIC-ARTS'!R22</f>
        <v>70</v>
      </c>
      <c r="AS21" s="242">
        <f t="shared" si="1"/>
        <v>73</v>
      </c>
      <c r="AT21" s="240">
        <f>ARTS!F22</f>
        <v>0</v>
      </c>
      <c r="AU21" s="270">
        <f>ARTS!J22</f>
        <v>0</v>
      </c>
      <c r="AV21" s="270">
        <f>ARTS!N22</f>
        <v>0</v>
      </c>
      <c r="AW21" s="208">
        <f>ARTS!R22</f>
        <v>0</v>
      </c>
      <c r="AX21" s="241">
        <f t="shared" si="2"/>
        <v>0</v>
      </c>
      <c r="AY21" s="238">
        <f>'PE-HEALTH'!F22</f>
        <v>85</v>
      </c>
      <c r="AZ21" s="270">
        <f>'PE-HEALTH'!J22</f>
        <v>72</v>
      </c>
      <c r="BA21" s="270">
        <f>'PE-HEALTH'!N22</f>
        <v>70</v>
      </c>
      <c r="BB21" s="208">
        <f>'PE-HEALTH'!R22</f>
        <v>70</v>
      </c>
      <c r="BC21" s="242">
        <f t="shared" si="3"/>
        <v>74</v>
      </c>
      <c r="BD21" s="240">
        <f>HEALTH!F22</f>
        <v>0</v>
      </c>
      <c r="BE21" s="270">
        <f>HEALTH!J22</f>
        <v>0</v>
      </c>
      <c r="BF21" s="270">
        <f>HEALTH!N22</f>
        <v>0</v>
      </c>
      <c r="BG21" s="208">
        <f>HEALTH!R22</f>
        <v>0</v>
      </c>
      <c r="BH21" s="241">
        <f t="shared" si="4"/>
        <v>0</v>
      </c>
      <c r="BI21" s="238">
        <f>' MAPEH FINAL'!F22</f>
        <v>83</v>
      </c>
      <c r="BJ21" s="270">
        <f>' MAPEH FINAL'!J22</f>
        <v>71</v>
      </c>
      <c r="BK21" s="270">
        <f>' MAPEH FINAL'!N22</f>
        <v>70</v>
      </c>
      <c r="BL21" s="208">
        <f>' MAPEH FINAL'!R22</f>
        <v>70</v>
      </c>
      <c r="BM21" s="242">
        <f t="shared" si="0"/>
        <v>74</v>
      </c>
      <c r="BN21" s="280">
        <f t="shared" si="5"/>
        <v>63.125</v>
      </c>
      <c r="BO21" s="281">
        <f t="shared" si="6"/>
        <v>63</v>
      </c>
      <c r="BP21" s="169">
        <f t="shared" si="7"/>
        <v>33</v>
      </c>
      <c r="BQ21" s="169"/>
      <c r="BR21" s="169"/>
      <c r="BS21" s="204">
        <v>11</v>
      </c>
      <c r="BT21" s="152" t="s">
        <v>28</v>
      </c>
      <c r="BU21" s="206"/>
      <c r="BV21" s="169"/>
      <c r="BW21" s="169"/>
      <c r="BX21" s="169"/>
      <c r="BY21" s="169"/>
      <c r="BZ21" s="169"/>
      <c r="CA21" s="169"/>
      <c r="CB21" s="169"/>
      <c r="CC21" s="169"/>
      <c r="CD21" s="169"/>
      <c r="CE21" s="169"/>
      <c r="CF21" s="169"/>
      <c r="CG21" s="169"/>
      <c r="CH21" s="169"/>
      <c r="CI21" s="169"/>
      <c r="CJ21" s="169"/>
      <c r="CK21" s="169"/>
      <c r="CL21" s="169"/>
      <c r="CM21" s="169"/>
      <c r="CN21" s="169"/>
      <c r="CO21" s="169"/>
      <c r="CP21" s="169"/>
      <c r="CQ21" s="169"/>
      <c r="CR21" s="169"/>
      <c r="CS21" s="169"/>
      <c r="CT21" s="169"/>
      <c r="CU21" s="169"/>
      <c r="CV21" s="169"/>
      <c r="CW21" s="169"/>
      <c r="CX21" s="169"/>
      <c r="CY21" s="169"/>
      <c r="CZ21" s="169"/>
      <c r="DA21" s="169"/>
      <c r="DB21" s="169"/>
      <c r="DC21" s="169"/>
      <c r="DD21" s="169"/>
      <c r="DE21" s="169"/>
      <c r="DF21" s="169"/>
      <c r="DG21" s="169"/>
      <c r="DH21" s="169"/>
      <c r="DI21" s="169"/>
      <c r="DJ21" s="169"/>
      <c r="DK21" s="169"/>
      <c r="DL21" s="169"/>
      <c r="DM21" s="169"/>
      <c r="DN21" s="169"/>
      <c r="DO21" s="169"/>
      <c r="DP21" s="169"/>
      <c r="DQ21" s="169"/>
      <c r="DR21" s="169"/>
      <c r="DS21" s="169"/>
      <c r="DT21" s="169"/>
      <c r="DU21" s="169"/>
    </row>
    <row r="22" s="168" customFormat="1" ht="18" customHeight="1" spans="1:125">
      <c r="A22" s="204">
        <f>'INPUT DATA'!A23</f>
        <v>12</v>
      </c>
      <c r="B22" s="205" t="str">
        <f>'INPUT DATA'!B23:D23</f>
        <v>MONTERAS, VINCENT S.</v>
      </c>
      <c r="C22" s="206"/>
      <c r="D22" s="206"/>
      <c r="E22" s="206"/>
      <c r="F22" s="207">
        <f>FILIPINO!F23</f>
        <v>85</v>
      </c>
      <c r="G22" s="208">
        <f>FILIPINO!J23</f>
        <v>77</v>
      </c>
      <c r="H22" s="209">
        <f>FILIPINO!N23</f>
        <v>76</v>
      </c>
      <c r="I22" s="208">
        <f>FILIPINO!R23</f>
        <v>73</v>
      </c>
      <c r="J22" s="237">
        <f>FILIPINO!V23</f>
        <v>77.75</v>
      </c>
      <c r="K22" s="238">
        <f>ENGLISH!F23</f>
        <v>81</v>
      </c>
      <c r="L22" s="208">
        <f>ENGLISH!J23</f>
        <v>78</v>
      </c>
      <c r="M22" s="208">
        <f>ENGLISH!N23</f>
        <v>75</v>
      </c>
      <c r="N22" s="208">
        <f>ENGLISH!R23</f>
        <v>81</v>
      </c>
      <c r="O22" s="242">
        <f>ENGLISH!V23</f>
        <v>78.75</v>
      </c>
      <c r="P22" s="240">
        <f>MATHEMATICS!F23</f>
        <v>77</v>
      </c>
      <c r="Q22" s="208">
        <f>MATHEMATICS!J23</f>
        <v>79</v>
      </c>
      <c r="R22" s="208">
        <f>MATHEMATICS!N23</f>
        <v>79</v>
      </c>
      <c r="S22" s="208">
        <f>MATHEMATICS!R23</f>
        <v>80</v>
      </c>
      <c r="T22" s="241">
        <f>MATHEMATICS!V23</f>
        <v>78.75</v>
      </c>
      <c r="U22" s="238">
        <f>SCIENCE!F23</f>
        <v>85</v>
      </c>
      <c r="V22" s="208">
        <f>SCIENCE!J23</f>
        <v>82</v>
      </c>
      <c r="W22" s="209">
        <f>SCIENCE!N23</f>
        <v>77</v>
      </c>
      <c r="X22" s="254">
        <f>SCIENCE!R23</f>
        <v>77</v>
      </c>
      <c r="Y22" s="242">
        <f>SCIENCE!V23</f>
        <v>80.25</v>
      </c>
      <c r="Z22" s="240">
        <f>AP!F23</f>
        <v>79</v>
      </c>
      <c r="AA22" s="208">
        <f>AP!J23</f>
        <v>77</v>
      </c>
      <c r="AB22" s="208">
        <f>AP!N23</f>
        <v>79</v>
      </c>
      <c r="AC22" s="208">
        <f>AP!R23</f>
        <v>76</v>
      </c>
      <c r="AD22" s="241">
        <f>AP!V23</f>
        <v>77.75</v>
      </c>
      <c r="AE22" s="240">
        <f>VALED!F23</f>
        <v>80</v>
      </c>
      <c r="AF22" s="254">
        <f>VALED!J23</f>
        <v>80</v>
      </c>
      <c r="AG22" s="254">
        <f>VALED!N23</f>
        <v>80</v>
      </c>
      <c r="AH22" s="208">
        <f>VALED!R23</f>
        <v>82</v>
      </c>
      <c r="AI22" s="242">
        <f>VALED!V23</f>
        <v>80.5</v>
      </c>
      <c r="AJ22" s="268">
        <f>TLE!F23</f>
        <v>84</v>
      </c>
      <c r="AK22" s="208">
        <f>TLE!J23</f>
        <v>73</v>
      </c>
      <c r="AL22" s="208">
        <f>TLE!N23</f>
        <v>76</v>
      </c>
      <c r="AM22" s="208">
        <f>TLE!R23</f>
        <v>83</v>
      </c>
      <c r="AN22" s="241">
        <f>TLE!V23</f>
        <v>79</v>
      </c>
      <c r="AO22" s="238">
        <f>'MUSIC-ARTS'!F23</f>
        <v>84</v>
      </c>
      <c r="AP22" s="270">
        <f>'MUSIC-ARTS'!J23</f>
        <v>77</v>
      </c>
      <c r="AQ22" s="270">
        <f>'MUSIC-ARTS'!N23</f>
        <v>80</v>
      </c>
      <c r="AR22" s="208">
        <f>'MUSIC-ARTS'!R23</f>
        <v>77</v>
      </c>
      <c r="AS22" s="242">
        <f t="shared" si="1"/>
        <v>80</v>
      </c>
      <c r="AT22" s="240">
        <f>ARTS!F23</f>
        <v>0</v>
      </c>
      <c r="AU22" s="270">
        <f>ARTS!J23</f>
        <v>0</v>
      </c>
      <c r="AV22" s="270">
        <f>ARTS!N23</f>
        <v>0</v>
      </c>
      <c r="AW22" s="208">
        <f>ARTS!R23</f>
        <v>0</v>
      </c>
      <c r="AX22" s="241">
        <f t="shared" si="2"/>
        <v>0</v>
      </c>
      <c r="AY22" s="238">
        <f>'PE-HEALTH'!F23</f>
        <v>89</v>
      </c>
      <c r="AZ22" s="270">
        <f>'PE-HEALTH'!J23</f>
        <v>80</v>
      </c>
      <c r="BA22" s="270">
        <f>'PE-HEALTH'!N23</f>
        <v>80</v>
      </c>
      <c r="BB22" s="208">
        <f>'PE-HEALTH'!R23</f>
        <v>78</v>
      </c>
      <c r="BC22" s="242">
        <f t="shared" si="3"/>
        <v>82</v>
      </c>
      <c r="BD22" s="240">
        <f>HEALTH!F23</f>
        <v>0</v>
      </c>
      <c r="BE22" s="270">
        <f>HEALTH!J23</f>
        <v>0</v>
      </c>
      <c r="BF22" s="270">
        <f>HEALTH!N23</f>
        <v>0</v>
      </c>
      <c r="BG22" s="208">
        <f>HEALTH!R23</f>
        <v>0</v>
      </c>
      <c r="BH22" s="241">
        <f t="shared" si="4"/>
        <v>0</v>
      </c>
      <c r="BI22" s="238">
        <f>' MAPEH FINAL'!F23</f>
        <v>87</v>
      </c>
      <c r="BJ22" s="270">
        <f>' MAPEH FINAL'!J23</f>
        <v>79</v>
      </c>
      <c r="BK22" s="270">
        <f>' MAPEH FINAL'!N23</f>
        <v>80</v>
      </c>
      <c r="BL22" s="208">
        <f>' MAPEH FINAL'!R23</f>
        <v>78</v>
      </c>
      <c r="BM22" s="242">
        <f t="shared" si="0"/>
        <v>81</v>
      </c>
      <c r="BN22" s="280">
        <f t="shared" si="5"/>
        <v>79.21875</v>
      </c>
      <c r="BO22" s="281">
        <f t="shared" si="6"/>
        <v>79</v>
      </c>
      <c r="BP22" s="283">
        <f t="shared" si="7"/>
        <v>24</v>
      </c>
      <c r="BQ22" s="169"/>
      <c r="BR22" s="169"/>
      <c r="BS22" s="204">
        <v>12</v>
      </c>
      <c r="BT22" s="119" t="s">
        <v>29</v>
      </c>
      <c r="BU22" s="206"/>
      <c r="BV22" s="169"/>
      <c r="BW22" s="169"/>
      <c r="BX22" s="169"/>
      <c r="BY22" s="169"/>
      <c r="BZ22" s="169"/>
      <c r="CA22" s="169"/>
      <c r="CB22" s="169"/>
      <c r="CC22" s="169"/>
      <c r="CD22" s="169"/>
      <c r="CE22" s="169"/>
      <c r="CF22" s="169"/>
      <c r="CG22" s="169"/>
      <c r="CH22" s="169"/>
      <c r="CI22" s="169"/>
      <c r="CJ22" s="169"/>
      <c r="CK22" s="169"/>
      <c r="CL22" s="169"/>
      <c r="CM22" s="169"/>
      <c r="CN22" s="169"/>
      <c r="CO22" s="169"/>
      <c r="CP22" s="169"/>
      <c r="CQ22" s="169"/>
      <c r="CR22" s="169"/>
      <c r="CS22" s="169"/>
      <c r="CT22" s="169"/>
      <c r="CU22" s="169"/>
      <c r="CV22" s="169"/>
      <c r="CW22" s="169"/>
      <c r="CX22" s="169"/>
      <c r="CY22" s="169"/>
      <c r="CZ22" s="169"/>
      <c r="DA22" s="169"/>
      <c r="DB22" s="169"/>
      <c r="DC22" s="169"/>
      <c r="DD22" s="169"/>
      <c r="DE22" s="169"/>
      <c r="DF22" s="169"/>
      <c r="DG22" s="169"/>
      <c r="DH22" s="169"/>
      <c r="DI22" s="169"/>
      <c r="DJ22" s="169"/>
      <c r="DK22" s="169"/>
      <c r="DL22" s="169"/>
      <c r="DM22" s="169"/>
      <c r="DN22" s="169"/>
      <c r="DO22" s="169"/>
      <c r="DP22" s="169"/>
      <c r="DQ22" s="169"/>
      <c r="DR22" s="169"/>
      <c r="DS22" s="169"/>
      <c r="DT22" s="169"/>
      <c r="DU22" s="169"/>
    </row>
    <row r="23" s="167" customFormat="1" ht="18" customHeight="1" spans="1:125">
      <c r="A23" s="204">
        <f>'INPUT DATA'!A24</f>
        <v>13</v>
      </c>
      <c r="B23" s="205" t="str">
        <f>'INPUT DATA'!B24:D24</f>
        <v>NACAWILI, ANDRIE L.</v>
      </c>
      <c r="C23" s="210"/>
      <c r="D23" s="210"/>
      <c r="E23" s="210"/>
      <c r="F23" s="207">
        <f>FILIPINO!F24</f>
        <v>85</v>
      </c>
      <c r="G23" s="208">
        <f>FILIPINO!J24</f>
        <v>85</v>
      </c>
      <c r="H23" s="209">
        <f>FILIPINO!N24</f>
        <v>82</v>
      </c>
      <c r="I23" s="208">
        <f>FILIPINO!R24</f>
        <v>82</v>
      </c>
      <c r="J23" s="241">
        <f>FILIPINO!V24</f>
        <v>83.5</v>
      </c>
      <c r="K23" s="238">
        <f>ENGLISH!F24</f>
        <v>80</v>
      </c>
      <c r="L23" s="208">
        <f>ENGLISH!J24</f>
        <v>82</v>
      </c>
      <c r="M23" s="208">
        <f>ENGLISH!N24</f>
        <v>91</v>
      </c>
      <c r="N23" s="208">
        <f>ENGLISH!R24</f>
        <v>90</v>
      </c>
      <c r="O23" s="242">
        <f>ENGLISH!V24</f>
        <v>85.75</v>
      </c>
      <c r="P23" s="240">
        <f>MATHEMATICS!F24</f>
        <v>86</v>
      </c>
      <c r="Q23" s="208">
        <f>MATHEMATICS!J24</f>
        <v>89</v>
      </c>
      <c r="R23" s="208">
        <f>MATHEMATICS!N24</f>
        <v>89</v>
      </c>
      <c r="S23" s="208">
        <f>MATHEMATICS!R24</f>
        <v>90</v>
      </c>
      <c r="T23" s="241">
        <f>MATHEMATICS!V24</f>
        <v>88.5</v>
      </c>
      <c r="U23" s="238">
        <f>SCIENCE!F24</f>
        <v>90</v>
      </c>
      <c r="V23" s="208">
        <f>SCIENCE!J24</f>
        <v>91</v>
      </c>
      <c r="W23" s="209">
        <f>SCIENCE!N24</f>
        <v>90</v>
      </c>
      <c r="X23" s="254">
        <f>SCIENCE!R24</f>
        <v>89</v>
      </c>
      <c r="Y23" s="242">
        <f>SCIENCE!V24</f>
        <v>90</v>
      </c>
      <c r="Z23" s="240">
        <f>AP!F24</f>
        <v>80</v>
      </c>
      <c r="AA23" s="208">
        <f>AP!J24</f>
        <v>86</v>
      </c>
      <c r="AB23" s="208">
        <f>AP!N24</f>
        <v>83</v>
      </c>
      <c r="AC23" s="208">
        <f>AP!R24</f>
        <v>82</v>
      </c>
      <c r="AD23" s="241">
        <f>AP!V24</f>
        <v>82.75</v>
      </c>
      <c r="AE23" s="240">
        <f>VALED!F24</f>
        <v>81</v>
      </c>
      <c r="AF23" s="254">
        <f>VALED!J24</f>
        <v>88</v>
      </c>
      <c r="AG23" s="254">
        <f>VALED!N24</f>
        <v>89</v>
      </c>
      <c r="AH23" s="208">
        <f>VALED!R24</f>
        <v>91</v>
      </c>
      <c r="AI23" s="242">
        <f>VALED!V24</f>
        <v>87.25</v>
      </c>
      <c r="AJ23" s="268">
        <f>TLE!F24</f>
        <v>76</v>
      </c>
      <c r="AK23" s="208">
        <f>TLE!J24</f>
        <v>87</v>
      </c>
      <c r="AL23" s="208">
        <f>TLE!N24</f>
        <v>79</v>
      </c>
      <c r="AM23" s="208">
        <f>TLE!R24</f>
        <v>85</v>
      </c>
      <c r="AN23" s="241">
        <f>TLE!V24</f>
        <v>81.75</v>
      </c>
      <c r="AO23" s="238">
        <f>'MUSIC-ARTS'!F24</f>
        <v>82</v>
      </c>
      <c r="AP23" s="270">
        <f>'MUSIC-ARTS'!J24</f>
        <v>83</v>
      </c>
      <c r="AQ23" s="270">
        <f>'MUSIC-ARTS'!N24</f>
        <v>85</v>
      </c>
      <c r="AR23" s="208">
        <f>'MUSIC-ARTS'!R24</f>
        <v>86</v>
      </c>
      <c r="AS23" s="242">
        <f t="shared" si="1"/>
        <v>84</v>
      </c>
      <c r="AT23" s="240">
        <f>ARTS!F24</f>
        <v>0</v>
      </c>
      <c r="AU23" s="270">
        <f>ARTS!J24</f>
        <v>0</v>
      </c>
      <c r="AV23" s="270">
        <f>ARTS!N24</f>
        <v>0</v>
      </c>
      <c r="AW23" s="208">
        <f>ARTS!R24</f>
        <v>0</v>
      </c>
      <c r="AX23" s="241">
        <f t="shared" si="2"/>
        <v>0</v>
      </c>
      <c r="AY23" s="238">
        <f>'PE-HEALTH'!F24</f>
        <v>86</v>
      </c>
      <c r="AZ23" s="270">
        <f>'PE-HEALTH'!J24</f>
        <v>87</v>
      </c>
      <c r="BA23" s="270">
        <f>'PE-HEALTH'!N24</f>
        <v>87</v>
      </c>
      <c r="BB23" s="208">
        <f>'PE-HEALTH'!R24</f>
        <v>90</v>
      </c>
      <c r="BC23" s="242">
        <f t="shared" si="3"/>
        <v>88</v>
      </c>
      <c r="BD23" s="240">
        <f>HEALTH!F24</f>
        <v>0</v>
      </c>
      <c r="BE23" s="270">
        <f>HEALTH!J24</f>
        <v>0</v>
      </c>
      <c r="BF23" s="270">
        <f>HEALTH!N24</f>
        <v>0</v>
      </c>
      <c r="BG23" s="208">
        <f>HEALTH!R24</f>
        <v>0</v>
      </c>
      <c r="BH23" s="241">
        <f t="shared" si="4"/>
        <v>0</v>
      </c>
      <c r="BI23" s="238">
        <f>' MAPEH FINAL'!F24</f>
        <v>84</v>
      </c>
      <c r="BJ23" s="270">
        <f>' MAPEH FINAL'!J24</f>
        <v>85</v>
      </c>
      <c r="BK23" s="270">
        <f>' MAPEH FINAL'!N24</f>
        <v>86</v>
      </c>
      <c r="BL23" s="208">
        <f>' MAPEH FINAL'!R24</f>
        <v>88</v>
      </c>
      <c r="BM23" s="242">
        <f t="shared" si="0"/>
        <v>86</v>
      </c>
      <c r="BN23" s="280">
        <f t="shared" si="5"/>
        <v>85.6875</v>
      </c>
      <c r="BO23" s="281">
        <f t="shared" si="6"/>
        <v>86</v>
      </c>
      <c r="BP23" s="275">
        <f t="shared" si="7"/>
        <v>8</v>
      </c>
      <c r="BQ23" s="275"/>
      <c r="BR23" s="275"/>
      <c r="BS23" s="204">
        <v>13</v>
      </c>
      <c r="BT23" s="119" t="s">
        <v>30</v>
      </c>
      <c r="BU23" s="210"/>
      <c r="BV23" s="275"/>
      <c r="BW23" s="275"/>
      <c r="BX23" s="275"/>
      <c r="BY23" s="275"/>
      <c r="BZ23" s="275"/>
      <c r="CA23" s="275"/>
      <c r="CB23" s="275"/>
      <c r="CC23" s="275"/>
      <c r="CD23" s="275"/>
      <c r="CE23" s="275"/>
      <c r="CF23" s="275"/>
      <c r="CG23" s="275"/>
      <c r="CH23" s="275"/>
      <c r="CI23" s="275"/>
      <c r="CJ23" s="275"/>
      <c r="CK23" s="275"/>
      <c r="CL23" s="275"/>
      <c r="CM23" s="275"/>
      <c r="CN23" s="275"/>
      <c r="CO23" s="275"/>
      <c r="CP23" s="275"/>
      <c r="CQ23" s="275"/>
      <c r="CR23" s="275"/>
      <c r="CS23" s="275"/>
      <c r="CT23" s="275"/>
      <c r="CU23" s="275"/>
      <c r="CV23" s="275"/>
      <c r="CW23" s="275"/>
      <c r="CX23" s="275"/>
      <c r="CY23" s="275"/>
      <c r="CZ23" s="275"/>
      <c r="DA23" s="275"/>
      <c r="DB23" s="275"/>
      <c r="DC23" s="275"/>
      <c r="DD23" s="275"/>
      <c r="DE23" s="275"/>
      <c r="DF23" s="275"/>
      <c r="DG23" s="275"/>
      <c r="DH23" s="275"/>
      <c r="DI23" s="275"/>
      <c r="DJ23" s="275"/>
      <c r="DK23" s="275"/>
      <c r="DL23" s="275"/>
      <c r="DM23" s="275"/>
      <c r="DN23" s="275"/>
      <c r="DO23" s="275"/>
      <c r="DP23" s="275"/>
      <c r="DQ23" s="275"/>
      <c r="DR23" s="275"/>
      <c r="DS23" s="275"/>
      <c r="DT23" s="275"/>
      <c r="DU23" s="275"/>
    </row>
    <row r="24" s="168" customFormat="1" ht="18" customHeight="1" spans="1:125">
      <c r="A24" s="204">
        <f>'INPUT DATA'!A25</f>
        <v>14</v>
      </c>
      <c r="B24" s="205" t="str">
        <f>'INPUT DATA'!B25:D25</f>
        <v>OLIVERIO, CYREL JAY G.</v>
      </c>
      <c r="C24" s="206"/>
      <c r="D24" s="206"/>
      <c r="E24" s="206"/>
      <c r="F24" s="207">
        <f>FILIPINO!F25</f>
        <v>70</v>
      </c>
      <c r="G24" s="208">
        <f>FILIPINO!J25</f>
        <v>74</v>
      </c>
      <c r="H24" s="209">
        <f>FILIPINO!N25</f>
        <v>72</v>
      </c>
      <c r="I24" s="208">
        <f>FILIPINO!R25</f>
        <v>65</v>
      </c>
      <c r="J24" s="237">
        <f>FILIPINO!V25</f>
        <v>70.25</v>
      </c>
      <c r="K24" s="238">
        <f>ENGLISH!F25</f>
        <v>72</v>
      </c>
      <c r="L24" s="208">
        <f>ENGLISH!J25</f>
        <v>73</v>
      </c>
      <c r="M24" s="208">
        <f>ENGLISH!N25</f>
        <v>76</v>
      </c>
      <c r="N24" s="208">
        <f>ENGLISH!R25</f>
        <v>77</v>
      </c>
      <c r="O24" s="242">
        <f>ENGLISH!V25</f>
        <v>74.5</v>
      </c>
      <c r="P24" s="240">
        <f>MATHEMATICS!F25</f>
        <v>70</v>
      </c>
      <c r="Q24" s="208">
        <f>MATHEMATICS!J25</f>
        <v>70</v>
      </c>
      <c r="R24" s="208">
        <f>MATHEMATICS!N25</f>
        <v>87</v>
      </c>
      <c r="S24" s="208">
        <f>MATHEMATICS!R25</f>
        <v>70</v>
      </c>
      <c r="T24" s="241">
        <f>MATHEMATICS!V25</f>
        <v>74.25</v>
      </c>
      <c r="U24" s="238">
        <f>SCIENCE!F25</f>
        <v>73</v>
      </c>
      <c r="V24" s="208">
        <f>SCIENCE!J25</f>
        <v>73</v>
      </c>
      <c r="W24" s="209">
        <f>SCIENCE!N25</f>
        <v>74</v>
      </c>
      <c r="X24" s="254">
        <f>SCIENCE!R25</f>
        <v>60</v>
      </c>
      <c r="Y24" s="239">
        <f>SCIENCE!V25</f>
        <v>70</v>
      </c>
      <c r="Z24" s="240">
        <f>AP!F25</f>
        <v>70</v>
      </c>
      <c r="AA24" s="208">
        <f>AP!J25</f>
        <v>75</v>
      </c>
      <c r="AB24" s="208">
        <f>AP!N25</f>
        <v>70</v>
      </c>
      <c r="AC24" s="208">
        <f>AP!R25</f>
        <v>65</v>
      </c>
      <c r="AD24" s="241">
        <f>AP!V25</f>
        <v>70</v>
      </c>
      <c r="AE24" s="240">
        <f>VALED!F25</f>
        <v>79</v>
      </c>
      <c r="AF24" s="254">
        <f>VALED!J25</f>
        <v>65</v>
      </c>
      <c r="AG24" s="254">
        <f>VALED!N25</f>
        <v>65</v>
      </c>
      <c r="AH24" s="208">
        <f>VALED!R25</f>
        <v>70</v>
      </c>
      <c r="AI24" s="242">
        <f>VALED!V25</f>
        <v>69.75</v>
      </c>
      <c r="AJ24" s="268">
        <f>TLE!F25</f>
        <v>70</v>
      </c>
      <c r="AK24" s="208">
        <f>TLE!J25</f>
        <v>70</v>
      </c>
      <c r="AL24" s="208">
        <f>TLE!N25</f>
        <v>70</v>
      </c>
      <c r="AM24" s="208">
        <f>TLE!R25</f>
        <v>70</v>
      </c>
      <c r="AN24" s="241">
        <f>TLE!V25</f>
        <v>70</v>
      </c>
      <c r="AO24" s="238">
        <f>'MUSIC-ARTS'!F25</f>
        <v>77</v>
      </c>
      <c r="AP24" s="270">
        <f>'MUSIC-ARTS'!J25</f>
        <v>71</v>
      </c>
      <c r="AQ24" s="270">
        <f>'MUSIC-ARTS'!N25</f>
        <v>75</v>
      </c>
      <c r="AR24" s="208">
        <f>'MUSIC-ARTS'!R25</f>
        <v>70</v>
      </c>
      <c r="AS24" s="242">
        <f t="shared" si="1"/>
        <v>73</v>
      </c>
      <c r="AT24" s="240">
        <f>ARTS!F25</f>
        <v>0</v>
      </c>
      <c r="AU24" s="270">
        <f>ARTS!J25</f>
        <v>0</v>
      </c>
      <c r="AV24" s="270">
        <f>ARTS!N25</f>
        <v>0</v>
      </c>
      <c r="AW24" s="208">
        <f>ARTS!R25</f>
        <v>0</v>
      </c>
      <c r="AX24" s="241">
        <f t="shared" si="2"/>
        <v>0</v>
      </c>
      <c r="AY24" s="238">
        <f>'PE-HEALTH'!F25</f>
        <v>79</v>
      </c>
      <c r="AZ24" s="270">
        <f>'PE-HEALTH'!J25</f>
        <v>73</v>
      </c>
      <c r="BA24" s="270">
        <f>'PE-HEALTH'!N25</f>
        <v>77</v>
      </c>
      <c r="BB24" s="208">
        <f>'PE-HEALTH'!R25</f>
        <v>70</v>
      </c>
      <c r="BC24" s="242">
        <f t="shared" si="3"/>
        <v>75</v>
      </c>
      <c r="BD24" s="240">
        <f>HEALTH!F25</f>
        <v>0</v>
      </c>
      <c r="BE24" s="270">
        <f>HEALTH!J25</f>
        <v>0</v>
      </c>
      <c r="BF24" s="270">
        <f>HEALTH!N25</f>
        <v>0</v>
      </c>
      <c r="BG24" s="208">
        <f>HEALTH!R25</f>
        <v>0</v>
      </c>
      <c r="BH24" s="241">
        <f t="shared" si="4"/>
        <v>0</v>
      </c>
      <c r="BI24" s="238">
        <f>' MAPEH FINAL'!F25</f>
        <v>78</v>
      </c>
      <c r="BJ24" s="270">
        <f>' MAPEH FINAL'!J25</f>
        <v>72</v>
      </c>
      <c r="BK24" s="270">
        <f>' MAPEH FINAL'!N25</f>
        <v>76</v>
      </c>
      <c r="BL24" s="208">
        <f>' MAPEH FINAL'!R25</f>
        <v>70</v>
      </c>
      <c r="BM24" s="242">
        <f t="shared" si="0"/>
        <v>74</v>
      </c>
      <c r="BN24" s="280">
        <f t="shared" si="5"/>
        <v>71.59375</v>
      </c>
      <c r="BO24" s="281">
        <f t="shared" si="6"/>
        <v>72</v>
      </c>
      <c r="BP24" s="169">
        <f t="shared" si="7"/>
        <v>30</v>
      </c>
      <c r="BQ24" s="169"/>
      <c r="BR24" s="169"/>
      <c r="BS24" s="204">
        <v>14</v>
      </c>
      <c r="BT24" s="152" t="s">
        <v>31</v>
      </c>
      <c r="BU24" s="206"/>
      <c r="BV24" s="169"/>
      <c r="BW24" s="169"/>
      <c r="BX24" s="169"/>
      <c r="BY24" s="169"/>
      <c r="BZ24" s="169"/>
      <c r="CA24" s="169"/>
      <c r="CB24" s="169"/>
      <c r="CC24" s="169"/>
      <c r="CD24" s="169"/>
      <c r="CE24" s="169"/>
      <c r="CF24" s="169"/>
      <c r="CG24" s="169"/>
      <c r="CH24" s="169"/>
      <c r="CI24" s="169"/>
      <c r="CJ24" s="169"/>
      <c r="CK24" s="169"/>
      <c r="CL24" s="169"/>
      <c r="CM24" s="169"/>
      <c r="CN24" s="169"/>
      <c r="CO24" s="169"/>
      <c r="CP24" s="169"/>
      <c r="CQ24" s="169"/>
      <c r="CR24" s="169"/>
      <c r="CS24" s="169"/>
      <c r="CT24" s="169"/>
      <c r="CU24" s="169"/>
      <c r="CV24" s="169"/>
      <c r="CW24" s="169"/>
      <c r="CX24" s="169"/>
      <c r="CY24" s="169"/>
      <c r="CZ24" s="169"/>
      <c r="DA24" s="169"/>
      <c r="DB24" s="169"/>
      <c r="DC24" s="169"/>
      <c r="DD24" s="169"/>
      <c r="DE24" s="169"/>
      <c r="DF24" s="169"/>
      <c r="DG24" s="169"/>
      <c r="DH24" s="169"/>
      <c r="DI24" s="169"/>
      <c r="DJ24" s="169"/>
      <c r="DK24" s="169"/>
      <c r="DL24" s="169"/>
      <c r="DM24" s="169"/>
      <c r="DN24" s="169"/>
      <c r="DO24" s="169"/>
      <c r="DP24" s="169"/>
      <c r="DQ24" s="169"/>
      <c r="DR24" s="169"/>
      <c r="DS24" s="169"/>
      <c r="DT24" s="169"/>
      <c r="DU24" s="169"/>
    </row>
    <row r="25" s="168" customFormat="1" ht="18" customHeight="1" spans="1:125">
      <c r="A25" s="204">
        <f>'INPUT DATA'!A26</f>
        <v>15</v>
      </c>
      <c r="B25" s="205" t="str">
        <f>'INPUT DATA'!B26:D26</f>
        <v>ORBITA,BRENN JOHN A.</v>
      </c>
      <c r="C25" s="206"/>
      <c r="D25" s="206"/>
      <c r="E25" s="206"/>
      <c r="F25" s="207">
        <f>FILIPINO!F26</f>
        <v>84</v>
      </c>
      <c r="G25" s="208">
        <f>FILIPINO!J26</f>
        <v>78</v>
      </c>
      <c r="H25" s="209">
        <f>FILIPINO!N26</f>
        <v>88</v>
      </c>
      <c r="I25" s="208">
        <f>FILIPINO!R26</f>
        <v>77</v>
      </c>
      <c r="J25" s="237">
        <f>FILIPINO!V26</f>
        <v>81.75</v>
      </c>
      <c r="K25" s="238">
        <f>ENGLISH!F26</f>
        <v>85</v>
      </c>
      <c r="L25" s="208">
        <f>ENGLISH!J26</f>
        <v>83</v>
      </c>
      <c r="M25" s="208">
        <f>ENGLISH!N26</f>
        <v>80</v>
      </c>
      <c r="N25" s="208">
        <f>ENGLISH!R26</f>
        <v>81</v>
      </c>
      <c r="O25" s="239">
        <f>ENGLISH!V26</f>
        <v>82.25</v>
      </c>
      <c r="P25" s="240">
        <f>MATHEMATICS!F26</f>
        <v>84</v>
      </c>
      <c r="Q25" s="208">
        <f>MATHEMATICS!J26</f>
        <v>86</v>
      </c>
      <c r="R25" s="208">
        <f>MATHEMATICS!N26</f>
        <v>87</v>
      </c>
      <c r="S25" s="208">
        <f>MATHEMATICS!R26</f>
        <v>89</v>
      </c>
      <c r="T25" s="237">
        <f>MATHEMATICS!V26</f>
        <v>86.5</v>
      </c>
      <c r="U25" s="238">
        <f>SCIENCE!F26</f>
        <v>89</v>
      </c>
      <c r="V25" s="208">
        <f>SCIENCE!J26</f>
        <v>88</v>
      </c>
      <c r="W25" s="209">
        <f>SCIENCE!N26</f>
        <v>90</v>
      </c>
      <c r="X25" s="254">
        <f>SCIENCE!R26</f>
        <v>91</v>
      </c>
      <c r="Y25" s="239">
        <f>SCIENCE!V26</f>
        <v>89.5</v>
      </c>
      <c r="Z25" s="240">
        <f>AP!F26</f>
        <v>88</v>
      </c>
      <c r="AA25" s="208">
        <f>AP!J26</f>
        <v>84</v>
      </c>
      <c r="AB25" s="208">
        <f>AP!N26</f>
        <v>84</v>
      </c>
      <c r="AC25" s="208">
        <f>AP!R26</f>
        <v>80</v>
      </c>
      <c r="AD25" s="237">
        <f>AP!V26</f>
        <v>84</v>
      </c>
      <c r="AE25" s="240">
        <f>VALED!F26</f>
        <v>80</v>
      </c>
      <c r="AF25" s="254">
        <f>VALED!J26</f>
        <v>81</v>
      </c>
      <c r="AG25" s="254">
        <f>VALED!N26</f>
        <v>80</v>
      </c>
      <c r="AH25" s="208">
        <f>VALED!R26</f>
        <v>83</v>
      </c>
      <c r="AI25" s="239">
        <f>VALED!V26</f>
        <v>81</v>
      </c>
      <c r="AJ25" s="268">
        <f>TLE!F26</f>
        <v>76</v>
      </c>
      <c r="AK25" s="208">
        <f>TLE!J26</f>
        <v>82</v>
      </c>
      <c r="AL25" s="208">
        <f>TLE!N26</f>
        <v>81</v>
      </c>
      <c r="AM25" s="208">
        <f>TLE!R26</f>
        <v>85</v>
      </c>
      <c r="AN25" s="241">
        <f>TLE!V26</f>
        <v>81</v>
      </c>
      <c r="AO25" s="238">
        <f>'MUSIC-ARTS'!F26</f>
        <v>81</v>
      </c>
      <c r="AP25" s="270">
        <f>'MUSIC-ARTS'!J26</f>
        <v>80</v>
      </c>
      <c r="AQ25" s="270">
        <f>'MUSIC-ARTS'!N26</f>
        <v>83</v>
      </c>
      <c r="AR25" s="208">
        <f>'MUSIC-ARTS'!R26</f>
        <v>84</v>
      </c>
      <c r="AS25" s="239">
        <f t="shared" si="1"/>
        <v>82</v>
      </c>
      <c r="AT25" s="240">
        <f>ARTS!F26</f>
        <v>0</v>
      </c>
      <c r="AU25" s="270">
        <f>ARTS!J26</f>
        <v>0</v>
      </c>
      <c r="AV25" s="270">
        <f>ARTS!N26</f>
        <v>0</v>
      </c>
      <c r="AW25" s="208">
        <f>ARTS!R26</f>
        <v>0</v>
      </c>
      <c r="AX25" s="237">
        <f t="shared" si="2"/>
        <v>0</v>
      </c>
      <c r="AY25" s="238">
        <f>'PE-HEALTH'!F26</f>
        <v>85</v>
      </c>
      <c r="AZ25" s="270">
        <f>'PE-HEALTH'!J26</f>
        <v>85</v>
      </c>
      <c r="BA25" s="270">
        <f>'PE-HEALTH'!N26</f>
        <v>85</v>
      </c>
      <c r="BB25" s="208">
        <f>'PE-HEALTH'!R26</f>
        <v>90</v>
      </c>
      <c r="BC25" s="239">
        <f t="shared" si="3"/>
        <v>86</v>
      </c>
      <c r="BD25" s="240">
        <f>HEALTH!F26</f>
        <v>0</v>
      </c>
      <c r="BE25" s="270">
        <f>HEALTH!J26</f>
        <v>0</v>
      </c>
      <c r="BF25" s="270">
        <f>HEALTH!N26</f>
        <v>0</v>
      </c>
      <c r="BG25" s="208">
        <f>HEALTH!R26</f>
        <v>0</v>
      </c>
      <c r="BH25" s="237">
        <f t="shared" si="4"/>
        <v>0</v>
      </c>
      <c r="BI25" s="238">
        <f>' MAPEH FINAL'!F26</f>
        <v>83</v>
      </c>
      <c r="BJ25" s="270">
        <f>' MAPEH FINAL'!J26</f>
        <v>83</v>
      </c>
      <c r="BK25" s="270">
        <f>' MAPEH FINAL'!N26</f>
        <v>84</v>
      </c>
      <c r="BL25" s="208">
        <f>' MAPEH FINAL'!R26</f>
        <v>87</v>
      </c>
      <c r="BM25" s="239">
        <f t="shared" si="0"/>
        <v>84</v>
      </c>
      <c r="BN25" s="280">
        <f t="shared" si="5"/>
        <v>83.75</v>
      </c>
      <c r="BO25" s="281">
        <f t="shared" si="6"/>
        <v>84</v>
      </c>
      <c r="BP25" s="169">
        <f t="shared" si="7"/>
        <v>24</v>
      </c>
      <c r="BQ25" s="169"/>
      <c r="BR25" s="169"/>
      <c r="BS25" s="204">
        <v>15</v>
      </c>
      <c r="BT25" s="119" t="s">
        <v>32</v>
      </c>
      <c r="BU25" s="206"/>
      <c r="BV25" s="169"/>
      <c r="BW25" s="169"/>
      <c r="BX25" s="169"/>
      <c r="BY25" s="169"/>
      <c r="BZ25" s="169"/>
      <c r="CA25" s="169"/>
      <c r="CB25" s="169"/>
      <c r="CC25" s="169"/>
      <c r="CD25" s="169"/>
      <c r="CE25" s="169"/>
      <c r="CF25" s="169"/>
      <c r="CG25" s="169"/>
      <c r="CH25" s="169"/>
      <c r="CI25" s="169"/>
      <c r="CJ25" s="169"/>
      <c r="CK25" s="169"/>
      <c r="CL25" s="169"/>
      <c r="CM25" s="169"/>
      <c r="CN25" s="169"/>
      <c r="CO25" s="169"/>
      <c r="CP25" s="169"/>
      <c r="CQ25" s="169"/>
      <c r="CR25" s="169"/>
      <c r="CS25" s="169"/>
      <c r="CT25" s="169"/>
      <c r="CU25" s="169"/>
      <c r="CV25" s="169"/>
      <c r="CW25" s="169"/>
      <c r="CX25" s="169"/>
      <c r="CY25" s="169"/>
      <c r="CZ25" s="169"/>
      <c r="DA25" s="169"/>
      <c r="DB25" s="169"/>
      <c r="DC25" s="169"/>
      <c r="DD25" s="169"/>
      <c r="DE25" s="169"/>
      <c r="DF25" s="169"/>
      <c r="DG25" s="169"/>
      <c r="DH25" s="169"/>
      <c r="DI25" s="169"/>
      <c r="DJ25" s="169"/>
      <c r="DK25" s="169"/>
      <c r="DL25" s="169"/>
      <c r="DM25" s="169"/>
      <c r="DN25" s="169"/>
      <c r="DO25" s="169"/>
      <c r="DP25" s="169"/>
      <c r="DQ25" s="169"/>
      <c r="DR25" s="169"/>
      <c r="DS25" s="169"/>
      <c r="DT25" s="169"/>
      <c r="DU25" s="169"/>
    </row>
    <row r="26" s="168" customFormat="1" ht="18" customHeight="1" spans="1:125">
      <c r="A26" s="204">
        <f>'INPUT DATA'!A27</f>
        <v>16</v>
      </c>
      <c r="B26" s="205" t="str">
        <f>'INPUT DATA'!B27:D27</f>
        <v>PAINLO,SHERWIN V.</v>
      </c>
      <c r="C26" s="206"/>
      <c r="D26" s="206"/>
      <c r="E26" s="206"/>
      <c r="F26" s="207">
        <f>FILIPINO!F27</f>
        <v>90</v>
      </c>
      <c r="G26" s="208">
        <f>FILIPINO!J27</f>
        <v>92</v>
      </c>
      <c r="H26" s="209">
        <f>FILIPINO!N27</f>
        <v>94</v>
      </c>
      <c r="I26" s="208">
        <f>FILIPINO!R27</f>
        <v>95</v>
      </c>
      <c r="J26" s="237">
        <f>FILIPINO!V27</f>
        <v>92.75</v>
      </c>
      <c r="K26" s="238">
        <f>ENGLISH!F27</f>
        <v>88</v>
      </c>
      <c r="L26" s="208">
        <f>ENGLISH!J27</f>
        <v>87</v>
      </c>
      <c r="M26" s="208">
        <f>ENGLISH!N27</f>
        <v>91</v>
      </c>
      <c r="N26" s="208">
        <f>ENGLISH!R27</f>
        <v>92</v>
      </c>
      <c r="O26" s="239">
        <f>ENGLISH!V27</f>
        <v>89.5</v>
      </c>
      <c r="P26" s="240">
        <f>MATHEMATICS!F27</f>
        <v>89</v>
      </c>
      <c r="Q26" s="208">
        <f>MATHEMATICS!J27</f>
        <v>91</v>
      </c>
      <c r="R26" s="208">
        <f>MATHEMATICS!N27</f>
        <v>91</v>
      </c>
      <c r="S26" s="208">
        <f>MATHEMATICS!R27</f>
        <v>92</v>
      </c>
      <c r="T26" s="237">
        <f>MATHEMATICS!V27</f>
        <v>90.75</v>
      </c>
      <c r="U26" s="238">
        <f>SCIENCE!F27</f>
        <v>90</v>
      </c>
      <c r="V26" s="208">
        <f>SCIENCE!J27</f>
        <v>92</v>
      </c>
      <c r="W26" s="209">
        <f>SCIENCE!N27</f>
        <v>91</v>
      </c>
      <c r="X26" s="254">
        <f>SCIENCE!R27</f>
        <v>92</v>
      </c>
      <c r="Y26" s="239">
        <f>SCIENCE!V27</f>
        <v>91.25</v>
      </c>
      <c r="Z26" s="240">
        <f>AP!F27</f>
        <v>88</v>
      </c>
      <c r="AA26" s="208">
        <f>AP!J27</f>
        <v>91</v>
      </c>
      <c r="AB26" s="208">
        <f>AP!N27</f>
        <v>90</v>
      </c>
      <c r="AC26" s="208">
        <f>AP!R27</f>
        <v>92</v>
      </c>
      <c r="AD26" s="237">
        <f>AP!V27</f>
        <v>90.25</v>
      </c>
      <c r="AE26" s="240">
        <f>VALED!F27</f>
        <v>83</v>
      </c>
      <c r="AF26" s="254">
        <f>VALED!J27</f>
        <v>89</v>
      </c>
      <c r="AG26" s="254">
        <f>VALED!N27</f>
        <v>89</v>
      </c>
      <c r="AH26" s="208">
        <f>VALED!R27</f>
        <v>91</v>
      </c>
      <c r="AI26" s="239">
        <f>VALED!V27</f>
        <v>88</v>
      </c>
      <c r="AJ26" s="268">
        <f>TLE!F27</f>
        <v>84</v>
      </c>
      <c r="AK26" s="208">
        <f>TLE!J27</f>
        <v>89</v>
      </c>
      <c r="AL26" s="208">
        <f>TLE!N27</f>
        <v>89</v>
      </c>
      <c r="AM26" s="208">
        <f>TLE!R27</f>
        <v>92</v>
      </c>
      <c r="AN26" s="237">
        <f>TLE!V27</f>
        <v>88.5</v>
      </c>
      <c r="AO26" s="238">
        <f>'MUSIC-ARTS'!F27</f>
        <v>88</v>
      </c>
      <c r="AP26" s="270">
        <f>'MUSIC-ARTS'!J27</f>
        <v>87</v>
      </c>
      <c r="AQ26" s="270">
        <f>'MUSIC-ARTS'!N27</f>
        <v>90</v>
      </c>
      <c r="AR26" s="208">
        <f>'MUSIC-ARTS'!R27</f>
        <v>91</v>
      </c>
      <c r="AS26" s="239">
        <f t="shared" si="1"/>
        <v>89</v>
      </c>
      <c r="AT26" s="240">
        <f>ARTS!F27</f>
        <v>0</v>
      </c>
      <c r="AU26" s="270">
        <f>ARTS!J27</f>
        <v>0</v>
      </c>
      <c r="AV26" s="270">
        <f>ARTS!N27</f>
        <v>0</v>
      </c>
      <c r="AW26" s="208">
        <f>ARTS!R27</f>
        <v>0</v>
      </c>
      <c r="AX26" s="237">
        <f t="shared" si="2"/>
        <v>0</v>
      </c>
      <c r="AY26" s="238">
        <f>'PE-HEALTH'!F27</f>
        <v>93</v>
      </c>
      <c r="AZ26" s="270">
        <f>'PE-HEALTH'!J27</f>
        <v>89</v>
      </c>
      <c r="BA26" s="270">
        <f>'PE-HEALTH'!N27</f>
        <v>90</v>
      </c>
      <c r="BB26" s="208">
        <f>'PE-HEALTH'!R27</f>
        <v>95</v>
      </c>
      <c r="BC26" s="239">
        <f t="shared" si="3"/>
        <v>92</v>
      </c>
      <c r="BD26" s="240">
        <f>HEALTH!F27</f>
        <v>0</v>
      </c>
      <c r="BE26" s="270">
        <f>HEALTH!J27</f>
        <v>0</v>
      </c>
      <c r="BF26" s="270">
        <f>HEALTH!N27</f>
        <v>0</v>
      </c>
      <c r="BG26" s="208">
        <f>HEALTH!R27</f>
        <v>0</v>
      </c>
      <c r="BH26" s="237">
        <f t="shared" si="4"/>
        <v>0</v>
      </c>
      <c r="BI26" s="238">
        <f>' MAPEH FINAL'!F27</f>
        <v>91</v>
      </c>
      <c r="BJ26" s="270">
        <f>' MAPEH FINAL'!J27</f>
        <v>89</v>
      </c>
      <c r="BK26" s="270">
        <f>' MAPEH FINAL'!N27</f>
        <v>90</v>
      </c>
      <c r="BL26" s="208">
        <f>' MAPEH FINAL'!R27</f>
        <v>93</v>
      </c>
      <c r="BM26" s="239">
        <f t="shared" si="0"/>
        <v>91</v>
      </c>
      <c r="BN26" s="284">
        <f t="shared" si="5"/>
        <v>90.25</v>
      </c>
      <c r="BO26" s="285">
        <f t="shared" si="6"/>
        <v>90</v>
      </c>
      <c r="BP26" s="283">
        <f t="shared" si="7"/>
        <v>4</v>
      </c>
      <c r="BQ26" s="169"/>
      <c r="BR26" s="169"/>
      <c r="BS26" s="204">
        <v>16</v>
      </c>
      <c r="BT26" s="119" t="s">
        <v>33</v>
      </c>
      <c r="BU26" s="206"/>
      <c r="BV26" s="169"/>
      <c r="BW26" s="169"/>
      <c r="BX26" s="169"/>
      <c r="BY26" s="169"/>
      <c r="BZ26" s="169"/>
      <c r="CA26" s="169"/>
      <c r="CB26" s="169"/>
      <c r="CC26" s="169"/>
      <c r="CD26" s="169"/>
      <c r="CE26" s="169"/>
      <c r="CF26" s="169"/>
      <c r="CG26" s="169"/>
      <c r="CH26" s="169"/>
      <c r="CI26" s="169"/>
      <c r="CJ26" s="169"/>
      <c r="CK26" s="169"/>
      <c r="CL26" s="169"/>
      <c r="CM26" s="169"/>
      <c r="CN26" s="169"/>
      <c r="CO26" s="169"/>
      <c r="CP26" s="169"/>
      <c r="CQ26" s="169"/>
      <c r="CR26" s="169"/>
      <c r="CS26" s="169"/>
      <c r="CT26" s="169"/>
      <c r="CU26" s="169"/>
      <c r="CV26" s="169"/>
      <c r="CW26" s="169"/>
      <c r="CX26" s="169"/>
      <c r="CY26" s="169"/>
      <c r="CZ26" s="169"/>
      <c r="DA26" s="169"/>
      <c r="DB26" s="169"/>
      <c r="DC26" s="169"/>
      <c r="DD26" s="169"/>
      <c r="DE26" s="169"/>
      <c r="DF26" s="169"/>
      <c r="DG26" s="169"/>
      <c r="DH26" s="169"/>
      <c r="DI26" s="169"/>
      <c r="DJ26" s="169"/>
      <c r="DK26" s="169"/>
      <c r="DL26" s="169"/>
      <c r="DM26" s="169"/>
      <c r="DN26" s="169"/>
      <c r="DO26" s="169"/>
      <c r="DP26" s="169"/>
      <c r="DQ26" s="169"/>
      <c r="DR26" s="169"/>
      <c r="DS26" s="169"/>
      <c r="DT26" s="169"/>
      <c r="DU26" s="169"/>
    </row>
    <row r="27" s="168" customFormat="1" ht="18" customHeight="1" spans="1:125">
      <c r="A27" s="204">
        <f>'INPUT DATA'!A28</f>
        <v>17</v>
      </c>
      <c r="B27" s="205" t="str">
        <f>'INPUT DATA'!B28:D28</f>
        <v>RAMIREZ, MATTEO JOHN DAVE D.</v>
      </c>
      <c r="C27" s="206"/>
      <c r="D27" s="206"/>
      <c r="E27" s="206"/>
      <c r="F27" s="207">
        <f>FILIPINO!F28</f>
        <v>70</v>
      </c>
      <c r="G27" s="208">
        <f>FILIPINO!J28</f>
        <v>60</v>
      </c>
      <c r="H27" s="209">
        <f>FILIPINO!N28</f>
        <v>60</v>
      </c>
      <c r="I27" s="208">
        <f>FILIPINO!R28</f>
        <v>60</v>
      </c>
      <c r="J27" s="237">
        <f>FILIPINO!V28</f>
        <v>62.5</v>
      </c>
      <c r="K27" s="238">
        <f>ENGLISH!F28</f>
        <v>0</v>
      </c>
      <c r="L27" s="208">
        <f>ENGLISH!J28</f>
        <v>0</v>
      </c>
      <c r="M27" s="208">
        <f>ENGLISH!N28</f>
        <v>0</v>
      </c>
      <c r="N27" s="208">
        <f>ENGLISH!R28</f>
        <v>0</v>
      </c>
      <c r="O27" s="239">
        <f>ENGLISH!V28</f>
        <v>0</v>
      </c>
      <c r="P27" s="240">
        <f>MATHEMATICS!F28</f>
        <v>0</v>
      </c>
      <c r="Q27" s="208">
        <f>MATHEMATICS!J28</f>
        <v>0</v>
      </c>
      <c r="R27" s="208">
        <f>MATHEMATICS!N28</f>
        <v>0</v>
      </c>
      <c r="S27" s="208">
        <f>MATHEMATICS!R28</f>
        <v>0</v>
      </c>
      <c r="T27" s="237">
        <f>MATHEMATICS!V28</f>
        <v>0</v>
      </c>
      <c r="U27" s="238">
        <f>SCIENCE!F28</f>
        <v>0</v>
      </c>
      <c r="V27" s="208">
        <f>SCIENCE!J28</f>
        <v>0</v>
      </c>
      <c r="W27" s="209">
        <f>SCIENCE!N28</f>
        <v>0</v>
      </c>
      <c r="X27" s="254">
        <f>SCIENCE!R28</f>
        <v>0</v>
      </c>
      <c r="Y27" s="239">
        <f>SCIENCE!V28</f>
        <v>0</v>
      </c>
      <c r="Z27" s="240">
        <f>AP!F28</f>
        <v>0</v>
      </c>
      <c r="AA27" s="208">
        <f>AP!J28</f>
        <v>0</v>
      </c>
      <c r="AB27" s="208">
        <f>AP!N28</f>
        <v>0</v>
      </c>
      <c r="AC27" s="208">
        <f>AP!R28</f>
        <v>0</v>
      </c>
      <c r="AD27" s="237">
        <f>AP!V28</f>
        <v>0</v>
      </c>
      <c r="AE27" s="240">
        <f>VALED!F28</f>
        <v>78</v>
      </c>
      <c r="AF27" s="254">
        <f>VALED!J28</f>
        <v>0</v>
      </c>
      <c r="AG27" s="254">
        <f>VALED!N28</f>
        <v>0</v>
      </c>
      <c r="AH27" s="208">
        <f>VALED!R28</f>
        <v>0</v>
      </c>
      <c r="AI27" s="239">
        <f>VALED!V28</f>
        <v>19.5</v>
      </c>
      <c r="AJ27" s="268">
        <f>TLE!F28</f>
        <v>0</v>
      </c>
      <c r="AK27" s="208">
        <f>TLE!J28</f>
        <v>0</v>
      </c>
      <c r="AL27" s="208">
        <f>TLE!N28</f>
        <v>0</v>
      </c>
      <c r="AM27" s="208">
        <f>TLE!R28</f>
        <v>0</v>
      </c>
      <c r="AN27" s="237">
        <f>TLE!V28</f>
        <v>0</v>
      </c>
      <c r="AO27" s="238">
        <f>'MUSIC-ARTS'!F28</f>
        <v>73</v>
      </c>
      <c r="AP27" s="270">
        <f>'MUSIC-ARTS'!J28</f>
        <v>0</v>
      </c>
      <c r="AQ27" s="270">
        <f>'MUSIC-ARTS'!N28</f>
        <v>0</v>
      </c>
      <c r="AR27" s="208">
        <f>'MUSIC-ARTS'!R28</f>
        <v>0</v>
      </c>
      <c r="AS27" s="239">
        <f t="shared" si="1"/>
        <v>18</v>
      </c>
      <c r="AT27" s="240">
        <f>ARTS!F28</f>
        <v>0</v>
      </c>
      <c r="AU27" s="270">
        <f>ARTS!J28</f>
        <v>0</v>
      </c>
      <c r="AV27" s="270">
        <f>ARTS!N28</f>
        <v>0</v>
      </c>
      <c r="AW27" s="208">
        <f>ARTS!R28</f>
        <v>0</v>
      </c>
      <c r="AX27" s="237">
        <f t="shared" si="2"/>
        <v>0</v>
      </c>
      <c r="AY27" s="238">
        <f>'PE-HEALTH'!F28</f>
        <v>60</v>
      </c>
      <c r="AZ27" s="270">
        <f>'PE-HEALTH'!J28</f>
        <v>0</v>
      </c>
      <c r="BA27" s="270">
        <f>'PE-HEALTH'!N28</f>
        <v>0</v>
      </c>
      <c r="BB27" s="208">
        <f>'PE-HEALTH'!R28</f>
        <v>0</v>
      </c>
      <c r="BC27" s="239">
        <f t="shared" si="3"/>
        <v>15</v>
      </c>
      <c r="BD27" s="240">
        <f>HEALTH!F28</f>
        <v>0</v>
      </c>
      <c r="BE27" s="270">
        <f>HEALTH!J28</f>
        <v>0</v>
      </c>
      <c r="BF27" s="270">
        <f>HEALTH!N28</f>
        <v>0</v>
      </c>
      <c r="BG27" s="208">
        <f>HEALTH!R28</f>
        <v>0</v>
      </c>
      <c r="BH27" s="237">
        <f t="shared" si="4"/>
        <v>0</v>
      </c>
      <c r="BI27" s="238">
        <f>' MAPEH FINAL'!F28</f>
        <v>67</v>
      </c>
      <c r="BJ27" s="270">
        <f>' MAPEH FINAL'!J28</f>
        <v>70</v>
      </c>
      <c r="BK27" s="270">
        <f>' MAPEH FINAL'!N28</f>
        <v>0</v>
      </c>
      <c r="BL27" s="208" t="str">
        <f>' MAPEH FINAL'!R28</f>
        <v/>
      </c>
      <c r="BM27" s="239" t="str">
        <f t="shared" si="0"/>
        <v/>
      </c>
      <c r="BN27" s="280" t="str">
        <f t="shared" si="5"/>
        <v/>
      </c>
      <c r="BO27" s="281" t="str">
        <f t="shared" si="6"/>
        <v/>
      </c>
      <c r="BP27" s="169">
        <f t="shared" si="7"/>
        <v>34</v>
      </c>
      <c r="BQ27" s="169"/>
      <c r="BR27" s="169"/>
      <c r="BS27" s="204">
        <v>17</v>
      </c>
      <c r="BT27" s="152" t="s">
        <v>34</v>
      </c>
      <c r="BU27" s="206"/>
      <c r="BV27" s="169"/>
      <c r="BW27" s="169"/>
      <c r="BX27" s="169"/>
      <c r="BY27" s="169"/>
      <c r="BZ27" s="169"/>
      <c r="CA27" s="169"/>
      <c r="CB27" s="169"/>
      <c r="CC27" s="169"/>
      <c r="CD27" s="169"/>
      <c r="CE27" s="169"/>
      <c r="CF27" s="169"/>
      <c r="CG27" s="169"/>
      <c r="CH27" s="169"/>
      <c r="CI27" s="169"/>
      <c r="CJ27" s="169"/>
      <c r="CK27" s="169"/>
      <c r="CL27" s="169"/>
      <c r="CM27" s="169"/>
      <c r="CN27" s="169"/>
      <c r="CO27" s="169"/>
      <c r="CP27" s="169"/>
      <c r="CQ27" s="169"/>
      <c r="CR27" s="169"/>
      <c r="CS27" s="169"/>
      <c r="CT27" s="169"/>
      <c r="CU27" s="169"/>
      <c r="CV27" s="169"/>
      <c r="CW27" s="169"/>
      <c r="CX27" s="169"/>
      <c r="CY27" s="169"/>
      <c r="CZ27" s="169"/>
      <c r="DA27" s="169"/>
      <c r="DB27" s="169"/>
      <c r="DC27" s="169"/>
      <c r="DD27" s="169"/>
      <c r="DE27" s="169"/>
      <c r="DF27" s="169"/>
      <c r="DG27" s="169"/>
      <c r="DH27" s="169"/>
      <c r="DI27" s="169"/>
      <c r="DJ27" s="169"/>
      <c r="DK27" s="169"/>
      <c r="DL27" s="169"/>
      <c r="DM27" s="169"/>
      <c r="DN27" s="169"/>
      <c r="DO27" s="169"/>
      <c r="DP27" s="169"/>
      <c r="DQ27" s="169"/>
      <c r="DR27" s="169"/>
      <c r="DS27" s="169"/>
      <c r="DT27" s="169"/>
      <c r="DU27" s="169"/>
    </row>
    <row r="28" s="168" customFormat="1" ht="18" customHeight="1" spans="1:125">
      <c r="A28" s="204">
        <f>'INPUT DATA'!A29</f>
        <v>18</v>
      </c>
      <c r="B28" s="205" t="str">
        <f>'INPUT DATA'!B29:D29</f>
        <v>SIGUIRA, JASTINE B.</v>
      </c>
      <c r="C28" s="206"/>
      <c r="D28" s="206"/>
      <c r="E28" s="206"/>
      <c r="F28" s="207">
        <f>FILIPINO!F29</f>
        <v>75</v>
      </c>
      <c r="G28" s="208">
        <f>FILIPINO!J29</f>
        <v>60</v>
      </c>
      <c r="H28" s="209">
        <f>FILIPINO!N29</f>
        <v>60</v>
      </c>
      <c r="I28" s="208">
        <f>FILIPINO!R29</f>
        <v>60</v>
      </c>
      <c r="J28" s="237">
        <f>FILIPINO!V29</f>
        <v>63.75</v>
      </c>
      <c r="K28" s="238">
        <f>ENGLISH!F29</f>
        <v>0</v>
      </c>
      <c r="L28" s="208">
        <f>ENGLISH!J29</f>
        <v>0</v>
      </c>
      <c r="M28" s="208">
        <f>ENGLISH!N29</f>
        <v>0</v>
      </c>
      <c r="N28" s="208">
        <f>ENGLISH!R29</f>
        <v>0</v>
      </c>
      <c r="O28" s="239">
        <f>ENGLISH!V29</f>
        <v>0</v>
      </c>
      <c r="P28" s="240">
        <f>MATHEMATICS!F29</f>
        <v>0</v>
      </c>
      <c r="Q28" s="208">
        <f>MATHEMATICS!J29</f>
        <v>0</v>
      </c>
      <c r="R28" s="208">
        <f>MATHEMATICS!N29</f>
        <v>0</v>
      </c>
      <c r="S28" s="208">
        <f>MATHEMATICS!R29</f>
        <v>0</v>
      </c>
      <c r="T28" s="237">
        <f>MATHEMATICS!V29</f>
        <v>0</v>
      </c>
      <c r="U28" s="238">
        <f>SCIENCE!F29</f>
        <v>0</v>
      </c>
      <c r="V28" s="208">
        <f>SCIENCE!J29</f>
        <v>0</v>
      </c>
      <c r="W28" s="209">
        <f>SCIENCE!N29</f>
        <v>0</v>
      </c>
      <c r="X28" s="254">
        <f>SCIENCE!R29</f>
        <v>0</v>
      </c>
      <c r="Y28" s="239">
        <f>SCIENCE!V29</f>
        <v>0</v>
      </c>
      <c r="Z28" s="240">
        <f>AP!F29</f>
        <v>0</v>
      </c>
      <c r="AA28" s="208">
        <f>AP!J29</f>
        <v>0</v>
      </c>
      <c r="AB28" s="208">
        <f>AP!N29</f>
        <v>0</v>
      </c>
      <c r="AC28" s="208">
        <f>AP!R29</f>
        <v>0</v>
      </c>
      <c r="AD28" s="237">
        <f>AP!V29</f>
        <v>0</v>
      </c>
      <c r="AE28" s="240">
        <f>VALED!F29</f>
        <v>78</v>
      </c>
      <c r="AF28" s="254">
        <f>VALED!J29</f>
        <v>0</v>
      </c>
      <c r="AG28" s="254">
        <f>VALED!N29</f>
        <v>0</v>
      </c>
      <c r="AH28" s="208">
        <f>VALED!R29</f>
        <v>0</v>
      </c>
      <c r="AI28" s="239">
        <f>VALED!V29</f>
        <v>19.5</v>
      </c>
      <c r="AJ28" s="268">
        <f>TLE!F29</f>
        <v>0</v>
      </c>
      <c r="AK28" s="208">
        <f>TLE!J29</f>
        <v>0</v>
      </c>
      <c r="AL28" s="208">
        <f>TLE!N29</f>
        <v>0</v>
      </c>
      <c r="AM28" s="208">
        <f>TLE!R29</f>
        <v>0</v>
      </c>
      <c r="AN28" s="237">
        <f>TLE!V29</f>
        <v>0</v>
      </c>
      <c r="AO28" s="238">
        <f>'MUSIC-ARTS'!F29</f>
        <v>73</v>
      </c>
      <c r="AP28" s="270">
        <f>'MUSIC-ARTS'!J29</f>
        <v>0</v>
      </c>
      <c r="AQ28" s="270">
        <f>'MUSIC-ARTS'!N29</f>
        <v>0</v>
      </c>
      <c r="AR28" s="208">
        <f>'MUSIC-ARTS'!R29</f>
        <v>0</v>
      </c>
      <c r="AS28" s="239">
        <f t="shared" si="1"/>
        <v>18</v>
      </c>
      <c r="AT28" s="240">
        <f>ARTS!F29</f>
        <v>0</v>
      </c>
      <c r="AU28" s="270">
        <f>ARTS!J29</f>
        <v>0</v>
      </c>
      <c r="AV28" s="270">
        <f>ARTS!N29</f>
        <v>0</v>
      </c>
      <c r="AW28" s="208">
        <f>ARTS!R29</f>
        <v>0</v>
      </c>
      <c r="AX28" s="237">
        <f t="shared" si="2"/>
        <v>0</v>
      </c>
      <c r="AY28" s="238">
        <f>'PE-HEALTH'!F29</f>
        <v>74</v>
      </c>
      <c r="AZ28" s="270">
        <f>'PE-HEALTH'!J29</f>
        <v>0</v>
      </c>
      <c r="BA28" s="270">
        <f>'PE-HEALTH'!N29</f>
        <v>0</v>
      </c>
      <c r="BB28" s="208">
        <f>'PE-HEALTH'!R29</f>
        <v>0</v>
      </c>
      <c r="BC28" s="239">
        <f t="shared" si="3"/>
        <v>19</v>
      </c>
      <c r="BD28" s="240">
        <f>HEALTH!F29</f>
        <v>0</v>
      </c>
      <c r="BE28" s="270">
        <f>HEALTH!J29</f>
        <v>0</v>
      </c>
      <c r="BF28" s="270">
        <f>HEALTH!N29</f>
        <v>0</v>
      </c>
      <c r="BG28" s="208">
        <f>HEALTH!R29</f>
        <v>0</v>
      </c>
      <c r="BH28" s="237">
        <f t="shared" si="4"/>
        <v>0</v>
      </c>
      <c r="BI28" s="238">
        <f>' MAPEH FINAL'!F29</f>
        <v>74</v>
      </c>
      <c r="BJ28" s="270">
        <f>' MAPEH FINAL'!J29</f>
        <v>70</v>
      </c>
      <c r="BK28" s="270">
        <f>' MAPEH FINAL'!N29</f>
        <v>0</v>
      </c>
      <c r="BL28" s="208" t="str">
        <f>' MAPEH FINAL'!R29</f>
        <v/>
      </c>
      <c r="BM28" s="239" t="str">
        <f t="shared" si="0"/>
        <v/>
      </c>
      <c r="BN28" s="280" t="str">
        <f t="shared" si="5"/>
        <v/>
      </c>
      <c r="BO28" s="281" t="str">
        <f t="shared" si="6"/>
        <v/>
      </c>
      <c r="BP28" s="169">
        <f t="shared" si="7"/>
        <v>34</v>
      </c>
      <c r="BQ28" s="169"/>
      <c r="BR28" s="169"/>
      <c r="BS28" s="204">
        <v>18</v>
      </c>
      <c r="BT28" s="152" t="s">
        <v>35</v>
      </c>
      <c r="BU28" s="206"/>
      <c r="BV28" s="169"/>
      <c r="BW28" s="169"/>
      <c r="BX28" s="169"/>
      <c r="BY28" s="169"/>
      <c r="BZ28" s="169"/>
      <c r="CA28" s="169"/>
      <c r="CB28" s="169"/>
      <c r="CC28" s="169"/>
      <c r="CD28" s="169"/>
      <c r="CE28" s="169"/>
      <c r="CF28" s="169"/>
      <c r="CG28" s="169"/>
      <c r="CH28" s="169"/>
      <c r="CI28" s="169"/>
      <c r="CJ28" s="169"/>
      <c r="CK28" s="169"/>
      <c r="CL28" s="169"/>
      <c r="CM28" s="169"/>
      <c r="CN28" s="169"/>
      <c r="CO28" s="169"/>
      <c r="CP28" s="169"/>
      <c r="CQ28" s="169"/>
      <c r="CR28" s="169"/>
      <c r="CS28" s="169"/>
      <c r="CT28" s="169"/>
      <c r="CU28" s="169"/>
      <c r="CV28" s="169"/>
      <c r="CW28" s="169"/>
      <c r="CX28" s="169"/>
      <c r="CY28" s="169"/>
      <c r="CZ28" s="169"/>
      <c r="DA28" s="169"/>
      <c r="DB28" s="169"/>
      <c r="DC28" s="169"/>
      <c r="DD28" s="169"/>
      <c r="DE28" s="169"/>
      <c r="DF28" s="169"/>
      <c r="DG28" s="169"/>
      <c r="DH28" s="169"/>
      <c r="DI28" s="169"/>
      <c r="DJ28" s="169"/>
      <c r="DK28" s="169"/>
      <c r="DL28" s="169"/>
      <c r="DM28" s="169"/>
      <c r="DN28" s="169"/>
      <c r="DO28" s="169"/>
      <c r="DP28" s="169"/>
      <c r="DQ28" s="169"/>
      <c r="DR28" s="169"/>
      <c r="DS28" s="169"/>
      <c r="DT28" s="169"/>
      <c r="DU28" s="169"/>
    </row>
    <row r="29" s="168" customFormat="1" ht="18" customHeight="1" spans="1:125">
      <c r="A29" s="204">
        <f>'INPUT DATA'!A30</f>
        <v>19</v>
      </c>
      <c r="B29" s="205" t="str">
        <f>'INPUT DATA'!B30:D30</f>
        <v>TAA, JHONVINZ Y.</v>
      </c>
      <c r="C29" s="206"/>
      <c r="D29" s="206"/>
      <c r="E29" s="206"/>
      <c r="F29" s="207">
        <f>FILIPINO!F30</f>
        <v>75</v>
      </c>
      <c r="G29" s="208">
        <f>FILIPINO!J30</f>
        <v>74</v>
      </c>
      <c r="H29" s="209">
        <f>FILIPINO!N30</f>
        <v>73</v>
      </c>
      <c r="I29" s="208">
        <f>FILIPINO!R30</f>
        <v>76</v>
      </c>
      <c r="J29" s="237">
        <f>FILIPINO!V30</f>
        <v>74.5</v>
      </c>
      <c r="K29" s="238">
        <f>ENGLISH!F30</f>
        <v>75</v>
      </c>
      <c r="L29" s="208">
        <f>ENGLISH!J30</f>
        <v>75</v>
      </c>
      <c r="M29" s="208">
        <f>ENGLISH!N30</f>
        <v>78</v>
      </c>
      <c r="N29" s="208">
        <f>ENGLISH!R30</f>
        <v>78</v>
      </c>
      <c r="O29" s="239">
        <f>ENGLISH!V30</f>
        <v>76.5</v>
      </c>
      <c r="P29" s="240">
        <f>MATHEMATICS!F30</f>
        <v>85</v>
      </c>
      <c r="Q29" s="208">
        <f>MATHEMATICS!J30</f>
        <v>87</v>
      </c>
      <c r="R29" s="208">
        <f>MATHEMATICS!N30</f>
        <v>87</v>
      </c>
      <c r="S29" s="208">
        <f>MATHEMATICS!R30</f>
        <v>87</v>
      </c>
      <c r="T29" s="237">
        <f>MATHEMATICS!V30</f>
        <v>86.5</v>
      </c>
      <c r="U29" s="238">
        <f>SCIENCE!F30</f>
        <v>75</v>
      </c>
      <c r="V29" s="208">
        <f>SCIENCE!J30</f>
        <v>75</v>
      </c>
      <c r="W29" s="209">
        <f>SCIENCE!N30</f>
        <v>76</v>
      </c>
      <c r="X29" s="254">
        <f>SCIENCE!R30</f>
        <v>75</v>
      </c>
      <c r="Y29" s="239">
        <f>SCIENCE!V30</f>
        <v>75.25</v>
      </c>
      <c r="Z29" s="240">
        <f>AP!F30</f>
        <v>71</v>
      </c>
      <c r="AA29" s="208">
        <f>AP!J30</f>
        <v>76</v>
      </c>
      <c r="AB29" s="208">
        <f>AP!N30</f>
        <v>76</v>
      </c>
      <c r="AC29" s="208">
        <f>AP!R30</f>
        <v>80</v>
      </c>
      <c r="AD29" s="237">
        <f>AP!V30</f>
        <v>75.75</v>
      </c>
      <c r="AE29" s="240">
        <f>VALED!F30</f>
        <v>80</v>
      </c>
      <c r="AF29" s="254">
        <f>VALED!J30</f>
        <v>80</v>
      </c>
      <c r="AG29" s="254">
        <f>VALED!N30</f>
        <v>80</v>
      </c>
      <c r="AH29" s="208">
        <f>VALED!R30</f>
        <v>80</v>
      </c>
      <c r="AI29" s="239">
        <f>VALED!V30</f>
        <v>80</v>
      </c>
      <c r="AJ29" s="268">
        <f>TLE!F30</f>
        <v>76</v>
      </c>
      <c r="AK29" s="208">
        <f>TLE!J30</f>
        <v>73</v>
      </c>
      <c r="AL29" s="208">
        <f>TLE!N30</f>
        <v>75</v>
      </c>
      <c r="AM29" s="208">
        <f>TLE!R30</f>
        <v>78</v>
      </c>
      <c r="AN29" s="237">
        <f>TLE!V30</f>
        <v>75.5</v>
      </c>
      <c r="AO29" s="238">
        <f>'MUSIC-ARTS'!F30</f>
        <v>77</v>
      </c>
      <c r="AP29" s="270">
        <f>'MUSIC-ARTS'!J30</f>
        <v>75</v>
      </c>
      <c r="AQ29" s="270">
        <f>'MUSIC-ARTS'!N30</f>
        <v>76</v>
      </c>
      <c r="AR29" s="208">
        <f>'MUSIC-ARTS'!R30</f>
        <v>76</v>
      </c>
      <c r="AS29" s="239">
        <f t="shared" si="1"/>
        <v>76</v>
      </c>
      <c r="AT29" s="240">
        <f>ARTS!F30</f>
        <v>0</v>
      </c>
      <c r="AU29" s="270">
        <f>ARTS!J30</f>
        <v>0</v>
      </c>
      <c r="AV29" s="270">
        <f>ARTS!N30</f>
        <v>0</v>
      </c>
      <c r="AW29" s="208">
        <f>ARTS!R30</f>
        <v>0</v>
      </c>
      <c r="AX29" s="237">
        <f t="shared" si="2"/>
        <v>0</v>
      </c>
      <c r="AY29" s="238">
        <f>'PE-HEALTH'!F30</f>
        <v>84</v>
      </c>
      <c r="AZ29" s="270">
        <f>'PE-HEALTH'!J30</f>
        <v>77</v>
      </c>
      <c r="BA29" s="270">
        <f>'PE-HEALTH'!N30</f>
        <v>79</v>
      </c>
      <c r="BB29" s="208">
        <f>'PE-HEALTH'!R30</f>
        <v>80</v>
      </c>
      <c r="BC29" s="239">
        <f t="shared" si="3"/>
        <v>80</v>
      </c>
      <c r="BD29" s="240">
        <f>HEALTH!F30</f>
        <v>0</v>
      </c>
      <c r="BE29" s="270">
        <f>HEALTH!J30</f>
        <v>0</v>
      </c>
      <c r="BF29" s="270">
        <f>HEALTH!N30</f>
        <v>0</v>
      </c>
      <c r="BG29" s="208">
        <f>HEALTH!R30</f>
        <v>0</v>
      </c>
      <c r="BH29" s="237">
        <f t="shared" si="4"/>
        <v>0</v>
      </c>
      <c r="BI29" s="238">
        <f>' MAPEH FINAL'!F30</f>
        <v>81</v>
      </c>
      <c r="BJ29" s="270">
        <f>' MAPEH FINAL'!J30</f>
        <v>76</v>
      </c>
      <c r="BK29" s="270">
        <f>' MAPEH FINAL'!N30</f>
        <v>78</v>
      </c>
      <c r="BL29" s="208">
        <f>' MAPEH FINAL'!R30</f>
        <v>78</v>
      </c>
      <c r="BM29" s="239">
        <f t="shared" si="0"/>
        <v>78</v>
      </c>
      <c r="BN29" s="280">
        <f t="shared" si="5"/>
        <v>77.75</v>
      </c>
      <c r="BO29" s="281">
        <f t="shared" si="6"/>
        <v>78</v>
      </c>
      <c r="BP29" s="169">
        <f t="shared" si="7"/>
        <v>28</v>
      </c>
      <c r="BQ29" s="169"/>
      <c r="BR29" s="169"/>
      <c r="BS29" s="204">
        <v>19</v>
      </c>
      <c r="BT29" s="152" t="s">
        <v>36</v>
      </c>
      <c r="BU29" s="206"/>
      <c r="BV29" s="169"/>
      <c r="BW29" s="169"/>
      <c r="BX29" s="169"/>
      <c r="BY29" s="169"/>
      <c r="BZ29" s="169"/>
      <c r="CA29" s="169"/>
      <c r="CB29" s="169"/>
      <c r="CC29" s="169"/>
      <c r="CD29" s="169"/>
      <c r="CE29" s="169"/>
      <c r="CF29" s="169"/>
      <c r="CG29" s="169"/>
      <c r="CH29" s="169"/>
      <c r="CI29" s="169"/>
      <c r="CJ29" s="169"/>
      <c r="CK29" s="169"/>
      <c r="CL29" s="169"/>
      <c r="CM29" s="169"/>
      <c r="CN29" s="169"/>
      <c r="CO29" s="169"/>
      <c r="CP29" s="169"/>
      <c r="CQ29" s="169"/>
      <c r="CR29" s="169"/>
      <c r="CS29" s="169"/>
      <c r="CT29" s="169"/>
      <c r="CU29" s="169"/>
      <c r="CV29" s="169"/>
      <c r="CW29" s="169"/>
      <c r="CX29" s="169"/>
      <c r="CY29" s="169"/>
      <c r="CZ29" s="169"/>
      <c r="DA29" s="169"/>
      <c r="DB29" s="169"/>
      <c r="DC29" s="169"/>
      <c r="DD29" s="169"/>
      <c r="DE29" s="169"/>
      <c r="DF29" s="169"/>
      <c r="DG29" s="169"/>
      <c r="DH29" s="169"/>
      <c r="DI29" s="169"/>
      <c r="DJ29" s="169"/>
      <c r="DK29" s="169"/>
      <c r="DL29" s="169"/>
      <c r="DM29" s="169"/>
      <c r="DN29" s="169"/>
      <c r="DO29" s="169"/>
      <c r="DP29" s="169"/>
      <c r="DQ29" s="169"/>
      <c r="DR29" s="169"/>
      <c r="DS29" s="169"/>
      <c r="DT29" s="169"/>
      <c r="DU29" s="169"/>
    </row>
    <row r="30" s="168" customFormat="1" ht="18" customHeight="1" spans="1:125">
      <c r="A30" s="204">
        <f>'INPUT DATA'!A31</f>
        <v>20</v>
      </c>
      <c r="B30" s="205" t="str">
        <f>'INPUT DATA'!B31:D31</f>
        <v>ZOILO, JOHN LORENCE M.</v>
      </c>
      <c r="C30" s="206"/>
      <c r="D30" s="206"/>
      <c r="E30" s="206"/>
      <c r="F30" s="207">
        <f>FILIPINO!F31</f>
        <v>84</v>
      </c>
      <c r="G30" s="208">
        <f>FILIPINO!J31</f>
        <v>79</v>
      </c>
      <c r="H30" s="209">
        <f>FILIPINO!N31</f>
        <v>88</v>
      </c>
      <c r="I30" s="208">
        <f>FILIPINO!R31</f>
        <v>89</v>
      </c>
      <c r="J30" s="237">
        <f>FILIPINO!V31</f>
        <v>85</v>
      </c>
      <c r="K30" s="238">
        <f>ENGLISH!F31</f>
        <v>80</v>
      </c>
      <c r="L30" s="208">
        <f>ENGLISH!J31</f>
        <v>79</v>
      </c>
      <c r="M30" s="208">
        <f>ENGLISH!N31</f>
        <v>84</v>
      </c>
      <c r="N30" s="208">
        <f>ENGLISH!R31</f>
        <v>83</v>
      </c>
      <c r="O30" s="239">
        <f>ENGLISH!V31</f>
        <v>81.5</v>
      </c>
      <c r="P30" s="240">
        <f>MATHEMATICS!F31</f>
        <v>85</v>
      </c>
      <c r="Q30" s="208">
        <f>MATHEMATICS!J31</f>
        <v>87</v>
      </c>
      <c r="R30" s="208">
        <f>MATHEMATICS!N31</f>
        <v>87</v>
      </c>
      <c r="S30" s="208">
        <f>MATHEMATICS!R31</f>
        <v>88</v>
      </c>
      <c r="T30" s="237">
        <f>MATHEMATICS!V31</f>
        <v>86.75</v>
      </c>
      <c r="U30" s="238">
        <f>SCIENCE!F31</f>
        <v>85</v>
      </c>
      <c r="V30" s="208">
        <f>SCIENCE!J31</f>
        <v>84</v>
      </c>
      <c r="W30" s="209">
        <f>SCIENCE!N31</f>
        <v>85</v>
      </c>
      <c r="X30" s="254">
        <f>SCIENCE!R31</f>
        <v>86</v>
      </c>
      <c r="Y30" s="239">
        <f>SCIENCE!V31</f>
        <v>85</v>
      </c>
      <c r="Z30" s="240">
        <f>AP!F31</f>
        <v>81</v>
      </c>
      <c r="AA30" s="208">
        <f>AP!J31</f>
        <v>79</v>
      </c>
      <c r="AB30" s="208">
        <f>AP!N31</f>
        <v>79</v>
      </c>
      <c r="AC30" s="208">
        <f>AP!R31</f>
        <v>76</v>
      </c>
      <c r="AD30" s="237">
        <f>AP!V31</f>
        <v>78.75</v>
      </c>
      <c r="AE30" s="240">
        <f>VALED!F31</f>
        <v>80</v>
      </c>
      <c r="AF30" s="254">
        <f>VALED!J31</f>
        <v>83</v>
      </c>
      <c r="AG30" s="254">
        <f>VALED!N31</f>
        <v>81</v>
      </c>
      <c r="AH30" s="208">
        <f>VALED!R31</f>
        <v>84</v>
      </c>
      <c r="AI30" s="239">
        <f>VALED!V31</f>
        <v>82</v>
      </c>
      <c r="AJ30" s="268">
        <f>TLE!F31</f>
        <v>79</v>
      </c>
      <c r="AK30" s="208">
        <f>TLE!J31</f>
        <v>80</v>
      </c>
      <c r="AL30" s="208">
        <f>TLE!N31</f>
        <v>82</v>
      </c>
      <c r="AM30" s="208">
        <f>TLE!R31</f>
        <v>85</v>
      </c>
      <c r="AN30" s="237">
        <f>TLE!V31</f>
        <v>81.5</v>
      </c>
      <c r="AO30" s="238">
        <f>'MUSIC-ARTS'!F31</f>
        <v>84</v>
      </c>
      <c r="AP30" s="270">
        <f>'MUSIC-ARTS'!J31</f>
        <v>85</v>
      </c>
      <c r="AQ30" s="270">
        <f>'MUSIC-ARTS'!N31</f>
        <v>86</v>
      </c>
      <c r="AR30" s="208">
        <f>'MUSIC-ARTS'!R31</f>
        <v>87</v>
      </c>
      <c r="AS30" s="239">
        <f t="shared" si="1"/>
        <v>86</v>
      </c>
      <c r="AT30" s="240">
        <f>ARTS!F31</f>
        <v>0</v>
      </c>
      <c r="AU30" s="270">
        <f>ARTS!J31</f>
        <v>0</v>
      </c>
      <c r="AV30" s="270">
        <f>ARTS!N31</f>
        <v>0</v>
      </c>
      <c r="AW30" s="208">
        <f>ARTS!R31</f>
        <v>0</v>
      </c>
      <c r="AX30" s="237">
        <f t="shared" si="2"/>
        <v>0</v>
      </c>
      <c r="AY30" s="238">
        <f>'PE-HEALTH'!F31</f>
        <v>82</v>
      </c>
      <c r="AZ30" s="270">
        <f>'PE-HEALTH'!J31</f>
        <v>85</v>
      </c>
      <c r="BA30" s="270">
        <f>'PE-HEALTH'!N31</f>
        <v>86</v>
      </c>
      <c r="BB30" s="208">
        <f>'PE-HEALTH'!R31</f>
        <v>90</v>
      </c>
      <c r="BC30" s="239">
        <f t="shared" si="3"/>
        <v>86</v>
      </c>
      <c r="BD30" s="240">
        <f>HEALTH!F31</f>
        <v>0</v>
      </c>
      <c r="BE30" s="270">
        <f>HEALTH!J31</f>
        <v>0</v>
      </c>
      <c r="BF30" s="270">
        <f>HEALTH!N31</f>
        <v>0</v>
      </c>
      <c r="BG30" s="208">
        <f>HEALTH!R31</f>
        <v>0</v>
      </c>
      <c r="BH30" s="237">
        <f t="shared" si="4"/>
        <v>0</v>
      </c>
      <c r="BI30" s="238">
        <f>' MAPEH FINAL'!F31</f>
        <v>83</v>
      </c>
      <c r="BJ30" s="270">
        <f>' MAPEH FINAL'!J31</f>
        <v>85</v>
      </c>
      <c r="BK30" s="270">
        <f>' MAPEH FINAL'!N31</f>
        <v>86</v>
      </c>
      <c r="BL30" s="208">
        <f>' MAPEH FINAL'!R31</f>
        <v>89</v>
      </c>
      <c r="BM30" s="239">
        <f t="shared" si="0"/>
        <v>86</v>
      </c>
      <c r="BN30" s="280">
        <f t="shared" si="5"/>
        <v>83.3125</v>
      </c>
      <c r="BO30" s="281">
        <f t="shared" si="6"/>
        <v>83</v>
      </c>
      <c r="BP30" s="283">
        <f t="shared" si="7"/>
        <v>21</v>
      </c>
      <c r="BQ30" s="169"/>
      <c r="BR30" s="169"/>
      <c r="BS30" s="204">
        <v>20</v>
      </c>
      <c r="BT30" s="119" t="s">
        <v>37</v>
      </c>
      <c r="BU30" s="206"/>
      <c r="BV30" s="169"/>
      <c r="BW30" s="169"/>
      <c r="BX30" s="169"/>
      <c r="BY30" s="169"/>
      <c r="BZ30" s="169"/>
      <c r="CA30" s="169"/>
      <c r="CB30" s="169"/>
      <c r="CC30" s="169"/>
      <c r="CD30" s="169"/>
      <c r="CE30" s="169"/>
      <c r="CF30" s="169"/>
      <c r="CG30" s="169"/>
      <c r="CH30" s="169"/>
      <c r="CI30" s="169"/>
      <c r="CJ30" s="169"/>
      <c r="CK30" s="169"/>
      <c r="CL30" s="169"/>
      <c r="CM30" s="169"/>
      <c r="CN30" s="169"/>
      <c r="CO30" s="169"/>
      <c r="CP30" s="169"/>
      <c r="CQ30" s="169"/>
      <c r="CR30" s="169"/>
      <c r="CS30" s="169"/>
      <c r="CT30" s="169"/>
      <c r="CU30" s="169"/>
      <c r="CV30" s="169"/>
      <c r="CW30" s="169"/>
      <c r="CX30" s="169"/>
      <c r="CY30" s="169"/>
      <c r="CZ30" s="169"/>
      <c r="DA30" s="169"/>
      <c r="DB30" s="169"/>
      <c r="DC30" s="169"/>
      <c r="DD30" s="169"/>
      <c r="DE30" s="169"/>
      <c r="DF30" s="169"/>
      <c r="DG30" s="169"/>
      <c r="DH30" s="169"/>
      <c r="DI30" s="169"/>
      <c r="DJ30" s="169"/>
      <c r="DK30" s="169"/>
      <c r="DL30" s="169"/>
      <c r="DM30" s="169"/>
      <c r="DN30" s="169"/>
      <c r="DO30" s="169"/>
      <c r="DP30" s="169"/>
      <c r="DQ30" s="169"/>
      <c r="DR30" s="169"/>
      <c r="DS30" s="169"/>
      <c r="DT30" s="169"/>
      <c r="DU30" s="169"/>
    </row>
    <row r="31" s="168" customFormat="1" ht="18" customHeight="1" spans="1:125">
      <c r="A31" s="204">
        <f>'INPUT DATA'!A32</f>
        <v>21</v>
      </c>
      <c r="B31" s="211" t="s">
        <v>38</v>
      </c>
      <c r="C31" s="212"/>
      <c r="D31" s="206"/>
      <c r="E31" s="206"/>
      <c r="F31" s="207">
        <f>FILIPINO!F32</f>
        <v>81</v>
      </c>
      <c r="G31" s="208">
        <f>FILIPINO!J32</f>
        <v>78</v>
      </c>
      <c r="H31" s="209">
        <f>FILIPINO!N32</f>
        <v>78</v>
      </c>
      <c r="I31" s="208">
        <f>FILIPINO!R32</f>
        <v>76</v>
      </c>
      <c r="J31" s="237">
        <f>FILIPINO!V32</f>
        <v>78.25</v>
      </c>
      <c r="K31" s="238">
        <f>ENGLISH!F32</f>
        <v>81</v>
      </c>
      <c r="L31" s="208">
        <f>ENGLISH!J32</f>
        <v>80</v>
      </c>
      <c r="M31" s="208">
        <f>ENGLISH!N32</f>
        <v>79</v>
      </c>
      <c r="N31" s="208">
        <f>ENGLISH!R32</f>
        <v>78</v>
      </c>
      <c r="O31" s="239">
        <f>ENGLISH!V32</f>
        <v>79.5</v>
      </c>
      <c r="P31" s="240">
        <f>MATHEMATICS!F32</f>
        <v>75</v>
      </c>
      <c r="Q31" s="208">
        <f>MATHEMATICS!J32</f>
        <v>75</v>
      </c>
      <c r="R31" s="208">
        <f>MATHEMATICS!N32</f>
        <v>75</v>
      </c>
      <c r="S31" s="208">
        <f>MATHEMATICS!R32</f>
        <v>88</v>
      </c>
      <c r="T31" s="237">
        <f>MATHEMATICS!V32</f>
        <v>78.25</v>
      </c>
      <c r="U31" s="238">
        <f>SCIENCE!F32</f>
        <v>75</v>
      </c>
      <c r="V31" s="208">
        <f>SCIENCE!J32</f>
        <v>75</v>
      </c>
      <c r="W31" s="209">
        <f>SCIENCE!N32</f>
        <v>75</v>
      </c>
      <c r="X31" s="254">
        <f>SCIENCE!R32</f>
        <v>80</v>
      </c>
      <c r="Y31" s="239">
        <f>SCIENCE!V32</f>
        <v>76.25</v>
      </c>
      <c r="Z31" s="240">
        <f>AP!F32</f>
        <v>77</v>
      </c>
      <c r="AA31" s="208">
        <f>AP!J32</f>
        <v>77</v>
      </c>
      <c r="AB31" s="208">
        <f>AP!N32</f>
        <v>78</v>
      </c>
      <c r="AC31" s="208">
        <f>AP!R32</f>
        <v>76</v>
      </c>
      <c r="AD31" s="237">
        <f>AP!V32</f>
        <v>77</v>
      </c>
      <c r="AE31" s="240">
        <f>VALED!F32</f>
        <v>82</v>
      </c>
      <c r="AF31" s="254">
        <f>VALED!J32</f>
        <v>83</v>
      </c>
      <c r="AG31" s="254">
        <f>VALED!N32</f>
        <v>82</v>
      </c>
      <c r="AH31" s="208">
        <f>VALED!R32</f>
        <v>80</v>
      </c>
      <c r="AI31" s="239">
        <f>VALED!V32</f>
        <v>81.75</v>
      </c>
      <c r="AJ31" s="268">
        <f>TLE!F32</f>
        <v>77</v>
      </c>
      <c r="AK31" s="208">
        <f>TLE!J32</f>
        <v>75</v>
      </c>
      <c r="AL31" s="208">
        <f>TLE!N32</f>
        <v>75</v>
      </c>
      <c r="AM31" s="208">
        <f>TLE!R32</f>
        <v>78</v>
      </c>
      <c r="AN31" s="237">
        <f>TLE!V32</f>
        <v>76.25</v>
      </c>
      <c r="AO31" s="238">
        <f>'MUSIC-ARTS'!F32</f>
        <v>75</v>
      </c>
      <c r="AP31" s="270">
        <f>'MUSIC-ARTS'!J32</f>
        <v>75</v>
      </c>
      <c r="AQ31" s="270">
        <f>'MUSIC-ARTS'!N32</f>
        <v>75</v>
      </c>
      <c r="AR31" s="208">
        <f>'MUSIC-ARTS'!R32</f>
        <v>85</v>
      </c>
      <c r="AS31" s="239">
        <f t="shared" si="1"/>
        <v>78</v>
      </c>
      <c r="AT31" s="240">
        <f>ARTS!F32</f>
        <v>0</v>
      </c>
      <c r="AU31" s="270">
        <f>ARTS!J32</f>
        <v>0</v>
      </c>
      <c r="AV31" s="270">
        <f>ARTS!N32</f>
        <v>0</v>
      </c>
      <c r="AW31" s="208">
        <f>ARTS!R32</f>
        <v>0</v>
      </c>
      <c r="AX31" s="237">
        <f t="shared" si="2"/>
        <v>0</v>
      </c>
      <c r="AY31" s="238">
        <f>'PE-HEALTH'!F32</f>
        <v>75</v>
      </c>
      <c r="AZ31" s="270">
        <f>'PE-HEALTH'!J32</f>
        <v>75</v>
      </c>
      <c r="BA31" s="270">
        <f>'PE-HEALTH'!N32</f>
        <v>75</v>
      </c>
      <c r="BB31" s="208">
        <f>'PE-HEALTH'!R32</f>
        <v>90</v>
      </c>
      <c r="BC31" s="239">
        <f t="shared" si="3"/>
        <v>79</v>
      </c>
      <c r="BD31" s="240">
        <f>HEALTH!F32</f>
        <v>0</v>
      </c>
      <c r="BE31" s="270">
        <f>HEALTH!J32</f>
        <v>0</v>
      </c>
      <c r="BF31" s="270">
        <f>HEALTH!N32</f>
        <v>0</v>
      </c>
      <c r="BG31" s="208">
        <f>HEALTH!R32</f>
        <v>0</v>
      </c>
      <c r="BH31" s="237">
        <f t="shared" si="4"/>
        <v>0</v>
      </c>
      <c r="BI31" s="238">
        <f>' MAPEH FINAL'!F32</f>
        <v>75</v>
      </c>
      <c r="BJ31" s="270">
        <f>' MAPEH FINAL'!J32</f>
        <v>75</v>
      </c>
      <c r="BK31" s="270">
        <f>' MAPEH FINAL'!N32</f>
        <v>75</v>
      </c>
      <c r="BL31" s="208">
        <f>' MAPEH FINAL'!R32</f>
        <v>88</v>
      </c>
      <c r="BM31" s="239">
        <f t="shared" si="0"/>
        <v>78</v>
      </c>
      <c r="BN31" s="280">
        <f t="shared" si="5"/>
        <v>78.15625</v>
      </c>
      <c r="BO31" s="281">
        <f t="shared" si="6"/>
        <v>78</v>
      </c>
      <c r="BP31" s="169">
        <f t="shared" si="7"/>
        <v>28</v>
      </c>
      <c r="BQ31" s="169"/>
      <c r="BR31" s="169"/>
      <c r="BS31" s="204">
        <v>21</v>
      </c>
      <c r="BT31" s="286" t="s">
        <v>38</v>
      </c>
      <c r="BU31" s="289"/>
      <c r="BV31" s="169"/>
      <c r="BW31" s="169"/>
      <c r="BX31" s="169"/>
      <c r="BY31" s="169"/>
      <c r="BZ31" s="169"/>
      <c r="CA31" s="169"/>
      <c r="CB31" s="169"/>
      <c r="CC31" s="169"/>
      <c r="CD31" s="169"/>
      <c r="CE31" s="169"/>
      <c r="CF31" s="169"/>
      <c r="CG31" s="169"/>
      <c r="CH31" s="169"/>
      <c r="CI31" s="169"/>
      <c r="CJ31" s="169"/>
      <c r="CK31" s="169"/>
      <c r="CL31" s="169"/>
      <c r="CM31" s="169"/>
      <c r="CN31" s="169"/>
      <c r="CO31" s="169"/>
      <c r="CP31" s="169"/>
      <c r="CQ31" s="169"/>
      <c r="CR31" s="169"/>
      <c r="CS31" s="169"/>
      <c r="CT31" s="169"/>
      <c r="CU31" s="169"/>
      <c r="CV31" s="169"/>
      <c r="CW31" s="169"/>
      <c r="CX31" s="169"/>
      <c r="CY31" s="169"/>
      <c r="CZ31" s="169"/>
      <c r="DA31" s="169"/>
      <c r="DB31" s="169"/>
      <c r="DC31" s="169"/>
      <c r="DD31" s="169"/>
      <c r="DE31" s="169"/>
      <c r="DF31" s="169"/>
      <c r="DG31" s="169"/>
      <c r="DH31" s="169"/>
      <c r="DI31" s="169"/>
      <c r="DJ31" s="169"/>
      <c r="DK31" s="169"/>
      <c r="DL31" s="169"/>
      <c r="DM31" s="169"/>
      <c r="DN31" s="169"/>
      <c r="DO31" s="169"/>
      <c r="DP31" s="169"/>
      <c r="DQ31" s="169"/>
      <c r="DR31" s="169"/>
      <c r="DS31" s="169"/>
      <c r="DT31" s="169"/>
      <c r="DU31" s="169"/>
    </row>
    <row r="32" s="169" customFormat="1" ht="18" hidden="1" customHeight="1" spans="1:73">
      <c r="A32" s="204">
        <f>'INPUT DATA'!A33</f>
        <v>22</v>
      </c>
      <c r="B32" s="205">
        <f>'INPUT DATA'!B33:D33</f>
        <v>0</v>
      </c>
      <c r="C32" s="210"/>
      <c r="D32" s="210"/>
      <c r="E32" s="210"/>
      <c r="F32" s="207">
        <f>FILIPINO!F33</f>
        <v>0</v>
      </c>
      <c r="G32" s="208">
        <f>FILIPINO!J33</f>
        <v>0</v>
      </c>
      <c r="H32" s="209">
        <f>FILIPINO!N33</f>
        <v>0</v>
      </c>
      <c r="I32" s="208">
        <f>FILIPINO!R33</f>
        <v>0</v>
      </c>
      <c r="J32" s="237">
        <f>FILIPINO!V33</f>
        <v>0</v>
      </c>
      <c r="K32" s="238">
        <f>ENGLISH!F33</f>
        <v>0</v>
      </c>
      <c r="L32" s="208">
        <f>ENGLISH!J33</f>
        <v>0</v>
      </c>
      <c r="M32" s="208">
        <f>ENGLISH!N33</f>
        <v>0</v>
      </c>
      <c r="N32" s="208">
        <f>ENGLISH!R33</f>
        <v>0</v>
      </c>
      <c r="O32" s="239">
        <f>ENGLISH!V33</f>
        <v>0</v>
      </c>
      <c r="P32" s="240">
        <f>MATHEMATICS!F33</f>
        <v>0</v>
      </c>
      <c r="Q32" s="208">
        <f>MATHEMATICS!J33</f>
        <v>0</v>
      </c>
      <c r="R32" s="208">
        <f>MATHEMATICS!N33</f>
        <v>0</v>
      </c>
      <c r="S32" s="208">
        <f>MATHEMATICS!R33</f>
        <v>0</v>
      </c>
      <c r="T32" s="237">
        <f>MATHEMATICS!V33</f>
        <v>0</v>
      </c>
      <c r="U32" s="238">
        <f>SCIENCE!F33</f>
        <v>0</v>
      </c>
      <c r="V32" s="208">
        <f>SCIENCE!J33</f>
        <v>0</v>
      </c>
      <c r="W32" s="209">
        <f>SCIENCE!N33</f>
        <v>0</v>
      </c>
      <c r="X32" s="254">
        <f>SCIENCE!R33</f>
        <v>0</v>
      </c>
      <c r="Y32" s="239">
        <f>SCIENCE!V33</f>
        <v>0</v>
      </c>
      <c r="Z32" s="240">
        <f>AP!F33</f>
        <v>0</v>
      </c>
      <c r="AA32" s="208">
        <f>AP!J33</f>
        <v>0</v>
      </c>
      <c r="AB32" s="208">
        <f>AP!N33</f>
        <v>0</v>
      </c>
      <c r="AC32" s="208">
        <f>AP!R33</f>
        <v>0</v>
      </c>
      <c r="AD32" s="237">
        <f>AP!V33</f>
        <v>0</v>
      </c>
      <c r="AE32" s="240">
        <f>VALED!F33</f>
        <v>0</v>
      </c>
      <c r="AF32" s="254">
        <f>VALED!J33</f>
        <v>0</v>
      </c>
      <c r="AG32" s="254">
        <f>VALED!N33</f>
        <v>0</v>
      </c>
      <c r="AH32" s="208">
        <f>VALED!R33</f>
        <v>0</v>
      </c>
      <c r="AI32" s="239">
        <f>VALED!V33</f>
        <v>0</v>
      </c>
      <c r="AJ32" s="268">
        <f>TLE!F33</f>
        <v>0</v>
      </c>
      <c r="AK32" s="208">
        <f>TLE!J33</f>
        <v>0</v>
      </c>
      <c r="AL32" s="208">
        <f>TLE!N33</f>
        <v>0</v>
      </c>
      <c r="AM32" s="208">
        <f>TLE!R33</f>
        <v>0</v>
      </c>
      <c r="AN32" s="237">
        <f>TLE!V33</f>
        <v>0</v>
      </c>
      <c r="AO32" s="238">
        <f>'MUSIC-ARTS'!F33</f>
        <v>0</v>
      </c>
      <c r="AP32" s="270">
        <f>'MUSIC-ARTS'!J33</f>
        <v>0</v>
      </c>
      <c r="AQ32" s="270">
        <f>'MUSIC-ARTS'!N33</f>
        <v>0</v>
      </c>
      <c r="AR32" s="208">
        <f>'MUSIC-ARTS'!R33</f>
        <v>0</v>
      </c>
      <c r="AS32" s="239">
        <f t="shared" si="1"/>
        <v>0</v>
      </c>
      <c r="AT32" s="240">
        <f>ARTS!F33</f>
        <v>0</v>
      </c>
      <c r="AU32" s="270">
        <f>ARTS!J33</f>
        <v>0</v>
      </c>
      <c r="AV32" s="270">
        <f>ARTS!N33</f>
        <v>0</v>
      </c>
      <c r="AW32" s="208">
        <f>ARTS!R33</f>
        <v>0</v>
      </c>
      <c r="AX32" s="237">
        <f t="shared" si="2"/>
        <v>0</v>
      </c>
      <c r="AY32" s="238">
        <f>'PE-HEALTH'!F33</f>
        <v>0</v>
      </c>
      <c r="AZ32" s="270">
        <f>'PE-HEALTH'!J33</f>
        <v>0</v>
      </c>
      <c r="BA32" s="270">
        <f>'PE-HEALTH'!N33</f>
        <v>0</v>
      </c>
      <c r="BB32" s="208">
        <f>'PE-HEALTH'!R33</f>
        <v>0</v>
      </c>
      <c r="BC32" s="239">
        <f t="shared" si="3"/>
        <v>0</v>
      </c>
      <c r="BD32" s="240">
        <f>HEALTH!F33</f>
        <v>0</v>
      </c>
      <c r="BE32" s="270">
        <f>HEALTH!J33</f>
        <v>0</v>
      </c>
      <c r="BF32" s="270">
        <f>HEALTH!N33</f>
        <v>0</v>
      </c>
      <c r="BG32" s="208">
        <f>HEALTH!R33</f>
        <v>0</v>
      </c>
      <c r="BH32" s="237">
        <f t="shared" si="4"/>
        <v>0</v>
      </c>
      <c r="BI32" s="238" t="str">
        <f>' MAPEH FINAL'!F33</f>
        <v/>
      </c>
      <c r="BJ32" s="270" t="str">
        <f>' MAPEH FINAL'!J33</f>
        <v/>
      </c>
      <c r="BK32" s="270" t="str">
        <f>' MAPEH FINAL'!N33</f>
        <v/>
      </c>
      <c r="BL32" s="208" t="str">
        <f>' MAPEH FINAL'!R33</f>
        <v/>
      </c>
      <c r="BM32" s="239" t="str">
        <f t="shared" si="0"/>
        <v/>
      </c>
      <c r="BN32" s="280" t="str">
        <f t="shared" si="5"/>
        <v/>
      </c>
      <c r="BO32" s="281" t="str">
        <f t="shared" si="6"/>
        <v/>
      </c>
      <c r="BP32" s="169">
        <f t="shared" si="7"/>
        <v>34</v>
      </c>
      <c r="BS32" s="204">
        <f>'INPUT DATA'!BS33</f>
        <v>0</v>
      </c>
      <c r="BT32" s="205">
        <f>'INPUT DATA'!BT33:BV33</f>
        <v>0</v>
      </c>
      <c r="BU32" s="210"/>
    </row>
    <row r="33" s="168" customFormat="1" ht="18" hidden="1" customHeight="1" spans="1:125">
      <c r="A33" s="204">
        <f>'INPUT DATA'!A34</f>
        <v>23</v>
      </c>
      <c r="B33" s="205">
        <f>'INPUT DATA'!B34:D34</f>
        <v>0</v>
      </c>
      <c r="C33" s="213"/>
      <c r="D33" s="213"/>
      <c r="E33" s="213"/>
      <c r="F33" s="207">
        <f>FILIPINO!F34</f>
        <v>0</v>
      </c>
      <c r="G33" s="208">
        <f>FILIPINO!J34</f>
        <v>0</v>
      </c>
      <c r="H33" s="209">
        <f>FILIPINO!N34</f>
        <v>0</v>
      </c>
      <c r="I33" s="208">
        <f>FILIPINO!R34</f>
        <v>0</v>
      </c>
      <c r="J33" s="237">
        <f>FILIPINO!V34</f>
        <v>0</v>
      </c>
      <c r="K33" s="238">
        <f>ENGLISH!F34</f>
        <v>0</v>
      </c>
      <c r="L33" s="208">
        <f>ENGLISH!J34</f>
        <v>0</v>
      </c>
      <c r="M33" s="208">
        <f>ENGLISH!N34</f>
        <v>0</v>
      </c>
      <c r="N33" s="208">
        <f>ENGLISH!R34</f>
        <v>0</v>
      </c>
      <c r="O33" s="239">
        <f>ENGLISH!V34</f>
        <v>0</v>
      </c>
      <c r="P33" s="240">
        <f>MATHEMATICS!F34</f>
        <v>0</v>
      </c>
      <c r="Q33" s="208">
        <f>MATHEMATICS!J34</f>
        <v>0</v>
      </c>
      <c r="R33" s="208">
        <f>MATHEMATICS!N34</f>
        <v>0</v>
      </c>
      <c r="S33" s="208">
        <f>MATHEMATICS!R34</f>
        <v>0</v>
      </c>
      <c r="T33" s="237">
        <f>MATHEMATICS!V34</f>
        <v>0</v>
      </c>
      <c r="U33" s="238">
        <f>SCIENCE!F34</f>
        <v>0</v>
      </c>
      <c r="V33" s="208">
        <f>SCIENCE!J34</f>
        <v>0</v>
      </c>
      <c r="W33" s="209">
        <f>SCIENCE!N34</f>
        <v>0</v>
      </c>
      <c r="X33" s="254">
        <f>SCIENCE!R34</f>
        <v>0</v>
      </c>
      <c r="Y33" s="239">
        <f>SCIENCE!V34</f>
        <v>0</v>
      </c>
      <c r="Z33" s="240">
        <f>AP!F34</f>
        <v>0</v>
      </c>
      <c r="AA33" s="208">
        <f>AP!J34</f>
        <v>0</v>
      </c>
      <c r="AB33" s="208">
        <f>AP!N34</f>
        <v>0</v>
      </c>
      <c r="AC33" s="208">
        <f>AP!R34</f>
        <v>0</v>
      </c>
      <c r="AD33" s="237">
        <f>AP!V34</f>
        <v>0</v>
      </c>
      <c r="AE33" s="240">
        <f>VALED!F34</f>
        <v>0</v>
      </c>
      <c r="AF33" s="254">
        <f>VALED!J34</f>
        <v>0</v>
      </c>
      <c r="AG33" s="254">
        <f>VALED!N34</f>
        <v>0</v>
      </c>
      <c r="AH33" s="208">
        <f>VALED!R34</f>
        <v>0</v>
      </c>
      <c r="AI33" s="239">
        <f>VALED!V34</f>
        <v>0</v>
      </c>
      <c r="AJ33" s="268">
        <f>TLE!F34</f>
        <v>0</v>
      </c>
      <c r="AK33" s="208">
        <f>TLE!J34</f>
        <v>0</v>
      </c>
      <c r="AL33" s="208">
        <f>TLE!N34</f>
        <v>0</v>
      </c>
      <c r="AM33" s="208">
        <f>TLE!R34</f>
        <v>0</v>
      </c>
      <c r="AN33" s="237">
        <f>TLE!V34</f>
        <v>0</v>
      </c>
      <c r="AO33" s="238">
        <f>'MUSIC-ARTS'!F34</f>
        <v>0</v>
      </c>
      <c r="AP33" s="270">
        <f>'MUSIC-ARTS'!J34</f>
        <v>0</v>
      </c>
      <c r="AQ33" s="270">
        <f>'MUSIC-ARTS'!N34</f>
        <v>0</v>
      </c>
      <c r="AR33" s="208">
        <f>'MUSIC-ARTS'!R34</f>
        <v>0</v>
      </c>
      <c r="AS33" s="239">
        <f t="shared" si="1"/>
        <v>0</v>
      </c>
      <c r="AT33" s="240">
        <f>ARTS!F34</f>
        <v>0</v>
      </c>
      <c r="AU33" s="270">
        <f>ARTS!J34</f>
        <v>0</v>
      </c>
      <c r="AV33" s="270">
        <f>ARTS!N34</f>
        <v>0</v>
      </c>
      <c r="AW33" s="208">
        <f>ARTS!R34</f>
        <v>0</v>
      </c>
      <c r="AX33" s="237">
        <f t="shared" si="2"/>
        <v>0</v>
      </c>
      <c r="AY33" s="238">
        <f>'PE-HEALTH'!F34</f>
        <v>0</v>
      </c>
      <c r="AZ33" s="270">
        <f>'PE-HEALTH'!J34</f>
        <v>0</v>
      </c>
      <c r="BA33" s="270">
        <f>'PE-HEALTH'!N34</f>
        <v>0</v>
      </c>
      <c r="BB33" s="208">
        <f>'PE-HEALTH'!R34</f>
        <v>0</v>
      </c>
      <c r="BC33" s="239">
        <f t="shared" si="3"/>
        <v>0</v>
      </c>
      <c r="BD33" s="240">
        <f>HEALTH!F34</f>
        <v>0</v>
      </c>
      <c r="BE33" s="270">
        <f>HEALTH!J34</f>
        <v>0</v>
      </c>
      <c r="BF33" s="270">
        <f>HEALTH!N34</f>
        <v>0</v>
      </c>
      <c r="BG33" s="208">
        <f>HEALTH!R34</f>
        <v>0</v>
      </c>
      <c r="BH33" s="237">
        <f t="shared" si="4"/>
        <v>0</v>
      </c>
      <c r="BI33" s="238" t="str">
        <f>' MAPEH FINAL'!F34</f>
        <v/>
      </c>
      <c r="BJ33" s="270" t="str">
        <f>' MAPEH FINAL'!J34</f>
        <v/>
      </c>
      <c r="BK33" s="270" t="str">
        <f>' MAPEH FINAL'!N34</f>
        <v/>
      </c>
      <c r="BL33" s="208" t="str">
        <f>' MAPEH FINAL'!R34</f>
        <v/>
      </c>
      <c r="BM33" s="239" t="str">
        <f t="shared" si="0"/>
        <v/>
      </c>
      <c r="BN33" s="280" t="str">
        <f t="shared" si="5"/>
        <v/>
      </c>
      <c r="BO33" s="281" t="str">
        <f t="shared" si="6"/>
        <v/>
      </c>
      <c r="BP33" s="169">
        <f t="shared" si="7"/>
        <v>34</v>
      </c>
      <c r="BQ33" s="169"/>
      <c r="BR33" s="169"/>
      <c r="BS33" s="204">
        <f>'INPUT DATA'!BS34</f>
        <v>0</v>
      </c>
      <c r="BT33" s="205">
        <f>'INPUT DATA'!BT34:BV34</f>
        <v>0</v>
      </c>
      <c r="BU33" s="213"/>
      <c r="BV33" s="169"/>
      <c r="BW33" s="169"/>
      <c r="BX33" s="169"/>
      <c r="BY33" s="169"/>
      <c r="BZ33" s="169"/>
      <c r="CA33" s="169"/>
      <c r="CB33" s="169"/>
      <c r="CC33" s="169"/>
      <c r="CD33" s="169"/>
      <c r="CE33" s="169"/>
      <c r="CF33" s="169"/>
      <c r="CG33" s="169"/>
      <c r="CH33" s="169"/>
      <c r="CI33" s="169"/>
      <c r="CJ33" s="169"/>
      <c r="CK33" s="169"/>
      <c r="CL33" s="169"/>
      <c r="CM33" s="169"/>
      <c r="CN33" s="169"/>
      <c r="CO33" s="169"/>
      <c r="CP33" s="169"/>
      <c r="CQ33" s="169"/>
      <c r="CR33" s="169"/>
      <c r="CS33" s="169"/>
      <c r="CT33" s="169"/>
      <c r="CU33" s="169"/>
      <c r="CV33" s="169"/>
      <c r="CW33" s="169"/>
      <c r="CX33" s="169"/>
      <c r="CY33" s="169"/>
      <c r="CZ33" s="169"/>
      <c r="DA33" s="169"/>
      <c r="DB33" s="169"/>
      <c r="DC33" s="169"/>
      <c r="DD33" s="169"/>
      <c r="DE33" s="169"/>
      <c r="DF33" s="169"/>
      <c r="DG33" s="169"/>
      <c r="DH33" s="169"/>
      <c r="DI33" s="169"/>
      <c r="DJ33" s="169"/>
      <c r="DK33" s="169"/>
      <c r="DL33" s="169"/>
      <c r="DM33" s="169"/>
      <c r="DN33" s="169"/>
      <c r="DO33" s="169"/>
      <c r="DP33" s="169"/>
      <c r="DQ33" s="169"/>
      <c r="DR33" s="169"/>
      <c r="DS33" s="169"/>
      <c r="DT33" s="169"/>
      <c r="DU33" s="169"/>
    </row>
    <row r="34" s="168" customFormat="1" ht="18" hidden="1" customHeight="1" spans="1:125">
      <c r="A34" s="204">
        <f>'INPUT DATA'!A35</f>
        <v>24</v>
      </c>
      <c r="B34" s="205">
        <f>'INPUT DATA'!B35:D35</f>
        <v>0</v>
      </c>
      <c r="C34" s="206"/>
      <c r="D34" s="206"/>
      <c r="E34" s="206"/>
      <c r="F34" s="207">
        <f>FILIPINO!F35</f>
        <v>0</v>
      </c>
      <c r="G34" s="208">
        <f>FILIPINO!J35</f>
        <v>0</v>
      </c>
      <c r="H34" s="209">
        <f>FILIPINO!N35</f>
        <v>0</v>
      </c>
      <c r="I34" s="208">
        <f>FILIPINO!R35</f>
        <v>0</v>
      </c>
      <c r="J34" s="237">
        <f>FILIPINO!V35</f>
        <v>0</v>
      </c>
      <c r="K34" s="238">
        <f>ENGLISH!F35</f>
        <v>0</v>
      </c>
      <c r="L34" s="208">
        <f>ENGLISH!J35</f>
        <v>0</v>
      </c>
      <c r="M34" s="208">
        <f>ENGLISH!N35</f>
        <v>0</v>
      </c>
      <c r="N34" s="208">
        <f>ENGLISH!R35</f>
        <v>0</v>
      </c>
      <c r="O34" s="239">
        <f>ENGLISH!V35</f>
        <v>0</v>
      </c>
      <c r="P34" s="240">
        <f>MATHEMATICS!F35</f>
        <v>0</v>
      </c>
      <c r="Q34" s="208">
        <f>MATHEMATICS!J35</f>
        <v>0</v>
      </c>
      <c r="R34" s="208">
        <f>MATHEMATICS!N35</f>
        <v>0</v>
      </c>
      <c r="S34" s="208">
        <f>MATHEMATICS!R35</f>
        <v>0</v>
      </c>
      <c r="T34" s="237">
        <f>MATHEMATICS!V35</f>
        <v>0</v>
      </c>
      <c r="U34" s="238">
        <f>SCIENCE!F35</f>
        <v>0</v>
      </c>
      <c r="V34" s="208">
        <f>SCIENCE!J35</f>
        <v>0</v>
      </c>
      <c r="W34" s="209">
        <f>SCIENCE!N35</f>
        <v>0</v>
      </c>
      <c r="X34" s="254">
        <f>SCIENCE!R35</f>
        <v>0</v>
      </c>
      <c r="Y34" s="239">
        <f>SCIENCE!V35</f>
        <v>0</v>
      </c>
      <c r="Z34" s="240">
        <f>AP!F35</f>
        <v>0</v>
      </c>
      <c r="AA34" s="208">
        <f>AP!J35</f>
        <v>0</v>
      </c>
      <c r="AB34" s="208">
        <f>AP!N35</f>
        <v>0</v>
      </c>
      <c r="AC34" s="208">
        <f>AP!R35</f>
        <v>0</v>
      </c>
      <c r="AD34" s="237">
        <f>AP!V35</f>
        <v>0</v>
      </c>
      <c r="AE34" s="240">
        <f>VALED!F35</f>
        <v>0</v>
      </c>
      <c r="AF34" s="254">
        <f>VALED!J35</f>
        <v>0</v>
      </c>
      <c r="AG34" s="254">
        <f>VALED!N35</f>
        <v>0</v>
      </c>
      <c r="AH34" s="208">
        <f>VALED!R35</f>
        <v>0</v>
      </c>
      <c r="AI34" s="239">
        <f>VALED!V35</f>
        <v>0</v>
      </c>
      <c r="AJ34" s="268">
        <f>TLE!F35</f>
        <v>0</v>
      </c>
      <c r="AK34" s="208">
        <f>TLE!J35</f>
        <v>0</v>
      </c>
      <c r="AL34" s="208">
        <f>TLE!N35</f>
        <v>0</v>
      </c>
      <c r="AM34" s="208">
        <f>TLE!R35</f>
        <v>0</v>
      </c>
      <c r="AN34" s="237">
        <f>TLE!V35</f>
        <v>0</v>
      </c>
      <c r="AO34" s="238">
        <f>'MUSIC-ARTS'!F35</f>
        <v>0</v>
      </c>
      <c r="AP34" s="270">
        <f>'MUSIC-ARTS'!J35</f>
        <v>0</v>
      </c>
      <c r="AQ34" s="270">
        <f>'MUSIC-ARTS'!N35</f>
        <v>0</v>
      </c>
      <c r="AR34" s="208">
        <f>'MUSIC-ARTS'!R35</f>
        <v>0</v>
      </c>
      <c r="AS34" s="239">
        <f t="shared" si="1"/>
        <v>0</v>
      </c>
      <c r="AT34" s="240">
        <f>ARTS!F35</f>
        <v>0</v>
      </c>
      <c r="AU34" s="270">
        <f>ARTS!J35</f>
        <v>0</v>
      </c>
      <c r="AV34" s="270">
        <f>ARTS!N35</f>
        <v>0</v>
      </c>
      <c r="AW34" s="208">
        <f>ARTS!R35</f>
        <v>0</v>
      </c>
      <c r="AX34" s="237">
        <f t="shared" si="2"/>
        <v>0</v>
      </c>
      <c r="AY34" s="238">
        <f>'PE-HEALTH'!F35</f>
        <v>0</v>
      </c>
      <c r="AZ34" s="270">
        <f>'PE-HEALTH'!J35</f>
        <v>0</v>
      </c>
      <c r="BA34" s="270">
        <f>'PE-HEALTH'!N35</f>
        <v>0</v>
      </c>
      <c r="BB34" s="208">
        <f>'PE-HEALTH'!R35</f>
        <v>0</v>
      </c>
      <c r="BC34" s="239">
        <f t="shared" si="3"/>
        <v>0</v>
      </c>
      <c r="BD34" s="240">
        <f>HEALTH!F35</f>
        <v>0</v>
      </c>
      <c r="BE34" s="270">
        <f>HEALTH!J35</f>
        <v>0</v>
      </c>
      <c r="BF34" s="270">
        <f>HEALTH!N35</f>
        <v>0</v>
      </c>
      <c r="BG34" s="208">
        <f>HEALTH!R35</f>
        <v>0</v>
      </c>
      <c r="BH34" s="237">
        <f t="shared" si="4"/>
        <v>0</v>
      </c>
      <c r="BI34" s="238" t="str">
        <f>' MAPEH FINAL'!F35</f>
        <v/>
      </c>
      <c r="BJ34" s="270" t="str">
        <f>' MAPEH FINAL'!J35</f>
        <v/>
      </c>
      <c r="BK34" s="270" t="str">
        <f>' MAPEH FINAL'!N35</f>
        <v/>
      </c>
      <c r="BL34" s="208" t="str">
        <f>' MAPEH FINAL'!R35</f>
        <v/>
      </c>
      <c r="BM34" s="239" t="str">
        <f t="shared" si="0"/>
        <v/>
      </c>
      <c r="BN34" s="280" t="str">
        <f t="shared" si="5"/>
        <v/>
      </c>
      <c r="BO34" s="281" t="str">
        <f t="shared" si="6"/>
        <v/>
      </c>
      <c r="BP34" s="283">
        <f t="shared" si="7"/>
        <v>34</v>
      </c>
      <c r="BQ34" s="169"/>
      <c r="BR34" s="169"/>
      <c r="BS34" s="204">
        <f>'INPUT DATA'!BS35</f>
        <v>0</v>
      </c>
      <c r="BT34" s="205">
        <f>'INPUT DATA'!BT35:BV35</f>
        <v>0</v>
      </c>
      <c r="BU34" s="206"/>
      <c r="BV34" s="169"/>
      <c r="BW34" s="169"/>
      <c r="BX34" s="169"/>
      <c r="BY34" s="169"/>
      <c r="BZ34" s="169"/>
      <c r="CA34" s="169"/>
      <c r="CB34" s="169"/>
      <c r="CC34" s="169"/>
      <c r="CD34" s="169"/>
      <c r="CE34" s="169"/>
      <c r="CF34" s="169"/>
      <c r="CG34" s="169"/>
      <c r="CH34" s="169"/>
      <c r="CI34" s="169"/>
      <c r="CJ34" s="169"/>
      <c r="CK34" s="169"/>
      <c r="CL34" s="169"/>
      <c r="CM34" s="169"/>
      <c r="CN34" s="169"/>
      <c r="CO34" s="169"/>
      <c r="CP34" s="169"/>
      <c r="CQ34" s="169"/>
      <c r="CR34" s="169"/>
      <c r="CS34" s="169"/>
      <c r="CT34" s="169"/>
      <c r="CU34" s="169"/>
      <c r="CV34" s="169"/>
      <c r="CW34" s="169"/>
      <c r="CX34" s="169"/>
      <c r="CY34" s="169"/>
      <c r="CZ34" s="169"/>
      <c r="DA34" s="169"/>
      <c r="DB34" s="169"/>
      <c r="DC34" s="169"/>
      <c r="DD34" s="169"/>
      <c r="DE34" s="169"/>
      <c r="DF34" s="169"/>
      <c r="DG34" s="169"/>
      <c r="DH34" s="169"/>
      <c r="DI34" s="169"/>
      <c r="DJ34" s="169"/>
      <c r="DK34" s="169"/>
      <c r="DL34" s="169"/>
      <c r="DM34" s="169"/>
      <c r="DN34" s="169"/>
      <c r="DO34" s="169"/>
      <c r="DP34" s="169"/>
      <c r="DQ34" s="169"/>
      <c r="DR34" s="169"/>
      <c r="DS34" s="169"/>
      <c r="DT34" s="169"/>
      <c r="DU34" s="169"/>
    </row>
    <row r="35" s="168" customFormat="1" ht="18" hidden="1" customHeight="1" spans="1:125">
      <c r="A35" s="204">
        <f>'INPUT DATA'!A36</f>
        <v>25</v>
      </c>
      <c r="B35" s="205">
        <f>'INPUT DATA'!B36:D36</f>
        <v>0</v>
      </c>
      <c r="C35" s="206"/>
      <c r="D35" s="206"/>
      <c r="E35" s="206"/>
      <c r="F35" s="207">
        <f>FILIPINO!F36</f>
        <v>0</v>
      </c>
      <c r="G35" s="208">
        <f>FILIPINO!J36</f>
        <v>0</v>
      </c>
      <c r="H35" s="209">
        <f>FILIPINO!N36</f>
        <v>0</v>
      </c>
      <c r="I35" s="208">
        <f>FILIPINO!R36</f>
        <v>0</v>
      </c>
      <c r="J35" s="237">
        <f>FILIPINO!V36</f>
        <v>0</v>
      </c>
      <c r="K35" s="238">
        <f>ENGLISH!F36</f>
        <v>0</v>
      </c>
      <c r="L35" s="208">
        <f>ENGLISH!J36</f>
        <v>0</v>
      </c>
      <c r="M35" s="208">
        <f>ENGLISH!N36</f>
        <v>0</v>
      </c>
      <c r="N35" s="208">
        <f>ENGLISH!R36</f>
        <v>0</v>
      </c>
      <c r="O35" s="239">
        <f>ENGLISH!V36</f>
        <v>0</v>
      </c>
      <c r="P35" s="240">
        <f>MATHEMATICS!F36</f>
        <v>0</v>
      </c>
      <c r="Q35" s="208">
        <f>MATHEMATICS!J36</f>
        <v>0</v>
      </c>
      <c r="R35" s="208">
        <f>MATHEMATICS!N36</f>
        <v>0</v>
      </c>
      <c r="S35" s="208">
        <f>MATHEMATICS!R36</f>
        <v>0</v>
      </c>
      <c r="T35" s="237">
        <f>MATHEMATICS!V36</f>
        <v>0</v>
      </c>
      <c r="U35" s="238">
        <f>SCIENCE!F36</f>
        <v>0</v>
      </c>
      <c r="V35" s="208">
        <f>SCIENCE!J36</f>
        <v>0</v>
      </c>
      <c r="W35" s="209">
        <f>SCIENCE!N36</f>
        <v>0</v>
      </c>
      <c r="X35" s="254">
        <f>SCIENCE!R36</f>
        <v>0</v>
      </c>
      <c r="Y35" s="239">
        <f>SCIENCE!V36</f>
        <v>0</v>
      </c>
      <c r="Z35" s="240">
        <f>AP!F36</f>
        <v>0</v>
      </c>
      <c r="AA35" s="208">
        <f>AP!J36</f>
        <v>0</v>
      </c>
      <c r="AB35" s="208">
        <f>AP!N36</f>
        <v>0</v>
      </c>
      <c r="AC35" s="208">
        <f>AP!R36</f>
        <v>0</v>
      </c>
      <c r="AD35" s="237">
        <f>AP!V36</f>
        <v>0</v>
      </c>
      <c r="AE35" s="240">
        <f>VALED!F36</f>
        <v>0</v>
      </c>
      <c r="AF35" s="254">
        <f>VALED!J36</f>
        <v>0</v>
      </c>
      <c r="AG35" s="254">
        <f>VALED!N36</f>
        <v>0</v>
      </c>
      <c r="AH35" s="208">
        <f>VALED!R36</f>
        <v>0</v>
      </c>
      <c r="AI35" s="239">
        <f>VALED!V36</f>
        <v>0</v>
      </c>
      <c r="AJ35" s="268">
        <f>TLE!F36</f>
        <v>0</v>
      </c>
      <c r="AK35" s="208">
        <f>TLE!J36</f>
        <v>0</v>
      </c>
      <c r="AL35" s="208">
        <f>TLE!N36</f>
        <v>0</v>
      </c>
      <c r="AM35" s="208">
        <f>TLE!R36</f>
        <v>0</v>
      </c>
      <c r="AN35" s="237">
        <f>TLE!V36</f>
        <v>0</v>
      </c>
      <c r="AO35" s="238">
        <f>'MUSIC-ARTS'!F36</f>
        <v>0</v>
      </c>
      <c r="AP35" s="270">
        <f>'MUSIC-ARTS'!J36</f>
        <v>0</v>
      </c>
      <c r="AQ35" s="270">
        <f>'MUSIC-ARTS'!N36</f>
        <v>0</v>
      </c>
      <c r="AR35" s="208">
        <f>'MUSIC-ARTS'!R36</f>
        <v>0</v>
      </c>
      <c r="AS35" s="239">
        <f t="shared" si="1"/>
        <v>0</v>
      </c>
      <c r="AT35" s="240">
        <f>ARTS!F36</f>
        <v>0</v>
      </c>
      <c r="AU35" s="270">
        <f>ARTS!J36</f>
        <v>0</v>
      </c>
      <c r="AV35" s="270">
        <f>ARTS!N36</f>
        <v>0</v>
      </c>
      <c r="AW35" s="208">
        <f>ARTS!R36</f>
        <v>0</v>
      </c>
      <c r="AX35" s="237">
        <f t="shared" si="2"/>
        <v>0</v>
      </c>
      <c r="AY35" s="238">
        <f>'PE-HEALTH'!F36</f>
        <v>0</v>
      </c>
      <c r="AZ35" s="270">
        <f>'PE-HEALTH'!J36</f>
        <v>0</v>
      </c>
      <c r="BA35" s="270">
        <f>'PE-HEALTH'!N36</f>
        <v>0</v>
      </c>
      <c r="BB35" s="208">
        <f>'PE-HEALTH'!R36</f>
        <v>0</v>
      </c>
      <c r="BC35" s="239">
        <f t="shared" si="3"/>
        <v>0</v>
      </c>
      <c r="BD35" s="240">
        <f>HEALTH!F36</f>
        <v>0</v>
      </c>
      <c r="BE35" s="270">
        <f>HEALTH!J36</f>
        <v>0</v>
      </c>
      <c r="BF35" s="270">
        <f>HEALTH!N36</f>
        <v>0</v>
      </c>
      <c r="BG35" s="208">
        <f>HEALTH!R36</f>
        <v>0</v>
      </c>
      <c r="BH35" s="237">
        <f t="shared" si="4"/>
        <v>0</v>
      </c>
      <c r="BI35" s="238" t="str">
        <f>' MAPEH FINAL'!F36</f>
        <v/>
      </c>
      <c r="BJ35" s="270" t="str">
        <f>' MAPEH FINAL'!J36</f>
        <v/>
      </c>
      <c r="BK35" s="270" t="str">
        <f>' MAPEH FINAL'!N36</f>
        <v/>
      </c>
      <c r="BL35" s="208" t="str">
        <f>' MAPEH FINAL'!R36</f>
        <v/>
      </c>
      <c r="BM35" s="239" t="str">
        <f t="shared" si="0"/>
        <v/>
      </c>
      <c r="BN35" s="280" t="str">
        <f t="shared" si="5"/>
        <v/>
      </c>
      <c r="BO35" s="281" t="str">
        <f t="shared" si="6"/>
        <v/>
      </c>
      <c r="BP35" s="169">
        <f t="shared" si="7"/>
        <v>34</v>
      </c>
      <c r="BQ35" s="169"/>
      <c r="BR35" s="169"/>
      <c r="BS35" s="204">
        <f>'INPUT DATA'!BS36</f>
        <v>0</v>
      </c>
      <c r="BT35" s="205">
        <f>'INPUT DATA'!BT36:BV36</f>
        <v>0</v>
      </c>
      <c r="BU35" s="206"/>
      <c r="BV35" s="169"/>
      <c r="BW35" s="169"/>
      <c r="BX35" s="169"/>
      <c r="BY35" s="169"/>
      <c r="BZ35" s="169"/>
      <c r="CA35" s="169"/>
      <c r="CB35" s="169"/>
      <c r="CC35" s="169"/>
      <c r="CD35" s="169"/>
      <c r="CE35" s="169"/>
      <c r="CF35" s="169"/>
      <c r="CG35" s="169"/>
      <c r="CH35" s="169"/>
      <c r="CI35" s="169"/>
      <c r="CJ35" s="169"/>
      <c r="CK35" s="169"/>
      <c r="CL35" s="169"/>
      <c r="CM35" s="169"/>
      <c r="CN35" s="169"/>
      <c r="CO35" s="169"/>
      <c r="CP35" s="169"/>
      <c r="CQ35" s="169"/>
      <c r="CR35" s="169"/>
      <c r="CS35" s="169"/>
      <c r="CT35" s="169"/>
      <c r="CU35" s="169"/>
      <c r="CV35" s="169"/>
      <c r="CW35" s="169"/>
      <c r="CX35" s="169"/>
      <c r="CY35" s="169"/>
      <c r="CZ35" s="169"/>
      <c r="DA35" s="169"/>
      <c r="DB35" s="169"/>
      <c r="DC35" s="169"/>
      <c r="DD35" s="169"/>
      <c r="DE35" s="169"/>
      <c r="DF35" s="169"/>
      <c r="DG35" s="169"/>
      <c r="DH35" s="169"/>
      <c r="DI35" s="169"/>
      <c r="DJ35" s="169"/>
      <c r="DK35" s="169"/>
      <c r="DL35" s="169"/>
      <c r="DM35" s="169"/>
      <c r="DN35" s="169"/>
      <c r="DO35" s="169"/>
      <c r="DP35" s="169"/>
      <c r="DQ35" s="169"/>
      <c r="DR35" s="169"/>
      <c r="DS35" s="169"/>
      <c r="DT35" s="169"/>
      <c r="DU35" s="169"/>
    </row>
    <row r="36" s="168" customFormat="1" ht="18" hidden="1" customHeight="1" spans="1:125">
      <c r="A36" s="204">
        <f>'INPUT DATA'!A37</f>
        <v>26</v>
      </c>
      <c r="B36" s="205">
        <f>'INPUT DATA'!B37:D37</f>
        <v>0</v>
      </c>
      <c r="C36" s="206"/>
      <c r="D36" s="206"/>
      <c r="E36" s="206"/>
      <c r="F36" s="207">
        <f>FILIPINO!F37</f>
        <v>0</v>
      </c>
      <c r="G36" s="208">
        <f>FILIPINO!J37</f>
        <v>0</v>
      </c>
      <c r="H36" s="209">
        <f>FILIPINO!N37</f>
        <v>0</v>
      </c>
      <c r="I36" s="208">
        <f>FILIPINO!R37</f>
        <v>0</v>
      </c>
      <c r="J36" s="237">
        <f>FILIPINO!V37</f>
        <v>0</v>
      </c>
      <c r="K36" s="238">
        <f>ENGLISH!F37</f>
        <v>0</v>
      </c>
      <c r="L36" s="208">
        <f>ENGLISH!J37</f>
        <v>0</v>
      </c>
      <c r="M36" s="208">
        <f>ENGLISH!N37</f>
        <v>0</v>
      </c>
      <c r="N36" s="208">
        <f>ENGLISH!R37</f>
        <v>0</v>
      </c>
      <c r="O36" s="239">
        <f>ENGLISH!V37</f>
        <v>0</v>
      </c>
      <c r="P36" s="240">
        <f>MATHEMATICS!F37</f>
        <v>0</v>
      </c>
      <c r="Q36" s="208">
        <f>MATHEMATICS!J37</f>
        <v>0</v>
      </c>
      <c r="R36" s="208">
        <f>MATHEMATICS!N37</f>
        <v>0</v>
      </c>
      <c r="S36" s="208">
        <f>MATHEMATICS!R37</f>
        <v>0</v>
      </c>
      <c r="T36" s="237">
        <f>MATHEMATICS!V37</f>
        <v>0</v>
      </c>
      <c r="U36" s="238">
        <f>SCIENCE!F37</f>
        <v>0</v>
      </c>
      <c r="V36" s="208">
        <f>SCIENCE!J37</f>
        <v>0</v>
      </c>
      <c r="W36" s="209">
        <f>SCIENCE!N37</f>
        <v>0</v>
      </c>
      <c r="X36" s="254">
        <f>SCIENCE!R37</f>
        <v>0</v>
      </c>
      <c r="Y36" s="239">
        <f>SCIENCE!V37</f>
        <v>0</v>
      </c>
      <c r="Z36" s="240">
        <f>AP!F37</f>
        <v>0</v>
      </c>
      <c r="AA36" s="208">
        <f>AP!J37</f>
        <v>0</v>
      </c>
      <c r="AB36" s="208">
        <f>AP!N37</f>
        <v>0</v>
      </c>
      <c r="AC36" s="208">
        <f>AP!R37</f>
        <v>0</v>
      </c>
      <c r="AD36" s="237">
        <f>AP!V37</f>
        <v>0</v>
      </c>
      <c r="AE36" s="240">
        <f>VALED!F37</f>
        <v>0</v>
      </c>
      <c r="AF36" s="254">
        <f>VALED!J37</f>
        <v>0</v>
      </c>
      <c r="AG36" s="254">
        <f>VALED!N37</f>
        <v>0</v>
      </c>
      <c r="AH36" s="208">
        <f>VALED!R37</f>
        <v>0</v>
      </c>
      <c r="AI36" s="239">
        <f>VALED!V37</f>
        <v>0</v>
      </c>
      <c r="AJ36" s="268">
        <f>TLE!F37</f>
        <v>0</v>
      </c>
      <c r="AK36" s="208">
        <f>TLE!J37</f>
        <v>0</v>
      </c>
      <c r="AL36" s="208">
        <f>TLE!N37</f>
        <v>0</v>
      </c>
      <c r="AM36" s="208">
        <f>TLE!R37</f>
        <v>0</v>
      </c>
      <c r="AN36" s="237">
        <f>TLE!V37</f>
        <v>0</v>
      </c>
      <c r="AO36" s="238">
        <f>'MUSIC-ARTS'!F37</f>
        <v>0</v>
      </c>
      <c r="AP36" s="270">
        <f>'MUSIC-ARTS'!J37</f>
        <v>0</v>
      </c>
      <c r="AQ36" s="270">
        <f>'MUSIC-ARTS'!N37</f>
        <v>0</v>
      </c>
      <c r="AR36" s="208">
        <f>'MUSIC-ARTS'!R37</f>
        <v>0</v>
      </c>
      <c r="AS36" s="239">
        <f t="shared" si="1"/>
        <v>0</v>
      </c>
      <c r="AT36" s="240">
        <f>ARTS!F37</f>
        <v>0</v>
      </c>
      <c r="AU36" s="270">
        <f>ARTS!J37</f>
        <v>0</v>
      </c>
      <c r="AV36" s="270">
        <f>ARTS!N37</f>
        <v>0</v>
      </c>
      <c r="AW36" s="208">
        <f>ARTS!R37</f>
        <v>0</v>
      </c>
      <c r="AX36" s="237">
        <f t="shared" si="2"/>
        <v>0</v>
      </c>
      <c r="AY36" s="238">
        <f>'PE-HEALTH'!F37</f>
        <v>0</v>
      </c>
      <c r="AZ36" s="270">
        <f>'PE-HEALTH'!J37</f>
        <v>0</v>
      </c>
      <c r="BA36" s="270">
        <f>'PE-HEALTH'!N37</f>
        <v>0</v>
      </c>
      <c r="BB36" s="208">
        <f>'PE-HEALTH'!R37</f>
        <v>0</v>
      </c>
      <c r="BC36" s="239">
        <f t="shared" si="3"/>
        <v>0</v>
      </c>
      <c r="BD36" s="240">
        <f>HEALTH!F37</f>
        <v>0</v>
      </c>
      <c r="BE36" s="270">
        <f>HEALTH!J37</f>
        <v>0</v>
      </c>
      <c r="BF36" s="270">
        <f>HEALTH!N37</f>
        <v>0</v>
      </c>
      <c r="BG36" s="208">
        <f>HEALTH!R37</f>
        <v>0</v>
      </c>
      <c r="BH36" s="237">
        <f t="shared" si="4"/>
        <v>0</v>
      </c>
      <c r="BI36" s="238" t="str">
        <f>' MAPEH FINAL'!F37</f>
        <v/>
      </c>
      <c r="BJ36" s="270" t="str">
        <f>' MAPEH FINAL'!J37</f>
        <v/>
      </c>
      <c r="BK36" s="270" t="str">
        <f>' MAPEH FINAL'!N37</f>
        <v/>
      </c>
      <c r="BL36" s="208" t="str">
        <f>' MAPEH FINAL'!R37</f>
        <v/>
      </c>
      <c r="BM36" s="239" t="str">
        <f t="shared" si="0"/>
        <v/>
      </c>
      <c r="BN36" s="280" t="str">
        <f t="shared" si="5"/>
        <v/>
      </c>
      <c r="BO36" s="281" t="str">
        <f t="shared" si="6"/>
        <v/>
      </c>
      <c r="BP36" s="169">
        <f t="shared" si="7"/>
        <v>34</v>
      </c>
      <c r="BQ36" s="169"/>
      <c r="BR36" s="169"/>
      <c r="BS36" s="204">
        <f>'INPUT DATA'!BS37</f>
        <v>0</v>
      </c>
      <c r="BT36" s="205">
        <f>'INPUT DATA'!BT37:BV37</f>
        <v>0</v>
      </c>
      <c r="BU36" s="206"/>
      <c r="BV36" s="169"/>
      <c r="BW36" s="169"/>
      <c r="BX36" s="169"/>
      <c r="BY36" s="169"/>
      <c r="BZ36" s="169"/>
      <c r="CA36" s="169"/>
      <c r="CB36" s="169"/>
      <c r="CC36" s="169"/>
      <c r="CD36" s="169"/>
      <c r="CE36" s="169"/>
      <c r="CF36" s="169"/>
      <c r="CG36" s="169"/>
      <c r="CH36" s="169"/>
      <c r="CI36" s="169"/>
      <c r="CJ36" s="169"/>
      <c r="CK36" s="169"/>
      <c r="CL36" s="169"/>
      <c r="CM36" s="169"/>
      <c r="CN36" s="169"/>
      <c r="CO36" s="169"/>
      <c r="CP36" s="169"/>
      <c r="CQ36" s="169"/>
      <c r="CR36" s="169"/>
      <c r="CS36" s="169"/>
      <c r="CT36" s="169"/>
      <c r="CU36" s="169"/>
      <c r="CV36" s="169"/>
      <c r="CW36" s="169"/>
      <c r="CX36" s="169"/>
      <c r="CY36" s="169"/>
      <c r="CZ36" s="169"/>
      <c r="DA36" s="169"/>
      <c r="DB36" s="169"/>
      <c r="DC36" s="169"/>
      <c r="DD36" s="169"/>
      <c r="DE36" s="169"/>
      <c r="DF36" s="169"/>
      <c r="DG36" s="169"/>
      <c r="DH36" s="169"/>
      <c r="DI36" s="169"/>
      <c r="DJ36" s="169"/>
      <c r="DK36" s="169"/>
      <c r="DL36" s="169"/>
      <c r="DM36" s="169"/>
      <c r="DN36" s="169"/>
      <c r="DO36" s="169"/>
      <c r="DP36" s="169"/>
      <c r="DQ36" s="169"/>
      <c r="DR36" s="169"/>
      <c r="DS36" s="169"/>
      <c r="DT36" s="169"/>
      <c r="DU36" s="169"/>
    </row>
    <row r="37" s="168" customFormat="1" ht="18" hidden="1" customHeight="1" spans="1:125">
      <c r="A37" s="204">
        <f>'INPUT DATA'!A38</f>
        <v>27</v>
      </c>
      <c r="B37" s="205">
        <f>'INPUT DATA'!B38:D38</f>
        <v>0</v>
      </c>
      <c r="C37" s="206"/>
      <c r="D37" s="206"/>
      <c r="E37" s="206"/>
      <c r="F37" s="207"/>
      <c r="G37" s="208"/>
      <c r="H37" s="209"/>
      <c r="I37" s="208"/>
      <c r="J37" s="237"/>
      <c r="K37" s="238"/>
      <c r="L37" s="208"/>
      <c r="M37" s="208"/>
      <c r="N37" s="208"/>
      <c r="O37" s="239"/>
      <c r="P37" s="240"/>
      <c r="Q37" s="208"/>
      <c r="R37" s="208"/>
      <c r="S37" s="208"/>
      <c r="T37" s="237"/>
      <c r="U37" s="238"/>
      <c r="V37" s="208"/>
      <c r="W37" s="209"/>
      <c r="X37" s="254"/>
      <c r="Y37" s="239"/>
      <c r="Z37" s="240"/>
      <c r="AA37" s="208"/>
      <c r="AB37" s="208"/>
      <c r="AC37" s="208"/>
      <c r="AD37" s="237"/>
      <c r="AE37" s="240"/>
      <c r="AF37" s="254"/>
      <c r="AG37" s="254"/>
      <c r="AH37" s="208"/>
      <c r="AI37" s="239"/>
      <c r="AJ37" s="268"/>
      <c r="AK37" s="208"/>
      <c r="AL37" s="208"/>
      <c r="AM37" s="208"/>
      <c r="AN37" s="237"/>
      <c r="AO37" s="238"/>
      <c r="AP37" s="270"/>
      <c r="AQ37" s="270"/>
      <c r="AR37" s="208"/>
      <c r="AS37" s="239"/>
      <c r="AT37" s="240"/>
      <c r="AU37" s="270"/>
      <c r="AV37" s="270"/>
      <c r="AW37" s="208"/>
      <c r="AX37" s="237"/>
      <c r="AY37" s="238"/>
      <c r="AZ37" s="270"/>
      <c r="BA37" s="270"/>
      <c r="BB37" s="208"/>
      <c r="BC37" s="239"/>
      <c r="BD37" s="240"/>
      <c r="BE37" s="270"/>
      <c r="BF37" s="270"/>
      <c r="BG37" s="208"/>
      <c r="BH37" s="237"/>
      <c r="BI37" s="238"/>
      <c r="BJ37" s="270"/>
      <c r="BK37" s="270"/>
      <c r="BL37" s="208"/>
      <c r="BM37" s="239"/>
      <c r="BN37" s="287"/>
      <c r="BO37" s="281"/>
      <c r="BP37" s="169">
        <f t="shared" ref="BP36:BP68" si="8">RANK(N37,$N$11:$N$68)</f>
        <v>34</v>
      </c>
      <c r="BQ37" s="169"/>
      <c r="BR37" s="169"/>
      <c r="BS37" s="204">
        <f>'INPUT DATA'!BS38</f>
        <v>0</v>
      </c>
      <c r="BT37" s="205">
        <f>'INPUT DATA'!BT38:BV38</f>
        <v>0</v>
      </c>
      <c r="BU37" s="206"/>
      <c r="BV37" s="169"/>
      <c r="BW37" s="169"/>
      <c r="BX37" s="169"/>
      <c r="BY37" s="169"/>
      <c r="BZ37" s="169"/>
      <c r="CA37" s="169"/>
      <c r="CB37" s="169"/>
      <c r="CC37" s="169"/>
      <c r="CD37" s="169"/>
      <c r="CE37" s="169"/>
      <c r="CF37" s="169"/>
      <c r="CG37" s="169"/>
      <c r="CH37" s="169"/>
      <c r="CI37" s="169"/>
      <c r="CJ37" s="169"/>
      <c r="CK37" s="169"/>
      <c r="CL37" s="169"/>
      <c r="CM37" s="169"/>
      <c r="CN37" s="169"/>
      <c r="CO37" s="169"/>
      <c r="CP37" s="169"/>
      <c r="CQ37" s="169"/>
      <c r="CR37" s="169"/>
      <c r="CS37" s="169"/>
      <c r="CT37" s="169"/>
      <c r="CU37" s="169"/>
      <c r="CV37" s="169"/>
      <c r="CW37" s="169"/>
      <c r="CX37" s="169"/>
      <c r="CY37" s="169"/>
      <c r="CZ37" s="169"/>
      <c r="DA37" s="169"/>
      <c r="DB37" s="169"/>
      <c r="DC37" s="169"/>
      <c r="DD37" s="169"/>
      <c r="DE37" s="169"/>
      <c r="DF37" s="169"/>
      <c r="DG37" s="169"/>
      <c r="DH37" s="169"/>
      <c r="DI37" s="169"/>
      <c r="DJ37" s="169"/>
      <c r="DK37" s="169"/>
      <c r="DL37" s="169"/>
      <c r="DM37" s="169"/>
      <c r="DN37" s="169"/>
      <c r="DO37" s="169"/>
      <c r="DP37" s="169"/>
      <c r="DQ37" s="169"/>
      <c r="DR37" s="169"/>
      <c r="DS37" s="169"/>
      <c r="DT37" s="169"/>
      <c r="DU37" s="169"/>
    </row>
    <row r="38" s="168" customFormat="1" ht="18" hidden="1" customHeight="1" spans="1:125">
      <c r="A38" s="204">
        <f>'INPUT DATA'!A39</f>
        <v>28</v>
      </c>
      <c r="B38" s="205">
        <f>'INPUT DATA'!B39:D39</f>
        <v>0</v>
      </c>
      <c r="C38" s="206"/>
      <c r="D38" s="206"/>
      <c r="E38" s="206"/>
      <c r="F38" s="207"/>
      <c r="G38" s="208"/>
      <c r="H38" s="209"/>
      <c r="I38" s="208"/>
      <c r="J38" s="237"/>
      <c r="K38" s="238"/>
      <c r="L38" s="208"/>
      <c r="M38" s="208"/>
      <c r="N38" s="208"/>
      <c r="O38" s="239"/>
      <c r="P38" s="240"/>
      <c r="Q38" s="208"/>
      <c r="R38" s="208"/>
      <c r="S38" s="208"/>
      <c r="T38" s="237"/>
      <c r="U38" s="238"/>
      <c r="V38" s="208"/>
      <c r="W38" s="209"/>
      <c r="X38" s="254"/>
      <c r="Y38" s="239"/>
      <c r="Z38" s="240"/>
      <c r="AA38" s="208"/>
      <c r="AB38" s="208"/>
      <c r="AC38" s="208"/>
      <c r="AD38" s="237"/>
      <c r="AE38" s="240"/>
      <c r="AF38" s="254"/>
      <c r="AG38" s="254"/>
      <c r="AH38" s="208"/>
      <c r="AI38" s="239"/>
      <c r="AJ38" s="268"/>
      <c r="AK38" s="208"/>
      <c r="AL38" s="208"/>
      <c r="AM38" s="208"/>
      <c r="AN38" s="237"/>
      <c r="AO38" s="238"/>
      <c r="AP38" s="270"/>
      <c r="AQ38" s="270"/>
      <c r="AR38" s="208"/>
      <c r="AS38" s="239"/>
      <c r="AT38" s="240"/>
      <c r="AU38" s="270"/>
      <c r="AV38" s="270"/>
      <c r="AW38" s="208"/>
      <c r="AX38" s="237"/>
      <c r="AY38" s="238"/>
      <c r="AZ38" s="270"/>
      <c r="BA38" s="270"/>
      <c r="BB38" s="208"/>
      <c r="BC38" s="239"/>
      <c r="BD38" s="240"/>
      <c r="BE38" s="270"/>
      <c r="BF38" s="270"/>
      <c r="BG38" s="208"/>
      <c r="BH38" s="237"/>
      <c r="BI38" s="238"/>
      <c r="BJ38" s="270"/>
      <c r="BK38" s="270"/>
      <c r="BL38" s="208"/>
      <c r="BM38" s="239"/>
      <c r="BN38" s="287"/>
      <c r="BO38" s="281"/>
      <c r="BP38" s="169">
        <f t="shared" si="8"/>
        <v>34</v>
      </c>
      <c r="BQ38" s="169"/>
      <c r="BR38" s="169"/>
      <c r="BS38" s="204">
        <f>'INPUT DATA'!BS39</f>
        <v>0</v>
      </c>
      <c r="BT38" s="205">
        <f>'INPUT DATA'!BT39:BV39</f>
        <v>0</v>
      </c>
      <c r="BU38" s="206"/>
      <c r="BV38" s="169"/>
      <c r="BW38" s="169"/>
      <c r="BX38" s="169"/>
      <c r="BY38" s="169"/>
      <c r="BZ38" s="169"/>
      <c r="CA38" s="169"/>
      <c r="CB38" s="169"/>
      <c r="CC38" s="169"/>
      <c r="CD38" s="169"/>
      <c r="CE38" s="169"/>
      <c r="CF38" s="169"/>
      <c r="CG38" s="169"/>
      <c r="CH38" s="169"/>
      <c r="CI38" s="169"/>
      <c r="CJ38" s="169"/>
      <c r="CK38" s="169"/>
      <c r="CL38" s="169"/>
      <c r="CM38" s="169"/>
      <c r="CN38" s="169"/>
      <c r="CO38" s="169"/>
      <c r="CP38" s="169"/>
      <c r="CQ38" s="169"/>
      <c r="CR38" s="169"/>
      <c r="CS38" s="169"/>
      <c r="CT38" s="169"/>
      <c r="CU38" s="169"/>
      <c r="CV38" s="169"/>
      <c r="CW38" s="169"/>
      <c r="CX38" s="169"/>
      <c r="CY38" s="169"/>
      <c r="CZ38" s="169"/>
      <c r="DA38" s="169"/>
      <c r="DB38" s="169"/>
      <c r="DC38" s="169"/>
      <c r="DD38" s="169"/>
      <c r="DE38" s="169"/>
      <c r="DF38" s="169"/>
      <c r="DG38" s="169"/>
      <c r="DH38" s="169"/>
      <c r="DI38" s="169"/>
      <c r="DJ38" s="169"/>
      <c r="DK38" s="169"/>
      <c r="DL38" s="169"/>
      <c r="DM38" s="169"/>
      <c r="DN38" s="169"/>
      <c r="DO38" s="169"/>
      <c r="DP38" s="169"/>
      <c r="DQ38" s="169"/>
      <c r="DR38" s="169"/>
      <c r="DS38" s="169"/>
      <c r="DT38" s="169"/>
      <c r="DU38" s="169"/>
    </row>
    <row r="39" s="168" customFormat="1" ht="18" hidden="1" customHeight="1" spans="1:125">
      <c r="A39" s="204">
        <f>'INPUT DATA'!A40</f>
        <v>29</v>
      </c>
      <c r="B39" s="205">
        <f>'INPUT DATA'!B40:D40</f>
        <v>0</v>
      </c>
      <c r="C39" s="206"/>
      <c r="D39" s="206"/>
      <c r="E39" s="206"/>
      <c r="F39" s="207"/>
      <c r="G39" s="208"/>
      <c r="H39" s="209"/>
      <c r="I39" s="208"/>
      <c r="J39" s="237"/>
      <c r="K39" s="238"/>
      <c r="L39" s="208"/>
      <c r="M39" s="208"/>
      <c r="N39" s="208"/>
      <c r="O39" s="239"/>
      <c r="P39" s="240"/>
      <c r="Q39" s="208"/>
      <c r="R39" s="208"/>
      <c r="S39" s="208"/>
      <c r="T39" s="237"/>
      <c r="U39" s="238"/>
      <c r="V39" s="208"/>
      <c r="W39" s="209"/>
      <c r="X39" s="254"/>
      <c r="Y39" s="239"/>
      <c r="Z39" s="240"/>
      <c r="AA39" s="208"/>
      <c r="AB39" s="208"/>
      <c r="AC39" s="208"/>
      <c r="AD39" s="237"/>
      <c r="AE39" s="240"/>
      <c r="AF39" s="254"/>
      <c r="AG39" s="254"/>
      <c r="AH39" s="208"/>
      <c r="AI39" s="239"/>
      <c r="AJ39" s="268"/>
      <c r="AK39" s="208"/>
      <c r="AL39" s="208"/>
      <c r="AM39" s="208"/>
      <c r="AN39" s="237"/>
      <c r="AO39" s="238"/>
      <c r="AP39" s="270"/>
      <c r="AQ39" s="270"/>
      <c r="AR39" s="208"/>
      <c r="AS39" s="239"/>
      <c r="AT39" s="240"/>
      <c r="AU39" s="270"/>
      <c r="AV39" s="270"/>
      <c r="AW39" s="208"/>
      <c r="AX39" s="237"/>
      <c r="AY39" s="238"/>
      <c r="AZ39" s="270"/>
      <c r="BA39" s="270"/>
      <c r="BB39" s="208"/>
      <c r="BC39" s="239"/>
      <c r="BD39" s="240"/>
      <c r="BE39" s="270"/>
      <c r="BF39" s="270"/>
      <c r="BG39" s="208"/>
      <c r="BH39" s="237"/>
      <c r="BI39" s="238"/>
      <c r="BJ39" s="270"/>
      <c r="BK39" s="270"/>
      <c r="BL39" s="208"/>
      <c r="BM39" s="239"/>
      <c r="BN39" s="287"/>
      <c r="BO39" s="281"/>
      <c r="BP39" s="169">
        <f t="shared" si="8"/>
        <v>34</v>
      </c>
      <c r="BQ39" s="169"/>
      <c r="BR39" s="169"/>
      <c r="BS39" s="204">
        <f>'INPUT DATA'!BS40</f>
        <v>0</v>
      </c>
      <c r="BT39" s="205">
        <f>'INPUT DATA'!BT40:BV40</f>
        <v>0</v>
      </c>
      <c r="BU39" s="206"/>
      <c r="BV39" s="169"/>
      <c r="BW39" s="169"/>
      <c r="BX39" s="169"/>
      <c r="BY39" s="169"/>
      <c r="BZ39" s="169"/>
      <c r="CA39" s="169"/>
      <c r="CB39" s="169"/>
      <c r="CC39" s="169"/>
      <c r="CD39" s="169"/>
      <c r="CE39" s="169"/>
      <c r="CF39" s="169"/>
      <c r="CG39" s="169"/>
      <c r="CH39" s="169"/>
      <c r="CI39" s="169"/>
      <c r="CJ39" s="169"/>
      <c r="CK39" s="169"/>
      <c r="CL39" s="169"/>
      <c r="CM39" s="169"/>
      <c r="CN39" s="169"/>
      <c r="CO39" s="169"/>
      <c r="CP39" s="169"/>
      <c r="CQ39" s="169"/>
      <c r="CR39" s="169"/>
      <c r="CS39" s="169"/>
      <c r="CT39" s="169"/>
      <c r="CU39" s="169"/>
      <c r="CV39" s="169"/>
      <c r="CW39" s="169"/>
      <c r="CX39" s="169"/>
      <c r="CY39" s="169"/>
      <c r="CZ39" s="169"/>
      <c r="DA39" s="169"/>
      <c r="DB39" s="169"/>
      <c r="DC39" s="169"/>
      <c r="DD39" s="169"/>
      <c r="DE39" s="169"/>
      <c r="DF39" s="169"/>
      <c r="DG39" s="169"/>
      <c r="DH39" s="169"/>
      <c r="DI39" s="169"/>
      <c r="DJ39" s="169"/>
      <c r="DK39" s="169"/>
      <c r="DL39" s="169"/>
      <c r="DM39" s="169"/>
      <c r="DN39" s="169"/>
      <c r="DO39" s="169"/>
      <c r="DP39" s="169"/>
      <c r="DQ39" s="169"/>
      <c r="DR39" s="169"/>
      <c r="DS39" s="169"/>
      <c r="DT39" s="169"/>
      <c r="DU39" s="169"/>
    </row>
    <row r="40" s="168" customFormat="1" ht="18" hidden="1" customHeight="1" spans="1:125">
      <c r="A40" s="204">
        <f>'INPUT DATA'!A41</f>
        <v>30</v>
      </c>
      <c r="B40" s="205">
        <f>'INPUT DATA'!B41:D41</f>
        <v>0</v>
      </c>
      <c r="C40" s="206"/>
      <c r="D40" s="206"/>
      <c r="E40" s="206"/>
      <c r="F40" s="207"/>
      <c r="G40" s="208"/>
      <c r="H40" s="209"/>
      <c r="I40" s="208"/>
      <c r="J40" s="237"/>
      <c r="K40" s="238"/>
      <c r="L40" s="208"/>
      <c r="M40" s="208"/>
      <c r="N40" s="208"/>
      <c r="O40" s="239"/>
      <c r="P40" s="240"/>
      <c r="Q40" s="208"/>
      <c r="R40" s="208"/>
      <c r="S40" s="208"/>
      <c r="T40" s="237"/>
      <c r="U40" s="238"/>
      <c r="V40" s="208"/>
      <c r="W40" s="209"/>
      <c r="X40" s="254"/>
      <c r="Y40" s="239"/>
      <c r="Z40" s="240"/>
      <c r="AA40" s="208"/>
      <c r="AB40" s="208"/>
      <c r="AC40" s="208"/>
      <c r="AD40" s="237"/>
      <c r="AE40" s="240"/>
      <c r="AF40" s="254"/>
      <c r="AG40" s="254"/>
      <c r="AH40" s="208"/>
      <c r="AI40" s="239"/>
      <c r="AJ40" s="268"/>
      <c r="AK40" s="208"/>
      <c r="AL40" s="208"/>
      <c r="AM40" s="208"/>
      <c r="AN40" s="237"/>
      <c r="AO40" s="238"/>
      <c r="AP40" s="270"/>
      <c r="AQ40" s="270"/>
      <c r="AR40" s="208"/>
      <c r="AS40" s="239"/>
      <c r="AT40" s="240"/>
      <c r="AU40" s="270"/>
      <c r="AV40" s="270"/>
      <c r="AW40" s="208"/>
      <c r="AX40" s="237"/>
      <c r="AY40" s="238"/>
      <c r="AZ40" s="270"/>
      <c r="BA40" s="270"/>
      <c r="BB40" s="208"/>
      <c r="BC40" s="239"/>
      <c r="BD40" s="240"/>
      <c r="BE40" s="270"/>
      <c r="BF40" s="270"/>
      <c r="BG40" s="208"/>
      <c r="BH40" s="237"/>
      <c r="BI40" s="238"/>
      <c r="BJ40" s="270"/>
      <c r="BK40" s="270"/>
      <c r="BL40" s="208"/>
      <c r="BM40" s="239"/>
      <c r="BN40" s="287"/>
      <c r="BO40" s="281"/>
      <c r="BP40" s="169">
        <f t="shared" si="8"/>
        <v>34</v>
      </c>
      <c r="BQ40" s="169"/>
      <c r="BR40" s="169"/>
      <c r="BS40" s="204">
        <f>'INPUT DATA'!BS41</f>
        <v>0</v>
      </c>
      <c r="BT40" s="205">
        <f>'INPUT DATA'!BT41:BV41</f>
        <v>0</v>
      </c>
      <c r="BU40" s="206"/>
      <c r="BV40" s="169"/>
      <c r="BW40" s="169"/>
      <c r="BX40" s="169"/>
      <c r="BY40" s="169"/>
      <c r="BZ40" s="169"/>
      <c r="CA40" s="169"/>
      <c r="CB40" s="169"/>
      <c r="CC40" s="169"/>
      <c r="CD40" s="169"/>
      <c r="CE40" s="169"/>
      <c r="CF40" s="169"/>
      <c r="CG40" s="169"/>
      <c r="CH40" s="169"/>
      <c r="CI40" s="169"/>
      <c r="CJ40" s="169"/>
      <c r="CK40" s="169"/>
      <c r="CL40" s="169"/>
      <c r="CM40" s="169"/>
      <c r="CN40" s="169"/>
      <c r="CO40" s="169"/>
      <c r="CP40" s="169"/>
      <c r="CQ40" s="169"/>
      <c r="CR40" s="169"/>
      <c r="CS40" s="169"/>
      <c r="CT40" s="169"/>
      <c r="CU40" s="169"/>
      <c r="CV40" s="169"/>
      <c r="CW40" s="169"/>
      <c r="CX40" s="169"/>
      <c r="CY40" s="169"/>
      <c r="CZ40" s="169"/>
      <c r="DA40" s="169"/>
      <c r="DB40" s="169"/>
      <c r="DC40" s="169"/>
      <c r="DD40" s="169"/>
      <c r="DE40" s="169"/>
      <c r="DF40" s="169"/>
      <c r="DG40" s="169"/>
      <c r="DH40" s="169"/>
      <c r="DI40" s="169"/>
      <c r="DJ40" s="169"/>
      <c r="DK40" s="169"/>
      <c r="DL40" s="169"/>
      <c r="DM40" s="169"/>
      <c r="DN40" s="169"/>
      <c r="DO40" s="169"/>
      <c r="DP40" s="169"/>
      <c r="DQ40" s="169"/>
      <c r="DR40" s="169"/>
      <c r="DS40" s="169"/>
      <c r="DT40" s="169"/>
      <c r="DU40" s="169"/>
    </row>
    <row r="41" s="168" customFormat="1" ht="18" hidden="1" customHeight="1" spans="1:125">
      <c r="A41" s="204">
        <f>'INPUT DATA'!A42</f>
        <v>31</v>
      </c>
      <c r="B41" s="205">
        <f>'INPUT DATA'!B42:D42</f>
        <v>0</v>
      </c>
      <c r="C41" s="206"/>
      <c r="D41" s="206"/>
      <c r="E41" s="206"/>
      <c r="F41" s="207"/>
      <c r="G41" s="208"/>
      <c r="H41" s="209"/>
      <c r="I41" s="208"/>
      <c r="J41" s="237"/>
      <c r="K41" s="238"/>
      <c r="L41" s="208"/>
      <c r="M41" s="208"/>
      <c r="N41" s="208"/>
      <c r="O41" s="239"/>
      <c r="P41" s="240"/>
      <c r="Q41" s="208"/>
      <c r="R41" s="208"/>
      <c r="S41" s="208"/>
      <c r="T41" s="237"/>
      <c r="U41" s="238"/>
      <c r="V41" s="208"/>
      <c r="W41" s="209"/>
      <c r="X41" s="254"/>
      <c r="Y41" s="239"/>
      <c r="Z41" s="240"/>
      <c r="AA41" s="208"/>
      <c r="AB41" s="208"/>
      <c r="AC41" s="208"/>
      <c r="AD41" s="237"/>
      <c r="AE41" s="240"/>
      <c r="AF41" s="254"/>
      <c r="AG41" s="254"/>
      <c r="AH41" s="208"/>
      <c r="AI41" s="239"/>
      <c r="AJ41" s="268"/>
      <c r="AK41" s="208"/>
      <c r="AL41" s="208"/>
      <c r="AM41" s="208"/>
      <c r="AN41" s="237"/>
      <c r="AO41" s="238"/>
      <c r="AP41" s="270"/>
      <c r="AQ41" s="270"/>
      <c r="AR41" s="208"/>
      <c r="AS41" s="239"/>
      <c r="AT41" s="240"/>
      <c r="AU41" s="270"/>
      <c r="AV41" s="270"/>
      <c r="AW41" s="208"/>
      <c r="AX41" s="237"/>
      <c r="AY41" s="238"/>
      <c r="AZ41" s="270"/>
      <c r="BA41" s="270"/>
      <c r="BB41" s="208"/>
      <c r="BC41" s="239"/>
      <c r="BD41" s="240"/>
      <c r="BE41" s="270"/>
      <c r="BF41" s="270"/>
      <c r="BG41" s="208"/>
      <c r="BH41" s="237"/>
      <c r="BI41" s="238"/>
      <c r="BJ41" s="270"/>
      <c r="BK41" s="270"/>
      <c r="BL41" s="208"/>
      <c r="BM41" s="239"/>
      <c r="BN41" s="287"/>
      <c r="BO41" s="281"/>
      <c r="BP41" s="169">
        <f t="shared" si="8"/>
        <v>34</v>
      </c>
      <c r="BQ41" s="169"/>
      <c r="BR41" s="169"/>
      <c r="BS41" s="204">
        <f>'INPUT DATA'!BS42</f>
        <v>0</v>
      </c>
      <c r="BT41" s="205">
        <f>'INPUT DATA'!BT42:BV42</f>
        <v>0</v>
      </c>
      <c r="BU41" s="206"/>
      <c r="BV41" s="169"/>
      <c r="BW41" s="169"/>
      <c r="BX41" s="169"/>
      <c r="BY41" s="169"/>
      <c r="BZ41" s="169"/>
      <c r="CA41" s="169"/>
      <c r="CB41" s="169"/>
      <c r="CC41" s="169"/>
      <c r="CD41" s="169"/>
      <c r="CE41" s="169"/>
      <c r="CF41" s="169"/>
      <c r="CG41" s="169"/>
      <c r="CH41" s="169"/>
      <c r="CI41" s="169"/>
      <c r="CJ41" s="169"/>
      <c r="CK41" s="169"/>
      <c r="CL41" s="169"/>
      <c r="CM41" s="169"/>
      <c r="CN41" s="169"/>
      <c r="CO41" s="169"/>
      <c r="CP41" s="169"/>
      <c r="CQ41" s="169"/>
      <c r="CR41" s="169"/>
      <c r="CS41" s="169"/>
      <c r="CT41" s="169"/>
      <c r="CU41" s="169"/>
      <c r="CV41" s="169"/>
      <c r="CW41" s="169"/>
      <c r="CX41" s="169"/>
      <c r="CY41" s="169"/>
      <c r="CZ41" s="169"/>
      <c r="DA41" s="169"/>
      <c r="DB41" s="169"/>
      <c r="DC41" s="169"/>
      <c r="DD41" s="169"/>
      <c r="DE41" s="169"/>
      <c r="DF41" s="169"/>
      <c r="DG41" s="169"/>
      <c r="DH41" s="169"/>
      <c r="DI41" s="169"/>
      <c r="DJ41" s="169"/>
      <c r="DK41" s="169"/>
      <c r="DL41" s="169"/>
      <c r="DM41" s="169"/>
      <c r="DN41" s="169"/>
      <c r="DO41" s="169"/>
      <c r="DP41" s="169"/>
      <c r="DQ41" s="169"/>
      <c r="DR41" s="169"/>
      <c r="DS41" s="169"/>
      <c r="DT41" s="169"/>
      <c r="DU41" s="169"/>
    </row>
    <row r="42" s="168" customFormat="1" ht="18" hidden="1" customHeight="1" spans="1:125">
      <c r="A42" s="204">
        <f>'INPUT DATA'!A43</f>
        <v>32</v>
      </c>
      <c r="B42" s="205">
        <f>'INPUT DATA'!B43:D43</f>
        <v>0</v>
      </c>
      <c r="C42" s="206"/>
      <c r="D42" s="206"/>
      <c r="E42" s="206"/>
      <c r="F42" s="207"/>
      <c r="G42" s="208"/>
      <c r="H42" s="209"/>
      <c r="I42" s="208"/>
      <c r="J42" s="237"/>
      <c r="K42" s="238"/>
      <c r="L42" s="208"/>
      <c r="M42" s="208"/>
      <c r="N42" s="208"/>
      <c r="O42" s="239"/>
      <c r="P42" s="240"/>
      <c r="Q42" s="208"/>
      <c r="R42" s="208"/>
      <c r="S42" s="208"/>
      <c r="T42" s="237"/>
      <c r="U42" s="238"/>
      <c r="V42" s="208"/>
      <c r="W42" s="209"/>
      <c r="X42" s="254"/>
      <c r="Y42" s="239"/>
      <c r="Z42" s="240"/>
      <c r="AA42" s="208"/>
      <c r="AB42" s="208"/>
      <c r="AC42" s="208"/>
      <c r="AD42" s="237"/>
      <c r="AE42" s="240"/>
      <c r="AF42" s="254"/>
      <c r="AG42" s="254"/>
      <c r="AH42" s="208"/>
      <c r="AI42" s="239"/>
      <c r="AJ42" s="268"/>
      <c r="AK42" s="208"/>
      <c r="AL42" s="208"/>
      <c r="AM42" s="208"/>
      <c r="AN42" s="237"/>
      <c r="AO42" s="238"/>
      <c r="AP42" s="270"/>
      <c r="AQ42" s="270"/>
      <c r="AR42" s="208"/>
      <c r="AS42" s="239"/>
      <c r="AT42" s="240"/>
      <c r="AU42" s="270"/>
      <c r="AV42" s="270"/>
      <c r="AW42" s="208"/>
      <c r="AX42" s="237"/>
      <c r="AY42" s="238"/>
      <c r="AZ42" s="270"/>
      <c r="BA42" s="270"/>
      <c r="BB42" s="208"/>
      <c r="BC42" s="239"/>
      <c r="BD42" s="240"/>
      <c r="BE42" s="270"/>
      <c r="BF42" s="270"/>
      <c r="BG42" s="208"/>
      <c r="BH42" s="237"/>
      <c r="BI42" s="238"/>
      <c r="BJ42" s="270"/>
      <c r="BK42" s="270"/>
      <c r="BL42" s="208"/>
      <c r="BM42" s="239"/>
      <c r="BN42" s="287"/>
      <c r="BO42" s="281"/>
      <c r="BP42" s="169">
        <f t="shared" si="8"/>
        <v>34</v>
      </c>
      <c r="BQ42" s="169"/>
      <c r="BR42" s="169"/>
      <c r="BS42" s="204">
        <f>'INPUT DATA'!BS43</f>
        <v>0</v>
      </c>
      <c r="BT42" s="205">
        <f>'INPUT DATA'!BT43:BV43</f>
        <v>0</v>
      </c>
      <c r="BU42" s="206"/>
      <c r="BV42" s="169"/>
      <c r="BW42" s="169"/>
      <c r="BX42" s="169"/>
      <c r="BY42" s="169"/>
      <c r="BZ42" s="169"/>
      <c r="CA42" s="169"/>
      <c r="CB42" s="169"/>
      <c r="CC42" s="169"/>
      <c r="CD42" s="169"/>
      <c r="CE42" s="169"/>
      <c r="CF42" s="169"/>
      <c r="CG42" s="169"/>
      <c r="CH42" s="169"/>
      <c r="CI42" s="169"/>
      <c r="CJ42" s="169"/>
      <c r="CK42" s="169"/>
      <c r="CL42" s="169"/>
      <c r="CM42" s="169"/>
      <c r="CN42" s="169"/>
      <c r="CO42" s="169"/>
      <c r="CP42" s="169"/>
      <c r="CQ42" s="169"/>
      <c r="CR42" s="169"/>
      <c r="CS42" s="169"/>
      <c r="CT42" s="169"/>
      <c r="CU42" s="169"/>
      <c r="CV42" s="169"/>
      <c r="CW42" s="169"/>
      <c r="CX42" s="169"/>
      <c r="CY42" s="169"/>
      <c r="CZ42" s="169"/>
      <c r="DA42" s="169"/>
      <c r="DB42" s="169"/>
      <c r="DC42" s="169"/>
      <c r="DD42" s="169"/>
      <c r="DE42" s="169"/>
      <c r="DF42" s="169"/>
      <c r="DG42" s="169"/>
      <c r="DH42" s="169"/>
      <c r="DI42" s="169"/>
      <c r="DJ42" s="169"/>
      <c r="DK42" s="169"/>
      <c r="DL42" s="169"/>
      <c r="DM42" s="169"/>
      <c r="DN42" s="169"/>
      <c r="DO42" s="169"/>
      <c r="DP42" s="169"/>
      <c r="DQ42" s="169"/>
      <c r="DR42" s="169"/>
      <c r="DS42" s="169"/>
      <c r="DT42" s="169"/>
      <c r="DU42" s="169"/>
    </row>
    <row r="43" s="168" customFormat="1" ht="18" hidden="1" customHeight="1" spans="1:125">
      <c r="A43" s="204">
        <f>'INPUT DATA'!A44</f>
        <v>33</v>
      </c>
      <c r="B43" s="205">
        <f>'INPUT DATA'!B44:D44</f>
        <v>0</v>
      </c>
      <c r="C43" s="206"/>
      <c r="D43" s="206"/>
      <c r="E43" s="206"/>
      <c r="F43" s="207"/>
      <c r="G43" s="208"/>
      <c r="H43" s="209"/>
      <c r="I43" s="208"/>
      <c r="J43" s="237"/>
      <c r="K43" s="238"/>
      <c r="L43" s="208"/>
      <c r="M43" s="208"/>
      <c r="N43" s="208"/>
      <c r="O43" s="239"/>
      <c r="P43" s="240"/>
      <c r="Q43" s="208"/>
      <c r="R43" s="208"/>
      <c r="S43" s="208"/>
      <c r="T43" s="237"/>
      <c r="U43" s="238"/>
      <c r="V43" s="208"/>
      <c r="W43" s="209"/>
      <c r="X43" s="254"/>
      <c r="Y43" s="239"/>
      <c r="Z43" s="240"/>
      <c r="AA43" s="208"/>
      <c r="AB43" s="208"/>
      <c r="AC43" s="208"/>
      <c r="AD43" s="237"/>
      <c r="AE43" s="240"/>
      <c r="AF43" s="254"/>
      <c r="AG43" s="254"/>
      <c r="AH43" s="208"/>
      <c r="AI43" s="239"/>
      <c r="AJ43" s="268"/>
      <c r="AK43" s="208"/>
      <c r="AL43" s="208"/>
      <c r="AM43" s="208"/>
      <c r="AN43" s="237"/>
      <c r="AO43" s="238"/>
      <c r="AP43" s="270"/>
      <c r="AQ43" s="270"/>
      <c r="AR43" s="208"/>
      <c r="AS43" s="239"/>
      <c r="AT43" s="240"/>
      <c r="AU43" s="270"/>
      <c r="AV43" s="270"/>
      <c r="AW43" s="208"/>
      <c r="AX43" s="237"/>
      <c r="AY43" s="238"/>
      <c r="AZ43" s="270"/>
      <c r="BA43" s="270"/>
      <c r="BB43" s="208"/>
      <c r="BC43" s="239"/>
      <c r="BD43" s="240"/>
      <c r="BE43" s="270"/>
      <c r="BF43" s="270"/>
      <c r="BG43" s="208"/>
      <c r="BH43" s="237"/>
      <c r="BI43" s="238"/>
      <c r="BJ43" s="270"/>
      <c r="BK43" s="270"/>
      <c r="BL43" s="208"/>
      <c r="BM43" s="239"/>
      <c r="BN43" s="287"/>
      <c r="BO43" s="281"/>
      <c r="BP43" s="169">
        <f t="shared" si="8"/>
        <v>34</v>
      </c>
      <c r="BQ43" s="169"/>
      <c r="BR43" s="169"/>
      <c r="BS43" s="204">
        <f>'INPUT DATA'!BS44</f>
        <v>0</v>
      </c>
      <c r="BT43" s="205">
        <f>'INPUT DATA'!BT44:BV44</f>
        <v>0</v>
      </c>
      <c r="BU43" s="206"/>
      <c r="BV43" s="169"/>
      <c r="BW43" s="169"/>
      <c r="BX43" s="169"/>
      <c r="BY43" s="169"/>
      <c r="BZ43" s="169"/>
      <c r="CA43" s="169"/>
      <c r="CB43" s="169"/>
      <c r="CC43" s="169"/>
      <c r="CD43" s="169"/>
      <c r="CE43" s="169"/>
      <c r="CF43" s="169"/>
      <c r="CG43" s="169"/>
      <c r="CH43" s="169"/>
      <c r="CI43" s="169"/>
      <c r="CJ43" s="169"/>
      <c r="CK43" s="169"/>
      <c r="CL43" s="169"/>
      <c r="CM43" s="169"/>
      <c r="CN43" s="169"/>
      <c r="CO43" s="169"/>
      <c r="CP43" s="169"/>
      <c r="CQ43" s="169"/>
      <c r="CR43" s="169"/>
      <c r="CS43" s="169"/>
      <c r="CT43" s="169"/>
      <c r="CU43" s="169"/>
      <c r="CV43" s="169"/>
      <c r="CW43" s="169"/>
      <c r="CX43" s="169"/>
      <c r="CY43" s="169"/>
      <c r="CZ43" s="169"/>
      <c r="DA43" s="169"/>
      <c r="DB43" s="169"/>
      <c r="DC43" s="169"/>
      <c r="DD43" s="169"/>
      <c r="DE43" s="169"/>
      <c r="DF43" s="169"/>
      <c r="DG43" s="169"/>
      <c r="DH43" s="169"/>
      <c r="DI43" s="169"/>
      <c r="DJ43" s="169"/>
      <c r="DK43" s="169"/>
      <c r="DL43" s="169"/>
      <c r="DM43" s="169"/>
      <c r="DN43" s="169"/>
      <c r="DO43" s="169"/>
      <c r="DP43" s="169"/>
      <c r="DQ43" s="169"/>
      <c r="DR43" s="169"/>
      <c r="DS43" s="169"/>
      <c r="DT43" s="169"/>
      <c r="DU43" s="169"/>
    </row>
    <row r="44" s="168" customFormat="1" ht="18" hidden="1" customHeight="1" spans="1:125">
      <c r="A44" s="204">
        <f>'INPUT DATA'!A45</f>
        <v>34</v>
      </c>
      <c r="B44" s="205">
        <f>'INPUT DATA'!B45:D45</f>
        <v>0</v>
      </c>
      <c r="C44" s="206"/>
      <c r="D44" s="206"/>
      <c r="E44" s="206"/>
      <c r="F44" s="207"/>
      <c r="G44" s="208"/>
      <c r="H44" s="209"/>
      <c r="I44" s="208"/>
      <c r="J44" s="237"/>
      <c r="K44" s="238"/>
      <c r="L44" s="208"/>
      <c r="M44" s="208"/>
      <c r="N44" s="208"/>
      <c r="O44" s="239"/>
      <c r="P44" s="240"/>
      <c r="Q44" s="208"/>
      <c r="R44" s="208"/>
      <c r="S44" s="208"/>
      <c r="T44" s="237"/>
      <c r="U44" s="238"/>
      <c r="V44" s="208"/>
      <c r="W44" s="209"/>
      <c r="X44" s="254"/>
      <c r="Y44" s="239"/>
      <c r="Z44" s="240"/>
      <c r="AA44" s="208"/>
      <c r="AB44" s="208"/>
      <c r="AC44" s="208"/>
      <c r="AD44" s="237"/>
      <c r="AE44" s="240"/>
      <c r="AF44" s="254"/>
      <c r="AG44" s="254"/>
      <c r="AH44" s="208"/>
      <c r="AI44" s="239"/>
      <c r="AJ44" s="268"/>
      <c r="AK44" s="208"/>
      <c r="AL44" s="208"/>
      <c r="AM44" s="208"/>
      <c r="AN44" s="237"/>
      <c r="AO44" s="238"/>
      <c r="AP44" s="270"/>
      <c r="AQ44" s="270"/>
      <c r="AR44" s="208"/>
      <c r="AS44" s="239"/>
      <c r="AT44" s="240"/>
      <c r="AU44" s="270"/>
      <c r="AV44" s="270"/>
      <c r="AW44" s="208"/>
      <c r="AX44" s="237"/>
      <c r="AY44" s="238"/>
      <c r="AZ44" s="270"/>
      <c r="BA44" s="270"/>
      <c r="BB44" s="208"/>
      <c r="BC44" s="239"/>
      <c r="BD44" s="240"/>
      <c r="BE44" s="270"/>
      <c r="BF44" s="270"/>
      <c r="BG44" s="208"/>
      <c r="BH44" s="237"/>
      <c r="BI44" s="238"/>
      <c r="BJ44" s="270"/>
      <c r="BK44" s="270"/>
      <c r="BL44" s="208"/>
      <c r="BM44" s="239"/>
      <c r="BN44" s="287"/>
      <c r="BO44" s="281"/>
      <c r="BP44" s="169">
        <f t="shared" si="8"/>
        <v>34</v>
      </c>
      <c r="BQ44" s="169"/>
      <c r="BR44" s="169"/>
      <c r="BS44" s="204">
        <f>'INPUT DATA'!BS45</f>
        <v>0</v>
      </c>
      <c r="BT44" s="205">
        <f>'INPUT DATA'!BT45:BV45</f>
        <v>0</v>
      </c>
      <c r="BU44" s="206"/>
      <c r="BV44" s="169"/>
      <c r="BW44" s="169"/>
      <c r="BX44" s="169"/>
      <c r="BY44" s="169"/>
      <c r="BZ44" s="169"/>
      <c r="CA44" s="169"/>
      <c r="CB44" s="169"/>
      <c r="CC44" s="169"/>
      <c r="CD44" s="169"/>
      <c r="CE44" s="169"/>
      <c r="CF44" s="169"/>
      <c r="CG44" s="169"/>
      <c r="CH44" s="169"/>
      <c r="CI44" s="169"/>
      <c r="CJ44" s="169"/>
      <c r="CK44" s="169"/>
      <c r="CL44" s="169"/>
      <c r="CM44" s="169"/>
      <c r="CN44" s="169"/>
      <c r="CO44" s="169"/>
      <c r="CP44" s="169"/>
      <c r="CQ44" s="169"/>
      <c r="CR44" s="169"/>
      <c r="CS44" s="169"/>
      <c r="CT44" s="169"/>
      <c r="CU44" s="169"/>
      <c r="CV44" s="169"/>
      <c r="CW44" s="169"/>
      <c r="CX44" s="169"/>
      <c r="CY44" s="169"/>
      <c r="CZ44" s="169"/>
      <c r="DA44" s="169"/>
      <c r="DB44" s="169"/>
      <c r="DC44" s="169"/>
      <c r="DD44" s="169"/>
      <c r="DE44" s="169"/>
      <c r="DF44" s="169"/>
      <c r="DG44" s="169"/>
      <c r="DH44" s="169"/>
      <c r="DI44" s="169"/>
      <c r="DJ44" s="169"/>
      <c r="DK44" s="169"/>
      <c r="DL44" s="169"/>
      <c r="DM44" s="169"/>
      <c r="DN44" s="169"/>
      <c r="DO44" s="169"/>
      <c r="DP44" s="169"/>
      <c r="DQ44" s="169"/>
      <c r="DR44" s="169"/>
      <c r="DS44" s="169"/>
      <c r="DT44" s="169"/>
      <c r="DU44" s="169"/>
    </row>
    <row r="45" s="168" customFormat="1" ht="18" hidden="1" customHeight="1" spans="1:125">
      <c r="A45" s="204">
        <f>'INPUT DATA'!A46</f>
        <v>35</v>
      </c>
      <c r="B45" s="205">
        <f>'INPUT DATA'!B46:D46</f>
        <v>0</v>
      </c>
      <c r="C45" s="206"/>
      <c r="D45" s="206"/>
      <c r="E45" s="206"/>
      <c r="F45" s="207"/>
      <c r="G45" s="208"/>
      <c r="H45" s="209"/>
      <c r="I45" s="208"/>
      <c r="J45" s="237"/>
      <c r="K45" s="238"/>
      <c r="L45" s="208"/>
      <c r="M45" s="208"/>
      <c r="N45" s="208"/>
      <c r="O45" s="239"/>
      <c r="P45" s="240"/>
      <c r="Q45" s="208"/>
      <c r="R45" s="208"/>
      <c r="S45" s="208"/>
      <c r="T45" s="237"/>
      <c r="U45" s="238"/>
      <c r="V45" s="208"/>
      <c r="W45" s="209"/>
      <c r="X45" s="254"/>
      <c r="Y45" s="239"/>
      <c r="Z45" s="240"/>
      <c r="AA45" s="208"/>
      <c r="AB45" s="208"/>
      <c r="AC45" s="208"/>
      <c r="AD45" s="237"/>
      <c r="AE45" s="240"/>
      <c r="AF45" s="254"/>
      <c r="AG45" s="254"/>
      <c r="AH45" s="208"/>
      <c r="AI45" s="239"/>
      <c r="AJ45" s="268"/>
      <c r="AK45" s="208"/>
      <c r="AL45" s="208"/>
      <c r="AM45" s="208"/>
      <c r="AN45" s="237"/>
      <c r="AO45" s="238"/>
      <c r="AP45" s="270"/>
      <c r="AQ45" s="270"/>
      <c r="AR45" s="208"/>
      <c r="AS45" s="239"/>
      <c r="AT45" s="240"/>
      <c r="AU45" s="270"/>
      <c r="AV45" s="270"/>
      <c r="AW45" s="208"/>
      <c r="AX45" s="237"/>
      <c r="AY45" s="238"/>
      <c r="AZ45" s="270"/>
      <c r="BA45" s="270"/>
      <c r="BB45" s="208"/>
      <c r="BC45" s="239"/>
      <c r="BD45" s="240"/>
      <c r="BE45" s="270"/>
      <c r="BF45" s="270"/>
      <c r="BG45" s="208"/>
      <c r="BH45" s="237"/>
      <c r="BI45" s="238"/>
      <c r="BJ45" s="270"/>
      <c r="BK45" s="270"/>
      <c r="BL45" s="208"/>
      <c r="BM45" s="239"/>
      <c r="BN45" s="287"/>
      <c r="BO45" s="281"/>
      <c r="BP45" s="169">
        <f t="shared" si="8"/>
        <v>34</v>
      </c>
      <c r="BQ45" s="169"/>
      <c r="BR45" s="169"/>
      <c r="BS45" s="204">
        <f>'INPUT DATA'!BS46</f>
        <v>0</v>
      </c>
      <c r="BT45" s="205">
        <f>'INPUT DATA'!BT46:BV46</f>
        <v>0</v>
      </c>
      <c r="BU45" s="206"/>
      <c r="BV45" s="169"/>
      <c r="BW45" s="169"/>
      <c r="BX45" s="169"/>
      <c r="BY45" s="169"/>
      <c r="BZ45" s="169"/>
      <c r="CA45" s="169"/>
      <c r="CB45" s="169"/>
      <c r="CC45" s="169"/>
      <c r="CD45" s="169"/>
      <c r="CE45" s="169"/>
      <c r="CF45" s="169"/>
      <c r="CG45" s="169"/>
      <c r="CH45" s="169"/>
      <c r="CI45" s="169"/>
      <c r="CJ45" s="169"/>
      <c r="CK45" s="169"/>
      <c r="CL45" s="169"/>
      <c r="CM45" s="169"/>
      <c r="CN45" s="169"/>
      <c r="CO45" s="169"/>
      <c r="CP45" s="169"/>
      <c r="CQ45" s="169"/>
      <c r="CR45" s="169"/>
      <c r="CS45" s="169"/>
      <c r="CT45" s="169"/>
      <c r="CU45" s="169"/>
      <c r="CV45" s="169"/>
      <c r="CW45" s="169"/>
      <c r="CX45" s="169"/>
      <c r="CY45" s="169"/>
      <c r="CZ45" s="169"/>
      <c r="DA45" s="169"/>
      <c r="DB45" s="169"/>
      <c r="DC45" s="169"/>
      <c r="DD45" s="169"/>
      <c r="DE45" s="169"/>
      <c r="DF45" s="169"/>
      <c r="DG45" s="169"/>
      <c r="DH45" s="169"/>
      <c r="DI45" s="169"/>
      <c r="DJ45" s="169"/>
      <c r="DK45" s="169"/>
      <c r="DL45" s="169"/>
      <c r="DM45" s="169"/>
      <c r="DN45" s="169"/>
      <c r="DO45" s="169"/>
      <c r="DP45" s="169"/>
      <c r="DQ45" s="169"/>
      <c r="DR45" s="169"/>
      <c r="DS45" s="169"/>
      <c r="DT45" s="169"/>
      <c r="DU45" s="169"/>
    </row>
    <row r="46" s="168" customFormat="1" ht="18" hidden="1" customHeight="1" spans="1:125">
      <c r="A46" s="204">
        <f>'INPUT DATA'!A47</f>
        <v>36</v>
      </c>
      <c r="B46" s="205">
        <f>'INPUT DATA'!B47:D47</f>
        <v>0</v>
      </c>
      <c r="C46" s="206"/>
      <c r="D46" s="206"/>
      <c r="E46" s="206"/>
      <c r="F46" s="207"/>
      <c r="G46" s="208"/>
      <c r="H46" s="209"/>
      <c r="I46" s="208"/>
      <c r="J46" s="237"/>
      <c r="K46" s="238"/>
      <c r="L46" s="208"/>
      <c r="M46" s="208"/>
      <c r="N46" s="208"/>
      <c r="O46" s="239"/>
      <c r="P46" s="240"/>
      <c r="Q46" s="208"/>
      <c r="R46" s="208"/>
      <c r="S46" s="208"/>
      <c r="T46" s="237"/>
      <c r="U46" s="238"/>
      <c r="V46" s="208"/>
      <c r="W46" s="209"/>
      <c r="X46" s="254"/>
      <c r="Y46" s="239"/>
      <c r="Z46" s="240"/>
      <c r="AA46" s="208"/>
      <c r="AB46" s="208"/>
      <c r="AC46" s="208"/>
      <c r="AD46" s="237"/>
      <c r="AE46" s="240"/>
      <c r="AF46" s="254"/>
      <c r="AG46" s="254"/>
      <c r="AH46" s="208"/>
      <c r="AI46" s="239"/>
      <c r="AJ46" s="268"/>
      <c r="AK46" s="208"/>
      <c r="AL46" s="208"/>
      <c r="AM46" s="208"/>
      <c r="AN46" s="237"/>
      <c r="AO46" s="238"/>
      <c r="AP46" s="270"/>
      <c r="AQ46" s="270"/>
      <c r="AR46" s="208"/>
      <c r="AS46" s="239"/>
      <c r="AT46" s="240"/>
      <c r="AU46" s="270"/>
      <c r="AV46" s="270"/>
      <c r="AW46" s="208"/>
      <c r="AX46" s="237"/>
      <c r="AY46" s="238"/>
      <c r="AZ46" s="270"/>
      <c r="BA46" s="270"/>
      <c r="BB46" s="208"/>
      <c r="BC46" s="239"/>
      <c r="BD46" s="240"/>
      <c r="BE46" s="270"/>
      <c r="BF46" s="270"/>
      <c r="BG46" s="208"/>
      <c r="BH46" s="237"/>
      <c r="BI46" s="238"/>
      <c r="BJ46" s="270"/>
      <c r="BK46" s="270"/>
      <c r="BL46" s="208"/>
      <c r="BM46" s="239"/>
      <c r="BN46" s="287"/>
      <c r="BO46" s="281"/>
      <c r="BP46" s="169">
        <f t="shared" si="8"/>
        <v>34</v>
      </c>
      <c r="BQ46" s="169"/>
      <c r="BR46" s="169"/>
      <c r="BS46" s="204">
        <f>'INPUT DATA'!BS47</f>
        <v>0</v>
      </c>
      <c r="BT46" s="205">
        <f>'INPUT DATA'!BT47:BV47</f>
        <v>0</v>
      </c>
      <c r="BU46" s="206"/>
      <c r="BV46" s="169"/>
      <c r="BW46" s="169"/>
      <c r="BX46" s="169"/>
      <c r="BY46" s="169"/>
      <c r="BZ46" s="169"/>
      <c r="CA46" s="169"/>
      <c r="CB46" s="169"/>
      <c r="CC46" s="169"/>
      <c r="CD46" s="169"/>
      <c r="CE46" s="169"/>
      <c r="CF46" s="169"/>
      <c r="CG46" s="169"/>
      <c r="CH46" s="169"/>
      <c r="CI46" s="169"/>
      <c r="CJ46" s="169"/>
      <c r="CK46" s="169"/>
      <c r="CL46" s="169"/>
      <c r="CM46" s="169"/>
      <c r="CN46" s="169"/>
      <c r="CO46" s="169"/>
      <c r="CP46" s="169"/>
      <c r="CQ46" s="169"/>
      <c r="CR46" s="169"/>
      <c r="CS46" s="169"/>
      <c r="CT46" s="169"/>
      <c r="CU46" s="169"/>
      <c r="CV46" s="169"/>
      <c r="CW46" s="169"/>
      <c r="CX46" s="169"/>
      <c r="CY46" s="169"/>
      <c r="CZ46" s="169"/>
      <c r="DA46" s="169"/>
      <c r="DB46" s="169"/>
      <c r="DC46" s="169"/>
      <c r="DD46" s="169"/>
      <c r="DE46" s="169"/>
      <c r="DF46" s="169"/>
      <c r="DG46" s="169"/>
      <c r="DH46" s="169"/>
      <c r="DI46" s="169"/>
      <c r="DJ46" s="169"/>
      <c r="DK46" s="169"/>
      <c r="DL46" s="169"/>
      <c r="DM46" s="169"/>
      <c r="DN46" s="169"/>
      <c r="DO46" s="169"/>
      <c r="DP46" s="169"/>
      <c r="DQ46" s="169"/>
      <c r="DR46" s="169"/>
      <c r="DS46" s="169"/>
      <c r="DT46" s="169"/>
      <c r="DU46" s="169"/>
    </row>
    <row r="47" s="168" customFormat="1" ht="18" hidden="1" customHeight="1" spans="1:125">
      <c r="A47" s="204">
        <f>'INPUT DATA'!A48</f>
        <v>37</v>
      </c>
      <c r="B47" s="205">
        <f>'INPUT DATA'!B48:D48</f>
        <v>0</v>
      </c>
      <c r="C47" s="206"/>
      <c r="D47" s="206"/>
      <c r="E47" s="206"/>
      <c r="F47" s="207"/>
      <c r="G47" s="208"/>
      <c r="H47" s="209"/>
      <c r="I47" s="208"/>
      <c r="J47" s="237"/>
      <c r="K47" s="238"/>
      <c r="L47" s="208"/>
      <c r="M47" s="208"/>
      <c r="N47" s="208"/>
      <c r="O47" s="239"/>
      <c r="P47" s="240"/>
      <c r="Q47" s="208"/>
      <c r="R47" s="208"/>
      <c r="S47" s="208"/>
      <c r="T47" s="237"/>
      <c r="U47" s="238"/>
      <c r="V47" s="208"/>
      <c r="W47" s="209"/>
      <c r="X47" s="254"/>
      <c r="Y47" s="239"/>
      <c r="Z47" s="240"/>
      <c r="AA47" s="208"/>
      <c r="AB47" s="208"/>
      <c r="AC47" s="208"/>
      <c r="AD47" s="237"/>
      <c r="AE47" s="240"/>
      <c r="AF47" s="254"/>
      <c r="AG47" s="254"/>
      <c r="AH47" s="208"/>
      <c r="AI47" s="239"/>
      <c r="AJ47" s="268"/>
      <c r="AK47" s="208"/>
      <c r="AL47" s="208"/>
      <c r="AM47" s="208"/>
      <c r="AN47" s="237"/>
      <c r="AO47" s="238"/>
      <c r="AP47" s="270"/>
      <c r="AQ47" s="270"/>
      <c r="AR47" s="208"/>
      <c r="AS47" s="239"/>
      <c r="AT47" s="240"/>
      <c r="AU47" s="270"/>
      <c r="AV47" s="270"/>
      <c r="AW47" s="208"/>
      <c r="AX47" s="237"/>
      <c r="AY47" s="238"/>
      <c r="AZ47" s="270"/>
      <c r="BA47" s="270"/>
      <c r="BB47" s="208"/>
      <c r="BC47" s="239"/>
      <c r="BD47" s="240"/>
      <c r="BE47" s="270"/>
      <c r="BF47" s="270"/>
      <c r="BG47" s="208"/>
      <c r="BH47" s="237"/>
      <c r="BI47" s="238"/>
      <c r="BJ47" s="270"/>
      <c r="BK47" s="270"/>
      <c r="BL47" s="208"/>
      <c r="BM47" s="239"/>
      <c r="BN47" s="287"/>
      <c r="BO47" s="281"/>
      <c r="BP47" s="169">
        <f t="shared" si="8"/>
        <v>34</v>
      </c>
      <c r="BQ47" s="169"/>
      <c r="BR47" s="169"/>
      <c r="BS47" s="204">
        <f>'INPUT DATA'!BS48</f>
        <v>0</v>
      </c>
      <c r="BT47" s="205">
        <f>'INPUT DATA'!BT48:BV48</f>
        <v>0</v>
      </c>
      <c r="BU47" s="206"/>
      <c r="BV47" s="169"/>
      <c r="BW47" s="169"/>
      <c r="BX47" s="169"/>
      <c r="BY47" s="169"/>
      <c r="BZ47" s="169"/>
      <c r="CA47" s="169"/>
      <c r="CB47" s="169"/>
      <c r="CC47" s="169"/>
      <c r="CD47" s="169"/>
      <c r="CE47" s="169"/>
      <c r="CF47" s="169"/>
      <c r="CG47" s="169"/>
      <c r="CH47" s="169"/>
      <c r="CI47" s="169"/>
      <c r="CJ47" s="169"/>
      <c r="CK47" s="169"/>
      <c r="CL47" s="169"/>
      <c r="CM47" s="169"/>
      <c r="CN47" s="169"/>
      <c r="CO47" s="169"/>
      <c r="CP47" s="169"/>
      <c r="CQ47" s="169"/>
      <c r="CR47" s="169"/>
      <c r="CS47" s="169"/>
      <c r="CT47" s="169"/>
      <c r="CU47" s="169"/>
      <c r="CV47" s="169"/>
      <c r="CW47" s="169"/>
      <c r="CX47" s="169"/>
      <c r="CY47" s="169"/>
      <c r="CZ47" s="169"/>
      <c r="DA47" s="169"/>
      <c r="DB47" s="169"/>
      <c r="DC47" s="169"/>
      <c r="DD47" s="169"/>
      <c r="DE47" s="169"/>
      <c r="DF47" s="169"/>
      <c r="DG47" s="169"/>
      <c r="DH47" s="169"/>
      <c r="DI47" s="169"/>
      <c r="DJ47" s="169"/>
      <c r="DK47" s="169"/>
      <c r="DL47" s="169"/>
      <c r="DM47" s="169"/>
      <c r="DN47" s="169"/>
      <c r="DO47" s="169"/>
      <c r="DP47" s="169"/>
      <c r="DQ47" s="169"/>
      <c r="DR47" s="169"/>
      <c r="DS47" s="169"/>
      <c r="DT47" s="169"/>
      <c r="DU47" s="169"/>
    </row>
    <row r="48" s="168" customFormat="1" ht="18" hidden="1" customHeight="1" spans="1:125">
      <c r="A48" s="204">
        <f>'INPUT DATA'!A49</f>
        <v>38</v>
      </c>
      <c r="B48" s="205">
        <f>'INPUT DATA'!B49:D49</f>
        <v>0</v>
      </c>
      <c r="C48" s="206"/>
      <c r="D48" s="206"/>
      <c r="E48" s="206"/>
      <c r="F48" s="207"/>
      <c r="G48" s="208"/>
      <c r="H48" s="209"/>
      <c r="I48" s="208"/>
      <c r="J48" s="237"/>
      <c r="K48" s="238"/>
      <c r="L48" s="208"/>
      <c r="M48" s="208"/>
      <c r="N48" s="208"/>
      <c r="O48" s="239"/>
      <c r="P48" s="240"/>
      <c r="Q48" s="208"/>
      <c r="R48" s="208"/>
      <c r="S48" s="208"/>
      <c r="T48" s="237"/>
      <c r="U48" s="238"/>
      <c r="V48" s="208"/>
      <c r="W48" s="209"/>
      <c r="X48" s="254"/>
      <c r="Y48" s="239"/>
      <c r="Z48" s="240"/>
      <c r="AA48" s="208"/>
      <c r="AB48" s="208"/>
      <c r="AC48" s="208"/>
      <c r="AD48" s="237"/>
      <c r="AE48" s="240"/>
      <c r="AF48" s="254"/>
      <c r="AG48" s="254"/>
      <c r="AH48" s="208"/>
      <c r="AI48" s="239"/>
      <c r="AJ48" s="268"/>
      <c r="AK48" s="208"/>
      <c r="AL48" s="208"/>
      <c r="AM48" s="208"/>
      <c r="AN48" s="237"/>
      <c r="AO48" s="238"/>
      <c r="AP48" s="270"/>
      <c r="AQ48" s="270"/>
      <c r="AR48" s="208"/>
      <c r="AS48" s="239"/>
      <c r="AT48" s="240"/>
      <c r="AU48" s="270"/>
      <c r="AV48" s="270"/>
      <c r="AW48" s="208"/>
      <c r="AX48" s="237"/>
      <c r="AY48" s="238"/>
      <c r="AZ48" s="270"/>
      <c r="BA48" s="270"/>
      <c r="BB48" s="208"/>
      <c r="BC48" s="239"/>
      <c r="BD48" s="240"/>
      <c r="BE48" s="270"/>
      <c r="BF48" s="270"/>
      <c r="BG48" s="208"/>
      <c r="BH48" s="237"/>
      <c r="BI48" s="238"/>
      <c r="BJ48" s="270"/>
      <c r="BK48" s="270"/>
      <c r="BL48" s="208"/>
      <c r="BM48" s="239"/>
      <c r="BN48" s="287"/>
      <c r="BO48" s="281"/>
      <c r="BP48" s="169">
        <f t="shared" si="8"/>
        <v>34</v>
      </c>
      <c r="BQ48" s="169"/>
      <c r="BR48" s="169"/>
      <c r="BS48" s="204">
        <f>'INPUT DATA'!BS49</f>
        <v>0</v>
      </c>
      <c r="BT48" s="205">
        <f>'INPUT DATA'!BT49:BV49</f>
        <v>0</v>
      </c>
      <c r="BU48" s="206"/>
      <c r="BV48" s="169"/>
      <c r="BW48" s="169"/>
      <c r="BX48" s="169"/>
      <c r="BY48" s="169"/>
      <c r="BZ48" s="169"/>
      <c r="CA48" s="169"/>
      <c r="CB48" s="169"/>
      <c r="CC48" s="169"/>
      <c r="CD48" s="169"/>
      <c r="CE48" s="169"/>
      <c r="CF48" s="169"/>
      <c r="CG48" s="169"/>
      <c r="CH48" s="169"/>
      <c r="CI48" s="169"/>
      <c r="CJ48" s="169"/>
      <c r="CK48" s="169"/>
      <c r="CL48" s="169"/>
      <c r="CM48" s="169"/>
      <c r="CN48" s="169"/>
      <c r="CO48" s="169"/>
      <c r="CP48" s="169"/>
      <c r="CQ48" s="169"/>
      <c r="CR48" s="169"/>
      <c r="CS48" s="169"/>
      <c r="CT48" s="169"/>
      <c r="CU48" s="169"/>
      <c r="CV48" s="169"/>
      <c r="CW48" s="169"/>
      <c r="CX48" s="169"/>
      <c r="CY48" s="169"/>
      <c r="CZ48" s="169"/>
      <c r="DA48" s="169"/>
      <c r="DB48" s="169"/>
      <c r="DC48" s="169"/>
      <c r="DD48" s="169"/>
      <c r="DE48" s="169"/>
      <c r="DF48" s="169"/>
      <c r="DG48" s="169"/>
      <c r="DH48" s="169"/>
      <c r="DI48" s="169"/>
      <c r="DJ48" s="169"/>
      <c r="DK48" s="169"/>
      <c r="DL48" s="169"/>
      <c r="DM48" s="169"/>
      <c r="DN48" s="169"/>
      <c r="DO48" s="169"/>
      <c r="DP48" s="169"/>
      <c r="DQ48" s="169"/>
      <c r="DR48" s="169"/>
      <c r="DS48" s="169"/>
      <c r="DT48" s="169"/>
      <c r="DU48" s="169"/>
    </row>
    <row r="49" s="168" customFormat="1" ht="18" hidden="1" customHeight="1" spans="1:125">
      <c r="A49" s="204">
        <f>'INPUT DATA'!A50</f>
        <v>39</v>
      </c>
      <c r="B49" s="205">
        <f>'INPUT DATA'!B50:D50</f>
        <v>0</v>
      </c>
      <c r="C49" s="206"/>
      <c r="D49" s="206"/>
      <c r="E49" s="206"/>
      <c r="F49" s="207"/>
      <c r="G49" s="208"/>
      <c r="H49" s="209"/>
      <c r="I49" s="208"/>
      <c r="J49" s="237"/>
      <c r="K49" s="238"/>
      <c r="L49" s="208"/>
      <c r="M49" s="208"/>
      <c r="N49" s="208"/>
      <c r="O49" s="239"/>
      <c r="P49" s="240"/>
      <c r="Q49" s="208"/>
      <c r="R49" s="208"/>
      <c r="S49" s="208"/>
      <c r="T49" s="237"/>
      <c r="U49" s="238"/>
      <c r="V49" s="208"/>
      <c r="W49" s="209"/>
      <c r="X49" s="254"/>
      <c r="Y49" s="239"/>
      <c r="Z49" s="240"/>
      <c r="AA49" s="208"/>
      <c r="AB49" s="208"/>
      <c r="AC49" s="208"/>
      <c r="AD49" s="237"/>
      <c r="AE49" s="240"/>
      <c r="AF49" s="254"/>
      <c r="AG49" s="254"/>
      <c r="AH49" s="208"/>
      <c r="AI49" s="239"/>
      <c r="AJ49" s="268"/>
      <c r="AK49" s="208"/>
      <c r="AL49" s="208"/>
      <c r="AM49" s="208"/>
      <c r="AN49" s="237"/>
      <c r="AO49" s="238"/>
      <c r="AP49" s="270"/>
      <c r="AQ49" s="270"/>
      <c r="AR49" s="208"/>
      <c r="AS49" s="239"/>
      <c r="AT49" s="240"/>
      <c r="AU49" s="270"/>
      <c r="AV49" s="270"/>
      <c r="AW49" s="208"/>
      <c r="AX49" s="237"/>
      <c r="AY49" s="238"/>
      <c r="AZ49" s="270"/>
      <c r="BA49" s="270"/>
      <c r="BB49" s="208"/>
      <c r="BC49" s="239"/>
      <c r="BD49" s="240"/>
      <c r="BE49" s="270"/>
      <c r="BF49" s="270"/>
      <c r="BG49" s="208"/>
      <c r="BH49" s="237"/>
      <c r="BI49" s="238" t="str">
        <f>' MAPEH FINAL'!F50</f>
        <v/>
      </c>
      <c r="BJ49" s="270" t="str">
        <f>' MAPEH FINAL'!J50</f>
        <v/>
      </c>
      <c r="BK49" s="270" t="str">
        <f>' MAPEH FINAL'!N50</f>
        <v/>
      </c>
      <c r="BL49" s="208" t="str">
        <f>' MAPEH FINAL'!R50</f>
        <v/>
      </c>
      <c r="BM49" s="239" t="str">
        <f t="shared" si="0"/>
        <v/>
      </c>
      <c r="BN49" s="287" t="str">
        <f t="shared" si="5"/>
        <v/>
      </c>
      <c r="BO49" s="281" t="str">
        <f t="shared" si="6"/>
        <v/>
      </c>
      <c r="BP49" s="169">
        <f t="shared" si="8"/>
        <v>34</v>
      </c>
      <c r="BQ49" s="169"/>
      <c r="BR49" s="169"/>
      <c r="BS49" s="204">
        <f>'INPUT DATA'!BS50</f>
        <v>0</v>
      </c>
      <c r="BT49" s="205">
        <f>'INPUT DATA'!BT50:BV50</f>
        <v>0</v>
      </c>
      <c r="BU49" s="206"/>
      <c r="BV49" s="169"/>
      <c r="BW49" s="169"/>
      <c r="BX49" s="169"/>
      <c r="BY49" s="169"/>
      <c r="BZ49" s="169"/>
      <c r="CA49" s="169"/>
      <c r="CB49" s="169"/>
      <c r="CC49" s="169"/>
      <c r="CD49" s="169"/>
      <c r="CE49" s="169"/>
      <c r="CF49" s="169"/>
      <c r="CG49" s="169"/>
      <c r="CH49" s="169"/>
      <c r="CI49" s="169"/>
      <c r="CJ49" s="169"/>
      <c r="CK49" s="169"/>
      <c r="CL49" s="169"/>
      <c r="CM49" s="169"/>
      <c r="CN49" s="169"/>
      <c r="CO49" s="169"/>
      <c r="CP49" s="169"/>
      <c r="CQ49" s="169"/>
      <c r="CR49" s="169"/>
      <c r="CS49" s="169"/>
      <c r="CT49" s="169"/>
      <c r="CU49" s="169"/>
      <c r="CV49" s="169"/>
      <c r="CW49" s="169"/>
      <c r="CX49" s="169"/>
      <c r="CY49" s="169"/>
      <c r="CZ49" s="169"/>
      <c r="DA49" s="169"/>
      <c r="DB49" s="169"/>
      <c r="DC49" s="169"/>
      <c r="DD49" s="169"/>
      <c r="DE49" s="169"/>
      <c r="DF49" s="169"/>
      <c r="DG49" s="169"/>
      <c r="DH49" s="169"/>
      <c r="DI49" s="169"/>
      <c r="DJ49" s="169"/>
      <c r="DK49" s="169"/>
      <c r="DL49" s="169"/>
      <c r="DM49" s="169"/>
      <c r="DN49" s="169"/>
      <c r="DO49" s="169"/>
      <c r="DP49" s="169"/>
      <c r="DQ49" s="169"/>
      <c r="DR49" s="169"/>
      <c r="DS49" s="169"/>
      <c r="DT49" s="169"/>
      <c r="DU49" s="169"/>
    </row>
    <row r="50" s="168" customFormat="1" ht="18" customHeight="1" spans="1:125">
      <c r="A50" s="214"/>
      <c r="B50" s="215" t="str">
        <f>'INPUT DATA'!B52:D52</f>
        <v>FEMALE </v>
      </c>
      <c r="C50" s="216"/>
      <c r="D50" s="216"/>
      <c r="E50" s="216"/>
      <c r="F50" s="217"/>
      <c r="G50" s="218"/>
      <c r="H50" s="219"/>
      <c r="I50" s="218"/>
      <c r="J50" s="237"/>
      <c r="K50" s="243"/>
      <c r="L50" s="218"/>
      <c r="M50" s="218"/>
      <c r="N50" s="218"/>
      <c r="O50" s="239"/>
      <c r="P50" s="244"/>
      <c r="Q50" s="218"/>
      <c r="R50" s="218"/>
      <c r="S50" s="218"/>
      <c r="T50" s="237"/>
      <c r="U50" s="243"/>
      <c r="V50" s="218"/>
      <c r="W50" s="219"/>
      <c r="X50" s="255"/>
      <c r="Y50" s="239"/>
      <c r="Z50" s="244"/>
      <c r="AA50" s="218"/>
      <c r="AB50" s="218"/>
      <c r="AC50" s="218"/>
      <c r="AD50" s="237"/>
      <c r="AE50" s="244"/>
      <c r="AF50" s="255"/>
      <c r="AG50" s="255"/>
      <c r="AH50" s="218"/>
      <c r="AI50" s="239"/>
      <c r="AJ50" s="269"/>
      <c r="AK50" s="218"/>
      <c r="AL50" s="218"/>
      <c r="AM50" s="218"/>
      <c r="AN50" s="237" t="str">
        <f>IF(OR(AJ50="",AK50="",AL50="",AM50=""),"",IF(ISERROR(ROUND(AVERAGE(AJ50,AK50,AL50,AM50),0)),"",ROUND(AVERAGE(AJ50,AK50,AL50,AM50),0)))</f>
        <v/>
      </c>
      <c r="AO50" s="243"/>
      <c r="AP50" s="271"/>
      <c r="AQ50" s="271"/>
      <c r="AR50" s="218"/>
      <c r="AS50" s="239" t="str">
        <f>IF(OR(AO50="",AP50="",AQ50="",AR50=""),"",IF(ISERROR(ROUND(AVERAGE(AO50,AP50,AQ50,AR50),0)),"",ROUND(AVERAGE(AO50,AP50,AQ50,AR50),0)))</f>
        <v/>
      </c>
      <c r="AT50" s="244"/>
      <c r="AU50" s="271"/>
      <c r="AV50" s="271"/>
      <c r="AW50" s="218"/>
      <c r="AX50" s="237" t="str">
        <f>IF(OR(AT50="",AU50="",AV50="",AW50=""),"",IF(ISERROR(ROUND(AVERAGE(AT50,AU50,AV50,AW50),0)),"",ROUND(AVERAGE(AT50,AU50,AV50,AW50),0)))</f>
        <v/>
      </c>
      <c r="AY50" s="243"/>
      <c r="AZ50" s="271"/>
      <c r="BA50" s="271"/>
      <c r="BB50" s="218"/>
      <c r="BC50" s="239" t="str">
        <f>IF(OR(AY50="",AZ50="",BA50="",BB50=""),"",IF(ISERROR(ROUND(AVERAGE(AY50,AZ50,BA50,BB50),0)),"",ROUND(AVERAGE(AY50,AZ50,BA50,BB50),0)))</f>
        <v/>
      </c>
      <c r="BD50" s="244"/>
      <c r="BE50" s="271"/>
      <c r="BF50" s="271"/>
      <c r="BG50" s="218"/>
      <c r="BH50" s="237" t="str">
        <f>IF(OR(BD50="",BE50="",BF50="",BG50=""),"",IF(ISERROR(ROUND(AVERAGE(BD50,BE50,BF50,BG50),0)),"",ROUND(AVERAGE(BD50,BE50,BF50,BG50),0)))</f>
        <v/>
      </c>
      <c r="BI50" s="243"/>
      <c r="BJ50" s="271"/>
      <c r="BK50" s="271"/>
      <c r="BL50" s="218"/>
      <c r="BM50" s="239" t="str">
        <f t="shared" si="0"/>
        <v/>
      </c>
      <c r="BN50" s="271"/>
      <c r="BO50" s="218"/>
      <c r="BP50" s="169">
        <f t="shared" si="8"/>
        <v>34</v>
      </c>
      <c r="BQ50" s="169"/>
      <c r="BR50" s="169"/>
      <c r="BS50" s="214"/>
      <c r="BT50" s="215">
        <f>'INPUT DATA'!BT52:BV52</f>
        <v>0</v>
      </c>
      <c r="BU50" s="216"/>
      <c r="BV50" s="169"/>
      <c r="BW50" s="169"/>
      <c r="BX50" s="169"/>
      <c r="BY50" s="169"/>
      <c r="BZ50" s="169"/>
      <c r="CA50" s="169"/>
      <c r="CB50" s="169"/>
      <c r="CC50" s="169"/>
      <c r="CD50" s="169"/>
      <c r="CE50" s="169"/>
      <c r="CF50" s="169"/>
      <c r="CG50" s="169"/>
      <c r="CH50" s="169"/>
      <c r="CI50" s="169"/>
      <c r="CJ50" s="169"/>
      <c r="CK50" s="169"/>
      <c r="CL50" s="169"/>
      <c r="CM50" s="169"/>
      <c r="CN50" s="169"/>
      <c r="CO50" s="169"/>
      <c r="CP50" s="169"/>
      <c r="CQ50" s="169"/>
      <c r="CR50" s="169"/>
      <c r="CS50" s="169"/>
      <c r="CT50" s="169"/>
      <c r="CU50" s="169"/>
      <c r="CV50" s="169"/>
      <c r="CW50" s="169"/>
      <c r="CX50" s="169"/>
      <c r="CY50" s="169"/>
      <c r="CZ50" s="169"/>
      <c r="DA50" s="169"/>
      <c r="DB50" s="169"/>
      <c r="DC50" s="169"/>
      <c r="DD50" s="169"/>
      <c r="DE50" s="169"/>
      <c r="DF50" s="169"/>
      <c r="DG50" s="169"/>
      <c r="DH50" s="169"/>
      <c r="DI50" s="169"/>
      <c r="DJ50" s="169"/>
      <c r="DK50" s="169"/>
      <c r="DL50" s="169"/>
      <c r="DM50" s="169"/>
      <c r="DN50" s="169"/>
      <c r="DO50" s="169"/>
      <c r="DP50" s="169"/>
      <c r="DQ50" s="169"/>
      <c r="DR50" s="169"/>
      <c r="DS50" s="169"/>
      <c r="DT50" s="169"/>
      <c r="DU50" s="169"/>
    </row>
    <row r="51" s="168" customFormat="1" ht="18" customHeight="1" spans="1:125">
      <c r="A51" s="204">
        <f>'INPUT DATA'!A53</f>
        <v>1</v>
      </c>
      <c r="B51" s="205" t="str">
        <f>'INPUT DATA'!B53:D53</f>
        <v>ANGCOY, PRINCESS NAILLE T.</v>
      </c>
      <c r="C51" s="206"/>
      <c r="D51" s="206"/>
      <c r="E51" s="206"/>
      <c r="F51" s="207">
        <f>FILIPINO!F48</f>
        <v>75</v>
      </c>
      <c r="G51" s="208">
        <f>FILIPINO!J48</f>
        <v>83</v>
      </c>
      <c r="H51" s="208">
        <f>FILIPINO!N48</f>
        <v>84</v>
      </c>
      <c r="I51" s="208">
        <f>FILIPINO!R48</f>
        <v>89</v>
      </c>
      <c r="J51" s="237">
        <f>FILIPINO!V48</f>
        <v>82.75</v>
      </c>
      <c r="K51" s="238">
        <f>ENGLISH!F52</f>
        <v>77</v>
      </c>
      <c r="L51" s="208">
        <f>ENGLISH!J52</f>
        <v>78</v>
      </c>
      <c r="M51" s="208">
        <f>ENGLISH!N52</f>
        <v>81</v>
      </c>
      <c r="N51" s="208">
        <f>ENGLISH!R52</f>
        <v>82</v>
      </c>
      <c r="O51" s="239">
        <f>ENGLISH!V52</f>
        <v>79.5</v>
      </c>
      <c r="P51" s="240">
        <f>MATHEMATICS!F52</f>
        <v>87</v>
      </c>
      <c r="Q51" s="208">
        <f>MATHEMATICS!J52</f>
        <v>89</v>
      </c>
      <c r="R51" s="208">
        <f>MATHEMATICS!N52</f>
        <v>90</v>
      </c>
      <c r="S51" s="208">
        <f>MATHEMATICS!R52</f>
        <v>91</v>
      </c>
      <c r="T51" s="237">
        <f>MATHEMATICS!V52</f>
        <v>89.25</v>
      </c>
      <c r="U51" s="238">
        <f>SCIENCE!F52</f>
        <v>82</v>
      </c>
      <c r="V51" s="208">
        <f>SCIENCE!J52</f>
        <v>84</v>
      </c>
      <c r="W51" s="209">
        <f>SCIENCE!N52</f>
        <v>83</v>
      </c>
      <c r="X51" s="254">
        <f>SCIENCE!R52</f>
        <v>84</v>
      </c>
      <c r="Y51" s="239">
        <f>SCIENCE!V52</f>
        <v>83.25</v>
      </c>
      <c r="Z51" s="240">
        <f>AP!F52</f>
        <v>77</v>
      </c>
      <c r="AA51" s="208">
        <f>AP!J52</f>
        <v>80</v>
      </c>
      <c r="AB51" s="208">
        <f>AP!N52</f>
        <v>80</v>
      </c>
      <c r="AC51" s="208">
        <f>AP!R52</f>
        <v>85</v>
      </c>
      <c r="AD51" s="237">
        <f>AP!V52</f>
        <v>80.5</v>
      </c>
      <c r="AE51" s="240">
        <f>VALED!F52</f>
        <v>84</v>
      </c>
      <c r="AF51" s="254">
        <f>VALED!J52</f>
        <v>81</v>
      </c>
      <c r="AG51" s="254">
        <f>VALED!N52</f>
        <v>84</v>
      </c>
      <c r="AH51" s="208">
        <f>VALED!R52</f>
        <v>86</v>
      </c>
      <c r="AI51" s="239">
        <f>VALED!V52</f>
        <v>83.75</v>
      </c>
      <c r="AJ51" s="268">
        <f>TLE!F52</f>
        <v>87</v>
      </c>
      <c r="AK51" s="208">
        <f>TLE!J52</f>
        <v>80</v>
      </c>
      <c r="AL51" s="208">
        <f>TLE!N52</f>
        <v>85</v>
      </c>
      <c r="AM51" s="208">
        <f>TLE!R52</f>
        <v>90</v>
      </c>
      <c r="AN51" s="237">
        <f>TLE!V52</f>
        <v>85.5</v>
      </c>
      <c r="AO51" s="238">
        <f>'MUSIC-ARTS'!F52</f>
        <v>85</v>
      </c>
      <c r="AP51" s="270">
        <f>'MUSIC-ARTS'!J52</f>
        <v>86</v>
      </c>
      <c r="AQ51" s="270">
        <f>'MUSIC-ARTS'!N52</f>
        <v>85</v>
      </c>
      <c r="AR51" s="208">
        <f>'MUSIC-ARTS'!R52</f>
        <v>83</v>
      </c>
      <c r="AS51" s="239">
        <f>IF(OR(AO51="",AP51="",AQ51="",AR51=""),"",IF(ISERROR(ROUND(AVERAGE(AO51,AP51,AQ51,AR51),0)),"",ROUND(AVERAGE(AO51,AP51,AQ51,AR51),0)))</f>
        <v>85</v>
      </c>
      <c r="AT51" s="240">
        <f>ARTS!F52</f>
        <v>0</v>
      </c>
      <c r="AU51" s="270">
        <f>ARTS!J52</f>
        <v>0</v>
      </c>
      <c r="AV51" s="270">
        <f>ARTS!N52</f>
        <v>0</v>
      </c>
      <c r="AW51" s="208">
        <f>ARTS!R52</f>
        <v>0</v>
      </c>
      <c r="AX51" s="237">
        <f t="shared" ref="AX51:AX72" si="9">IF(OR(AT51="",AU51="",AV51="",AW51=""),"",IF(ISERROR(ROUND(AVERAGE(AT51,AU51,AV51,AW51),0)),"",ROUND(AVERAGE(AT51,AU51,AV51,AW51),0)))</f>
        <v>0</v>
      </c>
      <c r="AY51" s="238">
        <f>'PE-HEALTH'!F52</f>
        <v>90</v>
      </c>
      <c r="AZ51" s="270">
        <f>'PE-HEALTH'!J52</f>
        <v>86</v>
      </c>
      <c r="BA51" s="270">
        <f>'PE-HEALTH'!N52</f>
        <v>85</v>
      </c>
      <c r="BB51" s="208">
        <f>'PE-HEALTH'!R52</f>
        <v>95</v>
      </c>
      <c r="BC51" s="239">
        <f t="shared" ref="BC51:BC72" si="10">IF(OR(AY51="",AZ51="",BA51="",BB51=""),"",IF(ISERROR(ROUND(AVERAGE(AY51,AZ51,BA51,BB51),0)),"",ROUND(AVERAGE(AY51,AZ51,BA51,BB51),0)))</f>
        <v>89</v>
      </c>
      <c r="BD51" s="240">
        <f>HEALTH!F52</f>
        <v>0</v>
      </c>
      <c r="BE51" s="270">
        <f>HEALTH!J52</f>
        <v>0</v>
      </c>
      <c r="BF51" s="270">
        <f>HEALTH!N52</f>
        <v>0</v>
      </c>
      <c r="BG51" s="208">
        <f>HEALTH!R52</f>
        <v>0</v>
      </c>
      <c r="BH51" s="237">
        <f t="shared" ref="BH51:BH72" si="11">IF(OR(BD51="",BE51="",BF51="",BG51=""),"",IF(ISERROR(ROUND(AVERAGE(BD51,BE51,BF51,BG51),0)),"",ROUND(AVERAGE(BD51,BE51,BF51,BG51),0)))</f>
        <v>0</v>
      </c>
      <c r="BI51" s="238">
        <f>' MAPEH FINAL'!F52</f>
        <v>88</v>
      </c>
      <c r="BJ51" s="270">
        <f>' MAPEH FINAL'!J52</f>
        <v>86</v>
      </c>
      <c r="BK51" s="270">
        <f>' MAPEH FINAL'!N52</f>
        <v>85</v>
      </c>
      <c r="BL51" s="208">
        <f>' MAPEH FINAL'!R52</f>
        <v>89</v>
      </c>
      <c r="BM51" s="239">
        <f t="shared" si="0"/>
        <v>87</v>
      </c>
      <c r="BN51" s="280">
        <f t="shared" ref="BN50:BN72" si="12">IF(ISERROR(J51+O51+T51+Y51+AD51+AI51+AN51+BM51)/8,"",(J51+O51+T51+Y51+AD51+AI51+AN51+BM51)/8)</f>
        <v>83.9375</v>
      </c>
      <c r="BO51" s="281">
        <f t="shared" si="6"/>
        <v>84</v>
      </c>
      <c r="BP51" s="283">
        <f t="shared" si="8"/>
        <v>23</v>
      </c>
      <c r="BQ51" s="205"/>
      <c r="BR51" s="169"/>
      <c r="BS51" s="204">
        <v>1</v>
      </c>
      <c r="BT51" s="152" t="s">
        <v>40</v>
      </c>
      <c r="BU51" s="206"/>
      <c r="BV51" s="169"/>
      <c r="BW51" s="169"/>
      <c r="BX51" s="169"/>
      <c r="BY51" s="169"/>
      <c r="BZ51" s="169"/>
      <c r="CA51" s="169"/>
      <c r="CB51" s="169"/>
      <c r="CC51" s="169"/>
      <c r="CD51" s="169"/>
      <c r="CE51" s="169"/>
      <c r="CF51" s="169"/>
      <c r="CG51" s="169"/>
      <c r="CH51" s="169"/>
      <c r="CI51" s="169"/>
      <c r="CJ51" s="169"/>
      <c r="CK51" s="169"/>
      <c r="CL51" s="169"/>
      <c r="CM51" s="169"/>
      <c r="CN51" s="169"/>
      <c r="CO51" s="169"/>
      <c r="CP51" s="169"/>
      <c r="CQ51" s="169"/>
      <c r="CR51" s="169"/>
      <c r="CS51" s="169"/>
      <c r="CT51" s="169"/>
      <c r="CU51" s="169"/>
      <c r="CV51" s="169"/>
      <c r="CW51" s="169"/>
      <c r="CX51" s="169"/>
      <c r="CY51" s="169"/>
      <c r="CZ51" s="169"/>
      <c r="DA51" s="169"/>
      <c r="DB51" s="169"/>
      <c r="DC51" s="169"/>
      <c r="DD51" s="169"/>
      <c r="DE51" s="169"/>
      <c r="DF51" s="169"/>
      <c r="DG51" s="169"/>
      <c r="DH51" s="169"/>
      <c r="DI51" s="169"/>
      <c r="DJ51" s="169"/>
      <c r="DK51" s="169"/>
      <c r="DL51" s="169"/>
      <c r="DM51" s="169"/>
      <c r="DN51" s="169"/>
      <c r="DO51" s="169"/>
      <c r="DP51" s="169"/>
      <c r="DQ51" s="169"/>
      <c r="DR51" s="169"/>
      <c r="DS51" s="169"/>
      <c r="DT51" s="169"/>
      <c r="DU51" s="169"/>
    </row>
    <row r="52" s="168" customFormat="1" ht="18" customHeight="1" spans="1:125">
      <c r="A52" s="204">
        <f>'INPUT DATA'!A54</f>
        <v>2</v>
      </c>
      <c r="B52" s="205" t="str">
        <f>'INPUT DATA'!B54:D54</f>
        <v>BIMOS, SHEILLA KATE O.</v>
      </c>
      <c r="C52" s="206"/>
      <c r="D52" s="206"/>
      <c r="E52" s="206"/>
      <c r="F52" s="207">
        <f>FILIPINO!F49</f>
        <v>78</v>
      </c>
      <c r="G52" s="208">
        <f>FILIPINO!J49</f>
        <v>77</v>
      </c>
      <c r="H52" s="208">
        <f>FILIPINO!N49</f>
        <v>83</v>
      </c>
      <c r="I52" s="208">
        <f>FILIPINO!R49</f>
        <v>87</v>
      </c>
      <c r="J52" s="237">
        <f>FILIPINO!V49</f>
        <v>81.25</v>
      </c>
      <c r="K52" s="238">
        <f>ENGLISH!F53</f>
        <v>85</v>
      </c>
      <c r="L52" s="208">
        <f>ENGLISH!J53</f>
        <v>85</v>
      </c>
      <c r="M52" s="208">
        <f>ENGLISH!N53</f>
        <v>89</v>
      </c>
      <c r="N52" s="208">
        <f>ENGLISH!R53</f>
        <v>91</v>
      </c>
      <c r="O52" s="239">
        <f>ENGLISH!V53</f>
        <v>87.5</v>
      </c>
      <c r="P52" s="240">
        <f>MATHEMATICS!F53</f>
        <v>85</v>
      </c>
      <c r="Q52" s="208">
        <f>MATHEMATICS!J53</f>
        <v>88</v>
      </c>
      <c r="R52" s="208">
        <f>MATHEMATICS!N53</f>
        <v>87</v>
      </c>
      <c r="S52" s="208">
        <f>MATHEMATICS!R53</f>
        <v>88</v>
      </c>
      <c r="T52" s="237">
        <f>MATHEMATICS!V53</f>
        <v>87</v>
      </c>
      <c r="U52" s="238">
        <f>SCIENCE!F53</f>
        <v>89</v>
      </c>
      <c r="V52" s="208">
        <f>SCIENCE!J53</f>
        <v>90</v>
      </c>
      <c r="W52" s="209">
        <f>SCIENCE!N53</f>
        <v>90</v>
      </c>
      <c r="X52" s="254">
        <f>SCIENCE!R53</f>
        <v>91</v>
      </c>
      <c r="Y52" s="239">
        <f>SCIENCE!V53</f>
        <v>90</v>
      </c>
      <c r="Z52" s="240">
        <f>AP!F53</f>
        <v>83</v>
      </c>
      <c r="AA52" s="208">
        <f>AP!J53</f>
        <v>83</v>
      </c>
      <c r="AB52" s="208">
        <f>AP!N53</f>
        <v>83</v>
      </c>
      <c r="AC52" s="208">
        <f>AP!R53</f>
        <v>90</v>
      </c>
      <c r="AD52" s="237">
        <f>AP!V53</f>
        <v>84.75</v>
      </c>
      <c r="AE52" s="240">
        <f>VALED!F53</f>
        <v>82</v>
      </c>
      <c r="AF52" s="254">
        <f>VALED!J53</f>
        <v>86</v>
      </c>
      <c r="AG52" s="254">
        <f>VALED!N53</f>
        <v>86</v>
      </c>
      <c r="AH52" s="208">
        <f>VALED!R53</f>
        <v>91</v>
      </c>
      <c r="AI52" s="239">
        <f>VALED!V53</f>
        <v>86.25</v>
      </c>
      <c r="AJ52" s="268">
        <f>TLE!F53</f>
        <v>85</v>
      </c>
      <c r="AK52" s="208">
        <f>TLE!J53</f>
        <v>86</v>
      </c>
      <c r="AL52" s="208">
        <f>TLE!N53</f>
        <v>90</v>
      </c>
      <c r="AM52" s="208">
        <f>TLE!R53</f>
        <v>92</v>
      </c>
      <c r="AN52" s="237">
        <f>TLE!V53</f>
        <v>88.25</v>
      </c>
      <c r="AO52" s="238">
        <f>'MUSIC-ARTS'!F53</f>
        <v>92</v>
      </c>
      <c r="AP52" s="270">
        <f>'MUSIC-ARTS'!J53</f>
        <v>85</v>
      </c>
      <c r="AQ52" s="270">
        <f>'MUSIC-ARTS'!N53</f>
        <v>86</v>
      </c>
      <c r="AR52" s="208">
        <f>'MUSIC-ARTS'!R53</f>
        <v>90</v>
      </c>
      <c r="AS52" s="239">
        <f t="shared" ref="AS52:AS72" si="13">IF(OR(AO52="",AP52="",AQ52="",AR52=""),"",IF(ISERROR(ROUND(AVERAGE(AO52,AP52,AQ52,AR52),0)),"",ROUND(AVERAGE(AO52,AP52,AQ52,AR52),0)))</f>
        <v>88</v>
      </c>
      <c r="AT52" s="240">
        <f>ARTS!F53</f>
        <v>0</v>
      </c>
      <c r="AU52" s="270">
        <f>ARTS!J53</f>
        <v>0</v>
      </c>
      <c r="AV52" s="270">
        <f>ARTS!N53</f>
        <v>0</v>
      </c>
      <c r="AW52" s="208">
        <f>ARTS!R53</f>
        <v>0</v>
      </c>
      <c r="AX52" s="237">
        <f t="shared" si="9"/>
        <v>0</v>
      </c>
      <c r="AY52" s="238">
        <f>'PE-HEALTH'!F53</f>
        <v>88</v>
      </c>
      <c r="AZ52" s="270">
        <f>'PE-HEALTH'!J53</f>
        <v>87</v>
      </c>
      <c r="BA52" s="270">
        <f>'PE-HEALTH'!N53</f>
        <v>87</v>
      </c>
      <c r="BB52" s="208">
        <f>'PE-HEALTH'!R53</f>
        <v>95</v>
      </c>
      <c r="BC52" s="239">
        <f t="shared" si="10"/>
        <v>89</v>
      </c>
      <c r="BD52" s="240">
        <f>HEALTH!F53</f>
        <v>0</v>
      </c>
      <c r="BE52" s="270">
        <f>HEALTH!J53</f>
        <v>0</v>
      </c>
      <c r="BF52" s="270">
        <f>HEALTH!N53</f>
        <v>0</v>
      </c>
      <c r="BG52" s="208">
        <f>HEALTH!R53</f>
        <v>0</v>
      </c>
      <c r="BH52" s="237">
        <f t="shared" si="11"/>
        <v>0</v>
      </c>
      <c r="BI52" s="238">
        <f>' MAPEH FINAL'!F53</f>
        <v>90</v>
      </c>
      <c r="BJ52" s="270">
        <f>' MAPEH FINAL'!J53</f>
        <v>86</v>
      </c>
      <c r="BK52" s="270">
        <f>' MAPEH FINAL'!N53</f>
        <v>87</v>
      </c>
      <c r="BL52" s="208">
        <f>' MAPEH FINAL'!R53</f>
        <v>93</v>
      </c>
      <c r="BM52" s="239">
        <f t="shared" si="0"/>
        <v>89</v>
      </c>
      <c r="BN52" s="280">
        <f t="shared" si="12"/>
        <v>86.75</v>
      </c>
      <c r="BO52" s="281">
        <f t="shared" si="6"/>
        <v>87</v>
      </c>
      <c r="BP52" s="282">
        <f t="shared" si="8"/>
        <v>7</v>
      </c>
      <c r="BQ52" s="169"/>
      <c r="BR52" s="169"/>
      <c r="BS52" s="204">
        <v>2</v>
      </c>
      <c r="BT52" s="119" t="s">
        <v>41</v>
      </c>
      <c r="BU52" s="206"/>
      <c r="BV52" s="169"/>
      <c r="BW52" s="169"/>
      <c r="BX52" s="169"/>
      <c r="BY52" s="169"/>
      <c r="BZ52" s="169"/>
      <c r="CA52" s="169"/>
      <c r="CB52" s="169"/>
      <c r="CC52" s="169"/>
      <c r="CD52" s="169"/>
      <c r="CE52" s="169"/>
      <c r="CF52" s="169"/>
      <c r="CG52" s="169"/>
      <c r="CH52" s="169"/>
      <c r="CI52" s="169"/>
      <c r="CJ52" s="169"/>
      <c r="CK52" s="169"/>
      <c r="CL52" s="169"/>
      <c r="CM52" s="169"/>
      <c r="CN52" s="169"/>
      <c r="CO52" s="169"/>
      <c r="CP52" s="169"/>
      <c r="CQ52" s="169"/>
      <c r="CR52" s="169"/>
      <c r="CS52" s="169"/>
      <c r="CT52" s="169"/>
      <c r="CU52" s="169"/>
      <c r="CV52" s="169"/>
      <c r="CW52" s="169"/>
      <c r="CX52" s="169"/>
      <c r="CY52" s="169"/>
      <c r="CZ52" s="169"/>
      <c r="DA52" s="169"/>
      <c r="DB52" s="169"/>
      <c r="DC52" s="169"/>
      <c r="DD52" s="169"/>
      <c r="DE52" s="169"/>
      <c r="DF52" s="169"/>
      <c r="DG52" s="169"/>
      <c r="DH52" s="169"/>
      <c r="DI52" s="169"/>
      <c r="DJ52" s="169"/>
      <c r="DK52" s="169"/>
      <c r="DL52" s="169"/>
      <c r="DM52" s="169"/>
      <c r="DN52" s="169"/>
      <c r="DO52" s="169"/>
      <c r="DP52" s="169"/>
      <c r="DQ52" s="169"/>
      <c r="DR52" s="169"/>
      <c r="DS52" s="169"/>
      <c r="DT52" s="169"/>
      <c r="DU52" s="169"/>
    </row>
    <row r="53" s="168" customFormat="1" ht="18" customHeight="1" spans="1:125">
      <c r="A53" s="204">
        <f>'INPUT DATA'!A55</f>
        <v>3</v>
      </c>
      <c r="B53" s="205" t="str">
        <f>'INPUT DATA'!B55:D55</f>
        <v>BONGABONG, DWEYN ZHAIRA A.</v>
      </c>
      <c r="C53" s="206"/>
      <c r="D53" s="206"/>
      <c r="E53" s="206"/>
      <c r="F53" s="207">
        <f>FILIPINO!F50</f>
        <v>92</v>
      </c>
      <c r="G53" s="208">
        <f>FILIPINO!J50</f>
        <v>85</v>
      </c>
      <c r="H53" s="208">
        <f>FILIPINO!N50</f>
        <v>87</v>
      </c>
      <c r="I53" s="208">
        <f>FILIPINO!R50</f>
        <v>92</v>
      </c>
      <c r="J53" s="237">
        <f>FILIPINO!V50</f>
        <v>89</v>
      </c>
      <c r="K53" s="238">
        <f>ENGLISH!F54</f>
        <v>89</v>
      </c>
      <c r="L53" s="208">
        <f>ENGLISH!J54</f>
        <v>87</v>
      </c>
      <c r="M53" s="208">
        <f>ENGLISH!N54</f>
        <v>93</v>
      </c>
      <c r="N53" s="208">
        <f>ENGLISH!R54</f>
        <v>93</v>
      </c>
      <c r="O53" s="239">
        <f>ENGLISH!V54</f>
        <v>90.5</v>
      </c>
      <c r="P53" s="240">
        <f>MATHEMATICS!F54</f>
        <v>86</v>
      </c>
      <c r="Q53" s="208">
        <f>MATHEMATICS!J54</f>
        <v>89</v>
      </c>
      <c r="R53" s="208">
        <f>MATHEMATICS!N54</f>
        <v>89</v>
      </c>
      <c r="S53" s="208">
        <f>MATHEMATICS!R54</f>
        <v>89</v>
      </c>
      <c r="T53" s="237">
        <f>MATHEMATICS!V54</f>
        <v>88.25</v>
      </c>
      <c r="U53" s="238">
        <f>SCIENCE!F54</f>
        <v>91</v>
      </c>
      <c r="V53" s="208">
        <f>SCIENCE!J54</f>
        <v>92</v>
      </c>
      <c r="W53" s="209">
        <f>SCIENCE!N54</f>
        <v>90</v>
      </c>
      <c r="X53" s="254">
        <f>SCIENCE!R54</f>
        <v>91</v>
      </c>
      <c r="Y53" s="239">
        <f>SCIENCE!V54</f>
        <v>91</v>
      </c>
      <c r="Z53" s="240">
        <f>AP!F54</f>
        <v>87</v>
      </c>
      <c r="AA53" s="208">
        <f>AP!J54</f>
        <v>87</v>
      </c>
      <c r="AB53" s="208">
        <f>AP!N54</f>
        <v>87</v>
      </c>
      <c r="AC53" s="208">
        <f>AP!R54</f>
        <v>90</v>
      </c>
      <c r="AD53" s="237">
        <f>AP!V54</f>
        <v>87.75</v>
      </c>
      <c r="AE53" s="240">
        <f>VALED!F54</f>
        <v>91</v>
      </c>
      <c r="AF53" s="254">
        <f>VALED!J54</f>
        <v>91</v>
      </c>
      <c r="AG53" s="254">
        <f>VALED!N54</f>
        <v>95</v>
      </c>
      <c r="AH53" s="208">
        <f>VALED!R54</f>
        <v>96</v>
      </c>
      <c r="AI53" s="239">
        <f>VALED!V54</f>
        <v>93.25</v>
      </c>
      <c r="AJ53" s="268">
        <f>TLE!F54</f>
        <v>92</v>
      </c>
      <c r="AK53" s="208">
        <f>TLE!J54</f>
        <v>92</v>
      </c>
      <c r="AL53" s="208">
        <f>TLE!N54</f>
        <v>89</v>
      </c>
      <c r="AM53" s="208">
        <f>TLE!R54</f>
        <v>91</v>
      </c>
      <c r="AN53" s="237">
        <f>TLE!V54</f>
        <v>91</v>
      </c>
      <c r="AO53" s="238">
        <f>'MUSIC-ARTS'!F54</f>
        <v>88</v>
      </c>
      <c r="AP53" s="270">
        <f>'MUSIC-ARTS'!J54</f>
        <v>88</v>
      </c>
      <c r="AQ53" s="270">
        <f>'MUSIC-ARTS'!N54</f>
        <v>90</v>
      </c>
      <c r="AR53" s="208">
        <f>'MUSIC-ARTS'!R54</f>
        <v>90</v>
      </c>
      <c r="AS53" s="239">
        <f t="shared" si="13"/>
        <v>89</v>
      </c>
      <c r="AT53" s="240">
        <f>ARTS!F54</f>
        <v>0</v>
      </c>
      <c r="AU53" s="270">
        <f>ARTS!J54</f>
        <v>0</v>
      </c>
      <c r="AV53" s="270">
        <f>ARTS!N54</f>
        <v>0</v>
      </c>
      <c r="AW53" s="208">
        <f>ARTS!R54</f>
        <v>0</v>
      </c>
      <c r="AX53" s="237">
        <f t="shared" si="9"/>
        <v>0</v>
      </c>
      <c r="AY53" s="238">
        <f>'PE-HEALTH'!F54</f>
        <v>96</v>
      </c>
      <c r="AZ53" s="270">
        <f>'PE-HEALTH'!J54</f>
        <v>89</v>
      </c>
      <c r="BA53" s="270">
        <f>'PE-HEALTH'!N54</f>
        <v>90</v>
      </c>
      <c r="BB53" s="208">
        <f>'PE-HEALTH'!R54</f>
        <v>91</v>
      </c>
      <c r="BC53" s="239">
        <f t="shared" si="10"/>
        <v>92</v>
      </c>
      <c r="BD53" s="240">
        <f>HEALTH!F54</f>
        <v>0</v>
      </c>
      <c r="BE53" s="270">
        <f>HEALTH!J54</f>
        <v>0</v>
      </c>
      <c r="BF53" s="270">
        <f>HEALTH!N54</f>
        <v>0</v>
      </c>
      <c r="BG53" s="208">
        <f>HEALTH!R54</f>
        <v>0</v>
      </c>
      <c r="BH53" s="237">
        <f t="shared" si="11"/>
        <v>0</v>
      </c>
      <c r="BI53" s="238">
        <f>' MAPEH FINAL'!F54</f>
        <v>92</v>
      </c>
      <c r="BJ53" s="270">
        <f>' MAPEH FINAL'!J54</f>
        <v>89</v>
      </c>
      <c r="BK53" s="270">
        <f>' MAPEH FINAL'!N54</f>
        <v>90</v>
      </c>
      <c r="BL53" s="208">
        <f>' MAPEH FINAL'!R54</f>
        <v>91</v>
      </c>
      <c r="BM53" s="239">
        <f t="shared" si="0"/>
        <v>91</v>
      </c>
      <c r="BN53" s="284">
        <f t="shared" si="12"/>
        <v>90.21875</v>
      </c>
      <c r="BO53" s="285">
        <f t="shared" si="6"/>
        <v>90</v>
      </c>
      <c r="BP53" s="169">
        <f t="shared" si="8"/>
        <v>3</v>
      </c>
      <c r="BQ53" s="169"/>
      <c r="BR53" s="169"/>
      <c r="BS53" s="204">
        <v>3</v>
      </c>
      <c r="BT53" s="119" t="s">
        <v>42</v>
      </c>
      <c r="BU53" s="206"/>
      <c r="BV53" s="169"/>
      <c r="BW53" s="169"/>
      <c r="BX53" s="169"/>
      <c r="BY53" s="169"/>
      <c r="BZ53" s="169"/>
      <c r="CA53" s="169"/>
      <c r="CB53" s="169"/>
      <c r="CC53" s="169"/>
      <c r="CD53" s="169"/>
      <c r="CE53" s="169"/>
      <c r="CF53" s="169"/>
      <c r="CG53" s="169"/>
      <c r="CH53" s="169"/>
      <c r="CI53" s="169"/>
      <c r="CJ53" s="169"/>
      <c r="CK53" s="169"/>
      <c r="CL53" s="169"/>
      <c r="CM53" s="169"/>
      <c r="CN53" s="169"/>
      <c r="CO53" s="169"/>
      <c r="CP53" s="169"/>
      <c r="CQ53" s="169"/>
      <c r="CR53" s="169"/>
      <c r="CS53" s="169"/>
      <c r="CT53" s="169"/>
      <c r="CU53" s="169"/>
      <c r="CV53" s="169"/>
      <c r="CW53" s="169"/>
      <c r="CX53" s="169"/>
      <c r="CY53" s="169"/>
      <c r="CZ53" s="169"/>
      <c r="DA53" s="169"/>
      <c r="DB53" s="169"/>
      <c r="DC53" s="169"/>
      <c r="DD53" s="169"/>
      <c r="DE53" s="169"/>
      <c r="DF53" s="169"/>
      <c r="DG53" s="169"/>
      <c r="DH53" s="169"/>
      <c r="DI53" s="169"/>
      <c r="DJ53" s="169"/>
      <c r="DK53" s="169"/>
      <c r="DL53" s="169"/>
      <c r="DM53" s="169"/>
      <c r="DN53" s="169"/>
      <c r="DO53" s="169"/>
      <c r="DP53" s="169"/>
      <c r="DQ53" s="169"/>
      <c r="DR53" s="169"/>
      <c r="DS53" s="169"/>
      <c r="DT53" s="169"/>
      <c r="DU53" s="169"/>
    </row>
    <row r="54" s="168" customFormat="1" ht="18" customHeight="1" spans="1:125">
      <c r="A54" s="204">
        <f>'INPUT DATA'!A56</f>
        <v>4</v>
      </c>
      <c r="B54" s="205" t="str">
        <f>'INPUT DATA'!B56:D56</f>
        <v>CABEL, LOURENE A.</v>
      </c>
      <c r="C54" s="206"/>
      <c r="D54" s="206"/>
      <c r="E54" s="206"/>
      <c r="F54" s="207">
        <f>FILIPINO!F51</f>
        <v>93</v>
      </c>
      <c r="G54" s="208">
        <f>FILIPINO!J51</f>
        <v>95</v>
      </c>
      <c r="H54" s="208">
        <f>FILIPINO!N51</f>
        <v>87</v>
      </c>
      <c r="I54" s="208">
        <f>FILIPINO!R51</f>
        <v>93</v>
      </c>
      <c r="J54" s="237">
        <f>FILIPINO!V51</f>
        <v>92</v>
      </c>
      <c r="K54" s="238">
        <f>ENGLISH!F55</f>
        <v>90</v>
      </c>
      <c r="L54" s="208">
        <f>ENGLISH!J55</f>
        <v>91</v>
      </c>
      <c r="M54" s="208">
        <f>ENGLISH!N55</f>
        <v>94</v>
      </c>
      <c r="N54" s="208">
        <f>ENGLISH!R55</f>
        <v>94</v>
      </c>
      <c r="O54" s="239">
        <f>ENGLISH!V55</f>
        <v>92.25</v>
      </c>
      <c r="P54" s="240">
        <f>MATHEMATICS!F55</f>
        <v>90</v>
      </c>
      <c r="Q54" s="208">
        <f>MATHEMATICS!J55</f>
        <v>92</v>
      </c>
      <c r="R54" s="208">
        <f>MATHEMATICS!N55</f>
        <v>94</v>
      </c>
      <c r="S54" s="208">
        <f>MATHEMATICS!R55</f>
        <v>94</v>
      </c>
      <c r="T54" s="237">
        <f>MATHEMATICS!V55</f>
        <v>92.5</v>
      </c>
      <c r="U54" s="238">
        <f>SCIENCE!F55</f>
        <v>90</v>
      </c>
      <c r="V54" s="208">
        <f>SCIENCE!J55</f>
        <v>92</v>
      </c>
      <c r="W54" s="209">
        <f>SCIENCE!N55</f>
        <v>90</v>
      </c>
      <c r="X54" s="254">
        <f>SCIENCE!R55</f>
        <v>91</v>
      </c>
      <c r="Y54" s="239">
        <f>SCIENCE!V55</f>
        <v>90.75</v>
      </c>
      <c r="Z54" s="240">
        <f>AP!F55</f>
        <v>88</v>
      </c>
      <c r="AA54" s="208">
        <f>AP!J55</f>
        <v>88</v>
      </c>
      <c r="AB54" s="208">
        <f>AP!N55</f>
        <v>88</v>
      </c>
      <c r="AC54" s="208">
        <f>AP!R55</f>
        <v>92</v>
      </c>
      <c r="AD54" s="237">
        <f>AP!V55</f>
        <v>89</v>
      </c>
      <c r="AE54" s="240">
        <f>VALED!F55</f>
        <v>88</v>
      </c>
      <c r="AF54" s="254">
        <f>VALED!J55</f>
        <v>91</v>
      </c>
      <c r="AG54" s="254">
        <f>VALED!N55</f>
        <v>94</v>
      </c>
      <c r="AH54" s="208">
        <f>VALED!R55</f>
        <v>96</v>
      </c>
      <c r="AI54" s="239">
        <f>VALED!V55</f>
        <v>92.25</v>
      </c>
      <c r="AJ54" s="268">
        <f>TLE!F55</f>
        <v>90</v>
      </c>
      <c r="AK54" s="208">
        <f>TLE!J55</f>
        <v>93</v>
      </c>
      <c r="AL54" s="208">
        <f>TLE!N55</f>
        <v>89</v>
      </c>
      <c r="AM54" s="208">
        <f>TLE!R55</f>
        <v>93</v>
      </c>
      <c r="AN54" s="237">
        <f>TLE!V55</f>
        <v>91.25</v>
      </c>
      <c r="AO54" s="238">
        <f>'MUSIC-ARTS'!F55</f>
        <v>91</v>
      </c>
      <c r="AP54" s="270">
        <f>'MUSIC-ARTS'!J55</f>
        <v>91</v>
      </c>
      <c r="AQ54" s="270">
        <f>'MUSIC-ARTS'!N55</f>
        <v>92</v>
      </c>
      <c r="AR54" s="208">
        <f>'MUSIC-ARTS'!R55</f>
        <v>93</v>
      </c>
      <c r="AS54" s="239">
        <f t="shared" si="13"/>
        <v>92</v>
      </c>
      <c r="AT54" s="240">
        <f>ARTS!F55</f>
        <v>0</v>
      </c>
      <c r="AU54" s="270">
        <f>ARTS!J55</f>
        <v>0</v>
      </c>
      <c r="AV54" s="270">
        <f>ARTS!N55</f>
        <v>0</v>
      </c>
      <c r="AW54" s="208">
        <f>ARTS!R55</f>
        <v>0</v>
      </c>
      <c r="AX54" s="237">
        <f t="shared" si="9"/>
        <v>0</v>
      </c>
      <c r="AY54" s="238">
        <f>'PE-HEALTH'!F55</f>
        <v>93</v>
      </c>
      <c r="AZ54" s="270">
        <f>'PE-HEALTH'!J55</f>
        <v>93</v>
      </c>
      <c r="BA54" s="270">
        <f>'PE-HEALTH'!N55</f>
        <v>92</v>
      </c>
      <c r="BB54" s="208">
        <f>'PE-HEALTH'!R55</f>
        <v>93</v>
      </c>
      <c r="BC54" s="239">
        <f t="shared" si="10"/>
        <v>93</v>
      </c>
      <c r="BD54" s="240">
        <f>HEALTH!F55</f>
        <v>0</v>
      </c>
      <c r="BE54" s="270">
        <f>HEALTH!J55</f>
        <v>0</v>
      </c>
      <c r="BF54" s="270">
        <f>HEALTH!N55</f>
        <v>0</v>
      </c>
      <c r="BG54" s="208">
        <f>HEALTH!R55</f>
        <v>0</v>
      </c>
      <c r="BH54" s="237">
        <f t="shared" si="11"/>
        <v>0</v>
      </c>
      <c r="BI54" s="238">
        <f>' MAPEH FINAL'!F55</f>
        <v>92</v>
      </c>
      <c r="BJ54" s="270">
        <f>' MAPEH FINAL'!J55</f>
        <v>92</v>
      </c>
      <c r="BK54" s="270">
        <f>' MAPEH FINAL'!N55</f>
        <v>92</v>
      </c>
      <c r="BL54" s="208">
        <f>' MAPEH FINAL'!R55</f>
        <v>93</v>
      </c>
      <c r="BM54" s="239">
        <f t="shared" si="0"/>
        <v>92</v>
      </c>
      <c r="BN54" s="284">
        <f t="shared" si="12"/>
        <v>91.5</v>
      </c>
      <c r="BO54" s="285">
        <f t="shared" si="6"/>
        <v>92</v>
      </c>
      <c r="BP54" s="282">
        <f t="shared" si="8"/>
        <v>1</v>
      </c>
      <c r="BQ54" s="169"/>
      <c r="BR54" s="169"/>
      <c r="BS54" s="204">
        <v>4</v>
      </c>
      <c r="BT54" s="119" t="s">
        <v>43</v>
      </c>
      <c r="BU54" s="206"/>
      <c r="BV54" s="169"/>
      <c r="BW54" s="169"/>
      <c r="BX54" s="169"/>
      <c r="BY54" s="169"/>
      <c r="BZ54" s="169"/>
      <c r="CA54" s="169"/>
      <c r="CB54" s="169"/>
      <c r="CC54" s="169"/>
      <c r="CD54" s="169"/>
      <c r="CE54" s="169"/>
      <c r="CF54" s="169"/>
      <c r="CG54" s="169"/>
      <c r="CH54" s="169"/>
      <c r="CI54" s="169"/>
      <c r="CJ54" s="169"/>
      <c r="CK54" s="169"/>
      <c r="CL54" s="169"/>
      <c r="CM54" s="169"/>
      <c r="CN54" s="169"/>
      <c r="CO54" s="169"/>
      <c r="CP54" s="169"/>
      <c r="CQ54" s="169"/>
      <c r="CR54" s="169"/>
      <c r="CS54" s="169"/>
      <c r="CT54" s="169"/>
      <c r="CU54" s="169"/>
      <c r="CV54" s="169"/>
      <c r="CW54" s="169"/>
      <c r="CX54" s="169"/>
      <c r="CY54" s="169"/>
      <c r="CZ54" s="169"/>
      <c r="DA54" s="169"/>
      <c r="DB54" s="169"/>
      <c r="DC54" s="169"/>
      <c r="DD54" s="169"/>
      <c r="DE54" s="169"/>
      <c r="DF54" s="169"/>
      <c r="DG54" s="169"/>
      <c r="DH54" s="169"/>
      <c r="DI54" s="169"/>
      <c r="DJ54" s="169"/>
      <c r="DK54" s="169"/>
      <c r="DL54" s="169"/>
      <c r="DM54" s="169"/>
      <c r="DN54" s="169"/>
      <c r="DO54" s="169"/>
      <c r="DP54" s="169"/>
      <c r="DQ54" s="169"/>
      <c r="DR54" s="169"/>
      <c r="DS54" s="169"/>
      <c r="DT54" s="169"/>
      <c r="DU54" s="169"/>
    </row>
    <row r="55" s="168" customFormat="1" ht="18" customHeight="1" spans="1:125">
      <c r="A55" s="204">
        <f>'INPUT DATA'!A57</f>
        <v>5</v>
      </c>
      <c r="B55" s="205" t="str">
        <f>'INPUT DATA'!B57:D57</f>
        <v>CAMIGAO, DHENISE CLARE V.</v>
      </c>
      <c r="C55" s="206"/>
      <c r="D55" s="206"/>
      <c r="E55" s="206"/>
      <c r="F55" s="207">
        <f>FILIPINO!F52</f>
        <v>87</v>
      </c>
      <c r="G55" s="208">
        <f>FILIPINO!J52</f>
        <v>79</v>
      </c>
      <c r="H55" s="208">
        <f>FILIPINO!N52</f>
        <v>77</v>
      </c>
      <c r="I55" s="208">
        <f>FILIPINO!R52</f>
        <v>89</v>
      </c>
      <c r="J55" s="237">
        <f>FILIPINO!V52</f>
        <v>83</v>
      </c>
      <c r="K55" s="238">
        <f>ENGLISH!F56</f>
        <v>83</v>
      </c>
      <c r="L55" s="208">
        <f>ENGLISH!J56</f>
        <v>84</v>
      </c>
      <c r="M55" s="208">
        <f>ENGLISH!N56</f>
        <v>83</v>
      </c>
      <c r="N55" s="208">
        <f>ENGLISH!R56</f>
        <v>88</v>
      </c>
      <c r="O55" s="239">
        <f>ENGLISH!V56</f>
        <v>84.5</v>
      </c>
      <c r="P55" s="240">
        <f>MATHEMATICS!F56</f>
        <v>86</v>
      </c>
      <c r="Q55" s="208">
        <f>MATHEMATICS!J56</f>
        <v>88</v>
      </c>
      <c r="R55" s="208">
        <f>MATHEMATICS!N56</f>
        <v>88</v>
      </c>
      <c r="S55" s="208">
        <f>MATHEMATICS!R56</f>
        <v>89</v>
      </c>
      <c r="T55" s="237">
        <f>MATHEMATICS!V56</f>
        <v>87.75</v>
      </c>
      <c r="U55" s="238">
        <f>SCIENCE!F56</f>
        <v>84</v>
      </c>
      <c r="V55" s="208">
        <f>SCIENCE!J56</f>
        <v>86</v>
      </c>
      <c r="W55" s="209">
        <f>SCIENCE!N56</f>
        <v>86</v>
      </c>
      <c r="X55" s="254">
        <f>SCIENCE!R56</f>
        <v>87</v>
      </c>
      <c r="Y55" s="239">
        <f>SCIENCE!V56</f>
        <v>85.75</v>
      </c>
      <c r="Z55" s="240">
        <f>AP!F56</f>
        <v>84</v>
      </c>
      <c r="AA55" s="208">
        <f>AP!J56</f>
        <v>83</v>
      </c>
      <c r="AB55" s="208">
        <f>AP!N56</f>
        <v>83</v>
      </c>
      <c r="AC55" s="208">
        <f>AP!R56</f>
        <v>83</v>
      </c>
      <c r="AD55" s="237">
        <f>AP!V56</f>
        <v>83.25</v>
      </c>
      <c r="AE55" s="240">
        <f>VALED!F56</f>
        <v>88</v>
      </c>
      <c r="AF55" s="254">
        <f>VALED!J56</f>
        <v>81</v>
      </c>
      <c r="AG55" s="254">
        <f>VALED!N56</f>
        <v>86</v>
      </c>
      <c r="AH55" s="208">
        <f>VALED!R56</f>
        <v>88</v>
      </c>
      <c r="AI55" s="239">
        <f>VALED!V56</f>
        <v>85.75</v>
      </c>
      <c r="AJ55" s="268">
        <f>TLE!F56</f>
        <v>84</v>
      </c>
      <c r="AK55" s="208">
        <f>TLE!J56</f>
        <v>78</v>
      </c>
      <c r="AL55" s="208">
        <f>TLE!N56</f>
        <v>78</v>
      </c>
      <c r="AM55" s="208">
        <f>TLE!R56</f>
        <v>83</v>
      </c>
      <c r="AN55" s="237">
        <f>TLE!V56</f>
        <v>80.75</v>
      </c>
      <c r="AO55" s="238">
        <f>'MUSIC-ARTS'!F56</f>
        <v>87</v>
      </c>
      <c r="AP55" s="270">
        <f>'MUSIC-ARTS'!J56</f>
        <v>87</v>
      </c>
      <c r="AQ55" s="270">
        <f>'MUSIC-ARTS'!N56</f>
        <v>85</v>
      </c>
      <c r="AR55" s="208">
        <f>'MUSIC-ARTS'!R56</f>
        <v>85</v>
      </c>
      <c r="AS55" s="239">
        <f t="shared" si="13"/>
        <v>86</v>
      </c>
      <c r="AT55" s="240">
        <f>ARTS!F56</f>
        <v>0</v>
      </c>
      <c r="AU55" s="270">
        <f>ARTS!J56</f>
        <v>0</v>
      </c>
      <c r="AV55" s="270">
        <f>ARTS!N56</f>
        <v>0</v>
      </c>
      <c r="AW55" s="208">
        <f>ARTS!R56</f>
        <v>0</v>
      </c>
      <c r="AX55" s="237">
        <f t="shared" si="9"/>
        <v>0</v>
      </c>
      <c r="AY55" s="238">
        <f>'PE-HEALTH'!F56</f>
        <v>94</v>
      </c>
      <c r="AZ55" s="270">
        <f>'PE-HEALTH'!J56</f>
        <v>89</v>
      </c>
      <c r="BA55" s="270">
        <f>'PE-HEALTH'!N56</f>
        <v>85</v>
      </c>
      <c r="BB55" s="208">
        <f>'PE-HEALTH'!R56</f>
        <v>95</v>
      </c>
      <c r="BC55" s="239">
        <f t="shared" si="10"/>
        <v>91</v>
      </c>
      <c r="BD55" s="240">
        <f>HEALTH!F56</f>
        <v>0</v>
      </c>
      <c r="BE55" s="270">
        <f>HEALTH!J56</f>
        <v>0</v>
      </c>
      <c r="BF55" s="270">
        <f>HEALTH!N56</f>
        <v>0</v>
      </c>
      <c r="BG55" s="208">
        <f>HEALTH!R56</f>
        <v>0</v>
      </c>
      <c r="BH55" s="237">
        <f t="shared" si="11"/>
        <v>0</v>
      </c>
      <c r="BI55" s="238">
        <f>' MAPEH FINAL'!F56</f>
        <v>91</v>
      </c>
      <c r="BJ55" s="270">
        <f>' MAPEH FINAL'!J56</f>
        <v>88</v>
      </c>
      <c r="BK55" s="270">
        <f>' MAPEH FINAL'!N56</f>
        <v>85</v>
      </c>
      <c r="BL55" s="208">
        <f>' MAPEH FINAL'!R56</f>
        <v>90</v>
      </c>
      <c r="BM55" s="239">
        <f t="shared" si="0"/>
        <v>89</v>
      </c>
      <c r="BN55" s="280">
        <f t="shared" si="12"/>
        <v>84.96875</v>
      </c>
      <c r="BO55" s="281">
        <f t="shared" si="6"/>
        <v>85</v>
      </c>
      <c r="BP55" s="283">
        <f t="shared" si="8"/>
        <v>11</v>
      </c>
      <c r="BQ55" s="169"/>
      <c r="BR55" s="169"/>
      <c r="BS55" s="204">
        <v>5</v>
      </c>
      <c r="BT55" s="119" t="s">
        <v>44</v>
      </c>
      <c r="BU55" s="206"/>
      <c r="BV55" s="169"/>
      <c r="BW55" s="169"/>
      <c r="BX55" s="169"/>
      <c r="BY55" s="169"/>
      <c r="BZ55" s="169"/>
      <c r="CA55" s="169"/>
      <c r="CB55" s="169"/>
      <c r="CC55" s="169"/>
      <c r="CD55" s="169"/>
      <c r="CE55" s="169"/>
      <c r="CF55" s="169"/>
      <c r="CG55" s="169"/>
      <c r="CH55" s="169"/>
      <c r="CI55" s="169"/>
      <c r="CJ55" s="169"/>
      <c r="CK55" s="169"/>
      <c r="CL55" s="169"/>
      <c r="CM55" s="169"/>
      <c r="CN55" s="169"/>
      <c r="CO55" s="169"/>
      <c r="CP55" s="169"/>
      <c r="CQ55" s="169"/>
      <c r="CR55" s="169"/>
      <c r="CS55" s="169"/>
      <c r="CT55" s="169"/>
      <c r="CU55" s="169"/>
      <c r="CV55" s="169"/>
      <c r="CW55" s="169"/>
      <c r="CX55" s="169"/>
      <c r="CY55" s="169"/>
      <c r="CZ55" s="169"/>
      <c r="DA55" s="169"/>
      <c r="DB55" s="169"/>
      <c r="DC55" s="169"/>
      <c r="DD55" s="169"/>
      <c r="DE55" s="169"/>
      <c r="DF55" s="169"/>
      <c r="DG55" s="169"/>
      <c r="DH55" s="169"/>
      <c r="DI55" s="169"/>
      <c r="DJ55" s="169"/>
      <c r="DK55" s="169"/>
      <c r="DL55" s="169"/>
      <c r="DM55" s="169"/>
      <c r="DN55" s="169"/>
      <c r="DO55" s="169"/>
      <c r="DP55" s="169"/>
      <c r="DQ55" s="169"/>
      <c r="DR55" s="169"/>
      <c r="DS55" s="169"/>
      <c r="DT55" s="169"/>
      <c r="DU55" s="169"/>
    </row>
    <row r="56" s="168" customFormat="1" ht="18" customHeight="1" spans="1:125">
      <c r="A56" s="204">
        <f>'INPUT DATA'!A58</f>
        <v>6</v>
      </c>
      <c r="B56" s="205" t="str">
        <f>'INPUT DATA'!B58:D58</f>
        <v>CARISMA, NATHALIA MAE M.</v>
      </c>
      <c r="C56" s="206"/>
      <c r="D56" s="206"/>
      <c r="E56" s="206"/>
      <c r="F56" s="207">
        <f>FILIPINO!F53</f>
        <v>88</v>
      </c>
      <c r="G56" s="208">
        <f>FILIPINO!J53</f>
        <v>89</v>
      </c>
      <c r="H56" s="208">
        <f>FILIPINO!N53</f>
        <v>89</v>
      </c>
      <c r="I56" s="208">
        <f>FILIPINO!R53</f>
        <v>89</v>
      </c>
      <c r="J56" s="237">
        <f>FILIPINO!V53</f>
        <v>88.75</v>
      </c>
      <c r="K56" s="238">
        <f>ENGLISH!F57</f>
        <v>86</v>
      </c>
      <c r="L56" s="208">
        <f>ENGLISH!J57</f>
        <v>85</v>
      </c>
      <c r="M56" s="208">
        <f>ENGLISH!N57</f>
        <v>89</v>
      </c>
      <c r="N56" s="208">
        <f>ENGLISH!R57</f>
        <v>88</v>
      </c>
      <c r="O56" s="239">
        <f>ENGLISH!V57</f>
        <v>87</v>
      </c>
      <c r="P56" s="240">
        <f>MATHEMATICS!F57</f>
        <v>87</v>
      </c>
      <c r="Q56" s="208">
        <f>MATHEMATICS!J57</f>
        <v>89</v>
      </c>
      <c r="R56" s="208">
        <f>MATHEMATICS!N57</f>
        <v>89</v>
      </c>
      <c r="S56" s="208">
        <f>MATHEMATICS!R57</f>
        <v>90</v>
      </c>
      <c r="T56" s="237">
        <f>MATHEMATICS!V57</f>
        <v>88.75</v>
      </c>
      <c r="U56" s="238">
        <f>SCIENCE!F57</f>
        <v>84</v>
      </c>
      <c r="V56" s="208">
        <f>SCIENCE!J57</f>
        <v>87</v>
      </c>
      <c r="W56" s="209">
        <f>SCIENCE!N57</f>
        <v>88</v>
      </c>
      <c r="X56" s="254">
        <f>SCIENCE!R57</f>
        <v>89</v>
      </c>
      <c r="Y56" s="239">
        <f>SCIENCE!V57</f>
        <v>87</v>
      </c>
      <c r="Z56" s="240">
        <f>AP!F57</f>
        <v>85</v>
      </c>
      <c r="AA56" s="208">
        <f>AP!J57</f>
        <v>84</v>
      </c>
      <c r="AB56" s="208">
        <f>AP!N57</f>
        <v>84</v>
      </c>
      <c r="AC56" s="208">
        <f>AP!R57</f>
        <v>88</v>
      </c>
      <c r="AD56" s="237">
        <f>AP!V57</f>
        <v>85.25</v>
      </c>
      <c r="AE56" s="240">
        <f>VALED!F57</f>
        <v>83</v>
      </c>
      <c r="AF56" s="254">
        <f>VALED!J57</f>
        <v>90</v>
      </c>
      <c r="AG56" s="254">
        <f>VALED!N57</f>
        <v>88</v>
      </c>
      <c r="AH56" s="208">
        <f>VALED!R57</f>
        <v>88</v>
      </c>
      <c r="AI56" s="239">
        <f>VALED!V57</f>
        <v>87.25</v>
      </c>
      <c r="AJ56" s="268">
        <f>TLE!F57</f>
        <v>85</v>
      </c>
      <c r="AK56" s="208">
        <f>TLE!J57</f>
        <v>87</v>
      </c>
      <c r="AL56" s="208">
        <f>TLE!N57</f>
        <v>84</v>
      </c>
      <c r="AM56" s="208">
        <f>TLE!R57</f>
        <v>86</v>
      </c>
      <c r="AN56" s="237">
        <f>TLE!V57</f>
        <v>85.5</v>
      </c>
      <c r="AO56" s="238">
        <f>'MUSIC-ARTS'!F57</f>
        <v>88</v>
      </c>
      <c r="AP56" s="270">
        <f>'MUSIC-ARTS'!J57</f>
        <v>86</v>
      </c>
      <c r="AQ56" s="270">
        <f>'MUSIC-ARTS'!N57</f>
        <v>87</v>
      </c>
      <c r="AR56" s="208">
        <f>'MUSIC-ARTS'!R57</f>
        <v>87</v>
      </c>
      <c r="AS56" s="239">
        <f t="shared" si="13"/>
        <v>87</v>
      </c>
      <c r="AT56" s="240">
        <f>ARTS!F57</f>
        <v>0</v>
      </c>
      <c r="AU56" s="270">
        <f>ARTS!J57</f>
        <v>0</v>
      </c>
      <c r="AV56" s="270">
        <f>ARTS!N57</f>
        <v>0</v>
      </c>
      <c r="AW56" s="208">
        <f>ARTS!R57</f>
        <v>0</v>
      </c>
      <c r="AX56" s="237">
        <f t="shared" si="9"/>
        <v>0</v>
      </c>
      <c r="AY56" s="238">
        <f>'PE-HEALTH'!F57</f>
        <v>87</v>
      </c>
      <c r="AZ56" s="270">
        <f>'PE-HEALTH'!J57</f>
        <v>90</v>
      </c>
      <c r="BA56" s="270">
        <f>'PE-HEALTH'!N57</f>
        <v>88</v>
      </c>
      <c r="BB56" s="208">
        <f>'PE-HEALTH'!R57</f>
        <v>95</v>
      </c>
      <c r="BC56" s="239">
        <f t="shared" si="10"/>
        <v>90</v>
      </c>
      <c r="BD56" s="240">
        <f>HEALTH!F57</f>
        <v>0</v>
      </c>
      <c r="BE56" s="270">
        <f>HEALTH!J57</f>
        <v>0</v>
      </c>
      <c r="BF56" s="270">
        <f>HEALTH!N57</f>
        <v>0</v>
      </c>
      <c r="BG56" s="208">
        <f>HEALTH!R57</f>
        <v>0</v>
      </c>
      <c r="BH56" s="237">
        <f t="shared" si="11"/>
        <v>0</v>
      </c>
      <c r="BI56" s="238">
        <f>' MAPEH FINAL'!F57</f>
        <v>88</v>
      </c>
      <c r="BJ56" s="270">
        <f>' MAPEH FINAL'!J57</f>
        <v>88</v>
      </c>
      <c r="BK56" s="270">
        <f>' MAPEH FINAL'!N57</f>
        <v>88</v>
      </c>
      <c r="BL56" s="208">
        <f>' MAPEH FINAL'!R57</f>
        <v>91</v>
      </c>
      <c r="BM56" s="239">
        <f t="shared" si="0"/>
        <v>89</v>
      </c>
      <c r="BN56" s="280">
        <f t="shared" si="12"/>
        <v>87.3125</v>
      </c>
      <c r="BO56" s="281">
        <f t="shared" si="6"/>
        <v>87</v>
      </c>
      <c r="BP56" s="283">
        <f t="shared" si="8"/>
        <v>11</v>
      </c>
      <c r="BQ56" s="169"/>
      <c r="BR56" s="169"/>
      <c r="BS56" s="204">
        <v>6</v>
      </c>
      <c r="BT56" s="119" t="s">
        <v>45</v>
      </c>
      <c r="BU56" s="206"/>
      <c r="BV56" s="169"/>
      <c r="BW56" s="169"/>
      <c r="BX56" s="169"/>
      <c r="BY56" s="169"/>
      <c r="BZ56" s="169"/>
      <c r="CA56" s="169"/>
      <c r="CB56" s="169"/>
      <c r="CC56" s="169"/>
      <c r="CD56" s="169"/>
      <c r="CE56" s="169"/>
      <c r="CF56" s="169"/>
      <c r="CG56" s="169"/>
      <c r="CH56" s="169"/>
      <c r="CI56" s="169"/>
      <c r="CJ56" s="169"/>
      <c r="CK56" s="169"/>
      <c r="CL56" s="169"/>
      <c r="CM56" s="169"/>
      <c r="CN56" s="169"/>
      <c r="CO56" s="169"/>
      <c r="CP56" s="169"/>
      <c r="CQ56" s="169"/>
      <c r="CR56" s="169"/>
      <c r="CS56" s="169"/>
      <c r="CT56" s="169"/>
      <c r="CU56" s="169"/>
      <c r="CV56" s="169"/>
      <c r="CW56" s="169"/>
      <c r="CX56" s="169"/>
      <c r="CY56" s="169"/>
      <c r="CZ56" s="169"/>
      <c r="DA56" s="169"/>
      <c r="DB56" s="169"/>
      <c r="DC56" s="169"/>
      <c r="DD56" s="169"/>
      <c r="DE56" s="169"/>
      <c r="DF56" s="169"/>
      <c r="DG56" s="169"/>
      <c r="DH56" s="169"/>
      <c r="DI56" s="169"/>
      <c r="DJ56" s="169"/>
      <c r="DK56" s="169"/>
      <c r="DL56" s="169"/>
      <c r="DM56" s="169"/>
      <c r="DN56" s="169"/>
      <c r="DO56" s="169"/>
      <c r="DP56" s="169"/>
      <c r="DQ56" s="169"/>
      <c r="DR56" s="169"/>
      <c r="DS56" s="169"/>
      <c r="DT56" s="169"/>
      <c r="DU56" s="169"/>
    </row>
    <row r="57" s="168" customFormat="1" ht="18" customHeight="1" spans="1:125">
      <c r="A57" s="204">
        <f>'INPUT DATA'!A59</f>
        <v>7</v>
      </c>
      <c r="B57" s="205" t="str">
        <f>'INPUT DATA'!B59:D59</f>
        <v>CLARO, REANZ P.</v>
      </c>
      <c r="C57" s="206"/>
      <c r="D57" s="206"/>
      <c r="E57" s="206"/>
      <c r="F57" s="207">
        <f>FILIPINO!F54</f>
        <v>84</v>
      </c>
      <c r="G57" s="208">
        <f>FILIPINO!J54</f>
        <v>91</v>
      </c>
      <c r="H57" s="208">
        <f>FILIPINO!N54</f>
        <v>78</v>
      </c>
      <c r="I57" s="208">
        <f>FILIPINO!R54</f>
        <v>77</v>
      </c>
      <c r="J57" s="237">
        <f>FILIPINO!V54</f>
        <v>82.5</v>
      </c>
      <c r="K57" s="238">
        <f>ENGLISH!F58</f>
        <v>82</v>
      </c>
      <c r="L57" s="208">
        <f>ENGLISH!J58</f>
        <v>82</v>
      </c>
      <c r="M57" s="208">
        <f>ENGLISH!N58</f>
        <v>86</v>
      </c>
      <c r="N57" s="208">
        <f>ENGLISH!R58</f>
        <v>86</v>
      </c>
      <c r="O57" s="239">
        <f>ENGLISH!V58</f>
        <v>84</v>
      </c>
      <c r="P57" s="240">
        <f>MATHEMATICS!F58</f>
        <v>85</v>
      </c>
      <c r="Q57" s="208">
        <f>MATHEMATICS!J58</f>
        <v>87</v>
      </c>
      <c r="R57" s="208">
        <f>MATHEMATICS!N58</f>
        <v>85</v>
      </c>
      <c r="S57" s="208">
        <f>MATHEMATICS!R58</f>
        <v>88</v>
      </c>
      <c r="T57" s="237">
        <f>MATHEMATICS!V58</f>
        <v>86.25</v>
      </c>
      <c r="U57" s="238">
        <f>SCIENCE!F58</f>
        <v>88</v>
      </c>
      <c r="V57" s="208">
        <f>SCIENCE!J58</f>
        <v>86</v>
      </c>
      <c r="W57" s="209">
        <f>SCIENCE!N58</f>
        <v>86</v>
      </c>
      <c r="X57" s="254">
        <f>SCIENCE!R58</f>
        <v>87</v>
      </c>
      <c r="Y57" s="239">
        <f>SCIENCE!V58</f>
        <v>86.75</v>
      </c>
      <c r="Z57" s="240">
        <f>AP!F58</f>
        <v>79</v>
      </c>
      <c r="AA57" s="208">
        <f>AP!J58</f>
        <v>83</v>
      </c>
      <c r="AB57" s="208">
        <f>AP!N58</f>
        <v>80</v>
      </c>
      <c r="AC57" s="208">
        <f>AP!R58</f>
        <v>81</v>
      </c>
      <c r="AD57" s="237">
        <f>AP!V58</f>
        <v>80.75</v>
      </c>
      <c r="AE57" s="240">
        <f>VALED!F58</f>
        <v>81</v>
      </c>
      <c r="AF57" s="254">
        <f>VALED!J58</f>
        <v>87</v>
      </c>
      <c r="AG57" s="254">
        <f>VALED!N58</f>
        <v>87</v>
      </c>
      <c r="AH57" s="208">
        <f>VALED!R58</f>
        <v>88</v>
      </c>
      <c r="AI57" s="239">
        <f>VALED!V58</f>
        <v>85.75</v>
      </c>
      <c r="AJ57" s="268">
        <f>TLE!F58</f>
        <v>84</v>
      </c>
      <c r="AK57" s="208">
        <f>TLE!J58</f>
        <v>78</v>
      </c>
      <c r="AL57" s="208">
        <f>TLE!N58</f>
        <v>81</v>
      </c>
      <c r="AM57" s="208">
        <f>TLE!R58</f>
        <v>87</v>
      </c>
      <c r="AN57" s="237">
        <f>TLE!V58</f>
        <v>82.5</v>
      </c>
      <c r="AO57" s="238">
        <f>'MUSIC-ARTS'!F58</f>
        <v>86</v>
      </c>
      <c r="AP57" s="270">
        <f>'MUSIC-ARTS'!J58</f>
        <v>84</v>
      </c>
      <c r="AQ57" s="270">
        <f>'MUSIC-ARTS'!N58</f>
        <v>85</v>
      </c>
      <c r="AR57" s="208">
        <f>'MUSIC-ARTS'!R58</f>
        <v>85</v>
      </c>
      <c r="AS57" s="239">
        <f t="shared" si="13"/>
        <v>85</v>
      </c>
      <c r="AT57" s="240">
        <f>ARTS!F58</f>
        <v>0</v>
      </c>
      <c r="AU57" s="270">
        <f>ARTS!J58</f>
        <v>0</v>
      </c>
      <c r="AV57" s="270">
        <f>ARTS!N58</f>
        <v>0</v>
      </c>
      <c r="AW57" s="208">
        <f>ARTS!R58</f>
        <v>0</v>
      </c>
      <c r="AX57" s="237">
        <f t="shared" si="9"/>
        <v>0</v>
      </c>
      <c r="AY57" s="238">
        <f>'PE-HEALTH'!F58</f>
        <v>89</v>
      </c>
      <c r="AZ57" s="270">
        <f>'PE-HEALTH'!J58</f>
        <v>87</v>
      </c>
      <c r="BA57" s="270">
        <f>'PE-HEALTH'!N58</f>
        <v>87</v>
      </c>
      <c r="BB57" s="208">
        <f>'PE-HEALTH'!R58</f>
        <v>95</v>
      </c>
      <c r="BC57" s="239">
        <f t="shared" si="10"/>
        <v>90</v>
      </c>
      <c r="BD57" s="240">
        <f>HEALTH!F58</f>
        <v>0</v>
      </c>
      <c r="BE57" s="270">
        <f>HEALTH!J58</f>
        <v>0</v>
      </c>
      <c r="BF57" s="270">
        <f>HEALTH!N58</f>
        <v>0</v>
      </c>
      <c r="BG57" s="208">
        <f>HEALTH!R58</f>
        <v>0</v>
      </c>
      <c r="BH57" s="237">
        <f t="shared" si="11"/>
        <v>0</v>
      </c>
      <c r="BI57" s="238">
        <f>' MAPEH FINAL'!F58</f>
        <v>88</v>
      </c>
      <c r="BJ57" s="270">
        <f>' MAPEH FINAL'!J58</f>
        <v>86</v>
      </c>
      <c r="BK57" s="270">
        <f>' MAPEH FINAL'!N58</f>
        <v>86</v>
      </c>
      <c r="BL57" s="208">
        <f>' MAPEH FINAL'!R58</f>
        <v>90</v>
      </c>
      <c r="BM57" s="239">
        <f t="shared" si="0"/>
        <v>88</v>
      </c>
      <c r="BN57" s="280">
        <f t="shared" si="12"/>
        <v>84.5625</v>
      </c>
      <c r="BO57" s="281">
        <f t="shared" si="6"/>
        <v>85</v>
      </c>
      <c r="BP57" s="288">
        <f t="shared" si="8"/>
        <v>18</v>
      </c>
      <c r="BQ57" s="288"/>
      <c r="BR57" s="288"/>
      <c r="BS57" s="204">
        <v>7</v>
      </c>
      <c r="BT57" s="119" t="s">
        <v>46</v>
      </c>
      <c r="BU57" s="206"/>
      <c r="BV57" s="169"/>
      <c r="BW57" s="169"/>
      <c r="BX57" s="169"/>
      <c r="BY57" s="169"/>
      <c r="BZ57" s="169"/>
      <c r="CA57" s="169"/>
      <c r="CB57" s="169"/>
      <c r="CC57" s="169"/>
      <c r="CD57" s="169"/>
      <c r="CE57" s="169"/>
      <c r="CF57" s="169"/>
      <c r="CG57" s="169"/>
      <c r="CH57" s="169"/>
      <c r="CI57" s="169"/>
      <c r="CJ57" s="169"/>
      <c r="CK57" s="169"/>
      <c r="CL57" s="169"/>
      <c r="CM57" s="169"/>
      <c r="CN57" s="169"/>
      <c r="CO57" s="169"/>
      <c r="CP57" s="169"/>
      <c r="CQ57" s="169"/>
      <c r="CR57" s="169"/>
      <c r="CS57" s="169"/>
      <c r="CT57" s="169"/>
      <c r="CU57" s="169"/>
      <c r="CV57" s="169"/>
      <c r="CW57" s="169"/>
      <c r="CX57" s="169"/>
      <c r="CY57" s="169"/>
      <c r="CZ57" s="169"/>
      <c r="DA57" s="169"/>
      <c r="DB57" s="169"/>
      <c r="DC57" s="169"/>
      <c r="DD57" s="169"/>
      <c r="DE57" s="169"/>
      <c r="DF57" s="169"/>
      <c r="DG57" s="169"/>
      <c r="DH57" s="169"/>
      <c r="DI57" s="169"/>
      <c r="DJ57" s="169"/>
      <c r="DK57" s="169"/>
      <c r="DL57" s="169"/>
      <c r="DM57" s="169"/>
      <c r="DN57" s="169"/>
      <c r="DO57" s="169"/>
      <c r="DP57" s="169"/>
      <c r="DQ57" s="169"/>
      <c r="DR57" s="169"/>
      <c r="DS57" s="169"/>
      <c r="DT57" s="169"/>
      <c r="DU57" s="169"/>
    </row>
    <row r="58" s="168" customFormat="1" ht="18" customHeight="1" spans="1:125">
      <c r="A58" s="204">
        <f>'INPUT DATA'!A60</f>
        <v>8</v>
      </c>
      <c r="B58" s="205" t="str">
        <f>'INPUT DATA'!B60:D60</f>
        <v>FRANCISCO, YSABELLA BEATRICE B.</v>
      </c>
      <c r="C58" s="206"/>
      <c r="D58" s="206"/>
      <c r="E58" s="206"/>
      <c r="F58" s="207">
        <f>FILIPINO!F55</f>
        <v>92</v>
      </c>
      <c r="G58" s="208">
        <f>FILIPINO!J55</f>
        <v>92</v>
      </c>
      <c r="H58" s="208">
        <f>FILIPINO!N55</f>
        <v>87</v>
      </c>
      <c r="I58" s="208">
        <f>FILIPINO!R55</f>
        <v>96</v>
      </c>
      <c r="J58" s="237">
        <f>FILIPINO!V55</f>
        <v>91.75</v>
      </c>
      <c r="K58" s="238">
        <f>ENGLISH!F59</f>
        <v>90</v>
      </c>
      <c r="L58" s="208">
        <f>ENGLISH!J59</f>
        <v>90</v>
      </c>
      <c r="M58" s="208">
        <f>ENGLISH!N59</f>
        <v>94</v>
      </c>
      <c r="N58" s="208">
        <f>ENGLISH!R59</f>
        <v>94</v>
      </c>
      <c r="O58" s="239">
        <f>ENGLISH!V59</f>
        <v>92</v>
      </c>
      <c r="P58" s="240">
        <f>MATHEMATICS!F59</f>
        <v>86</v>
      </c>
      <c r="Q58" s="208">
        <f>MATHEMATICS!J59</f>
        <v>88</v>
      </c>
      <c r="R58" s="208">
        <f>MATHEMATICS!N59</f>
        <v>89</v>
      </c>
      <c r="S58" s="208">
        <f>MATHEMATICS!R59</f>
        <v>90</v>
      </c>
      <c r="T58" s="237">
        <f>MATHEMATICS!V59</f>
        <v>88.25</v>
      </c>
      <c r="U58" s="238">
        <f>SCIENCE!F59</f>
        <v>93</v>
      </c>
      <c r="V58" s="208">
        <f>SCIENCE!J59</f>
        <v>93</v>
      </c>
      <c r="W58" s="209">
        <f>SCIENCE!N59</f>
        <v>92</v>
      </c>
      <c r="X58" s="254">
        <f>SCIENCE!R59</f>
        <v>93</v>
      </c>
      <c r="Y58" s="239">
        <f>SCIENCE!V59</f>
        <v>92.75</v>
      </c>
      <c r="Z58" s="240">
        <f>AP!F59</f>
        <v>91</v>
      </c>
      <c r="AA58" s="208">
        <f>AP!J59</f>
        <v>89</v>
      </c>
      <c r="AB58" s="208">
        <f>AP!N59</f>
        <v>89</v>
      </c>
      <c r="AC58" s="208">
        <f>AP!R59</f>
        <v>92</v>
      </c>
      <c r="AD58" s="237">
        <f>AP!V59</f>
        <v>90.25</v>
      </c>
      <c r="AE58" s="240">
        <f>VALED!F59</f>
        <v>89</v>
      </c>
      <c r="AF58" s="254">
        <f>VALED!J59</f>
        <v>92</v>
      </c>
      <c r="AG58" s="254">
        <f>VALED!N59</f>
        <v>97</v>
      </c>
      <c r="AH58" s="208">
        <f>VALED!R59</f>
        <v>98</v>
      </c>
      <c r="AI58" s="239">
        <f>VALED!V59</f>
        <v>94</v>
      </c>
      <c r="AJ58" s="268">
        <f>TLE!F59</f>
        <v>92</v>
      </c>
      <c r="AK58" s="208">
        <f>TLE!J59</f>
        <v>93</v>
      </c>
      <c r="AL58" s="208">
        <f>TLE!N59</f>
        <v>92</v>
      </c>
      <c r="AM58" s="208">
        <f>TLE!R59</f>
        <v>94</v>
      </c>
      <c r="AN58" s="237">
        <f>TLE!V59</f>
        <v>92.75</v>
      </c>
      <c r="AO58" s="238">
        <f>'MUSIC-ARTS'!F59</f>
        <v>91</v>
      </c>
      <c r="AP58" s="270">
        <f>'MUSIC-ARTS'!J59</f>
        <v>93</v>
      </c>
      <c r="AQ58" s="270">
        <f>'MUSIC-ARTS'!N59</f>
        <v>94</v>
      </c>
      <c r="AR58" s="208">
        <f>'MUSIC-ARTS'!R59</f>
        <v>95</v>
      </c>
      <c r="AS58" s="239">
        <f t="shared" si="13"/>
        <v>93</v>
      </c>
      <c r="AT58" s="240">
        <f>ARTS!F59</f>
        <v>0</v>
      </c>
      <c r="AU58" s="270">
        <f>ARTS!J59</f>
        <v>0</v>
      </c>
      <c r="AV58" s="270">
        <f>ARTS!N59</f>
        <v>0</v>
      </c>
      <c r="AW58" s="208">
        <f>ARTS!R59</f>
        <v>0</v>
      </c>
      <c r="AX58" s="237">
        <f t="shared" si="9"/>
        <v>0</v>
      </c>
      <c r="AY58" s="238">
        <f>'PE-HEALTH'!F59</f>
        <v>95</v>
      </c>
      <c r="AZ58" s="270">
        <f>'PE-HEALTH'!J59</f>
        <v>93</v>
      </c>
      <c r="BA58" s="270">
        <f>'PE-HEALTH'!N59</f>
        <v>93</v>
      </c>
      <c r="BB58" s="208">
        <f>'PE-HEALTH'!R59</f>
        <v>95</v>
      </c>
      <c r="BC58" s="239">
        <f t="shared" si="10"/>
        <v>94</v>
      </c>
      <c r="BD58" s="240">
        <f>HEALTH!F59</f>
        <v>0</v>
      </c>
      <c r="BE58" s="270">
        <f>HEALTH!J59</f>
        <v>0</v>
      </c>
      <c r="BF58" s="270">
        <f>HEALTH!N59</f>
        <v>0</v>
      </c>
      <c r="BG58" s="208">
        <f>HEALTH!R59</f>
        <v>0</v>
      </c>
      <c r="BH58" s="237">
        <f t="shared" si="11"/>
        <v>0</v>
      </c>
      <c r="BI58" s="238">
        <f>' MAPEH FINAL'!F59</f>
        <v>93</v>
      </c>
      <c r="BJ58" s="270">
        <f>' MAPEH FINAL'!J59</f>
        <v>93</v>
      </c>
      <c r="BK58" s="270">
        <f>' MAPEH FINAL'!N59</f>
        <v>94</v>
      </c>
      <c r="BL58" s="208">
        <f>' MAPEH FINAL'!R59</f>
        <v>95</v>
      </c>
      <c r="BM58" s="239">
        <f t="shared" si="0"/>
        <v>94</v>
      </c>
      <c r="BN58" s="284">
        <f t="shared" si="12"/>
        <v>91.96875</v>
      </c>
      <c r="BO58" s="285">
        <f t="shared" si="6"/>
        <v>92</v>
      </c>
      <c r="BP58" s="283">
        <f t="shared" si="8"/>
        <v>1</v>
      </c>
      <c r="BQ58" s="169"/>
      <c r="BR58" s="169"/>
      <c r="BS58" s="204">
        <v>8</v>
      </c>
      <c r="BT58" s="119" t="s">
        <v>47</v>
      </c>
      <c r="BU58" s="206"/>
      <c r="BV58" s="169"/>
      <c r="BW58" s="169"/>
      <c r="BX58" s="169"/>
      <c r="BY58" s="169"/>
      <c r="BZ58" s="169"/>
      <c r="CA58" s="169"/>
      <c r="CB58" s="169"/>
      <c r="CC58" s="169"/>
      <c r="CD58" s="169"/>
      <c r="CE58" s="169"/>
      <c r="CF58" s="169"/>
      <c r="CG58" s="169"/>
      <c r="CH58" s="169"/>
      <c r="CI58" s="169"/>
      <c r="CJ58" s="169"/>
      <c r="CK58" s="169"/>
      <c r="CL58" s="169"/>
      <c r="CM58" s="169"/>
      <c r="CN58" s="169"/>
      <c r="CO58" s="169"/>
      <c r="CP58" s="169"/>
      <c r="CQ58" s="169"/>
      <c r="CR58" s="169"/>
      <c r="CS58" s="169"/>
      <c r="CT58" s="169"/>
      <c r="CU58" s="169"/>
      <c r="CV58" s="169"/>
      <c r="CW58" s="169"/>
      <c r="CX58" s="169"/>
      <c r="CY58" s="169"/>
      <c r="CZ58" s="169"/>
      <c r="DA58" s="169"/>
      <c r="DB58" s="169"/>
      <c r="DC58" s="169"/>
      <c r="DD58" s="169"/>
      <c r="DE58" s="169"/>
      <c r="DF58" s="169"/>
      <c r="DG58" s="169"/>
      <c r="DH58" s="169"/>
      <c r="DI58" s="169"/>
      <c r="DJ58" s="169"/>
      <c r="DK58" s="169"/>
      <c r="DL58" s="169"/>
      <c r="DM58" s="169"/>
      <c r="DN58" s="169"/>
      <c r="DO58" s="169"/>
      <c r="DP58" s="169"/>
      <c r="DQ58" s="169"/>
      <c r="DR58" s="169"/>
      <c r="DS58" s="169"/>
      <c r="DT58" s="169"/>
      <c r="DU58" s="169"/>
    </row>
    <row r="59" s="168" customFormat="1" ht="18" customHeight="1" spans="1:125">
      <c r="A59" s="204">
        <f>'INPUT DATA'!A61</f>
        <v>9</v>
      </c>
      <c r="B59" s="205" t="str">
        <f>'INPUT DATA'!B61:D61</f>
        <v>GALDO, ALYSSA RHIAN P.</v>
      </c>
      <c r="C59" s="206"/>
      <c r="D59" s="206"/>
      <c r="E59" s="206"/>
      <c r="F59" s="207">
        <f>FILIPINO!F56</f>
        <v>80</v>
      </c>
      <c r="G59" s="208">
        <f>FILIPINO!J56</f>
        <v>0</v>
      </c>
      <c r="H59" s="208">
        <f>FILIPINO!N56</f>
        <v>0</v>
      </c>
      <c r="I59" s="208">
        <f>FILIPINO!R56</f>
        <v>0</v>
      </c>
      <c r="J59" s="237">
        <f>FILIPINO!V56</f>
        <v>20</v>
      </c>
      <c r="K59" s="238">
        <f>ENGLISH!F60</f>
        <v>81</v>
      </c>
      <c r="L59" s="208">
        <f>ENGLISH!J60</f>
        <v>0</v>
      </c>
      <c r="M59" s="208">
        <f>ENGLISH!N60</f>
        <v>0</v>
      </c>
      <c r="N59" s="208">
        <f>ENGLISH!R60</f>
        <v>0</v>
      </c>
      <c r="O59" s="239">
        <f>ENGLISH!V60</f>
        <v>20.25</v>
      </c>
      <c r="P59" s="240">
        <f>MATHEMATICS!F60</f>
        <v>82</v>
      </c>
      <c r="Q59" s="208">
        <f>MATHEMATICS!J60</f>
        <v>0</v>
      </c>
      <c r="R59" s="208">
        <f>MATHEMATICS!N60</f>
        <v>0</v>
      </c>
      <c r="S59" s="208">
        <f>MATHEMATICS!R60</f>
        <v>0</v>
      </c>
      <c r="T59" s="237">
        <f>MATHEMATICS!V60</f>
        <v>20.5</v>
      </c>
      <c r="U59" s="238">
        <f>SCIENCE!F60</f>
        <v>0</v>
      </c>
      <c r="V59" s="208">
        <f>SCIENCE!J60</f>
        <v>0</v>
      </c>
      <c r="W59" s="209">
        <f>SCIENCE!N60</f>
        <v>0</v>
      </c>
      <c r="X59" s="254">
        <f>SCIENCE!R60</f>
        <v>0</v>
      </c>
      <c r="Y59" s="239">
        <f>SCIENCE!V60</f>
        <v>0</v>
      </c>
      <c r="Z59" s="240">
        <f>AP!F60</f>
        <v>0</v>
      </c>
      <c r="AA59" s="208">
        <f>AP!J60</f>
        <v>0</v>
      </c>
      <c r="AB59" s="208">
        <f>AP!N60</f>
        <v>0</v>
      </c>
      <c r="AC59" s="208">
        <f>AP!R60</f>
        <v>0</v>
      </c>
      <c r="AD59" s="237">
        <f>AP!V60</f>
        <v>0</v>
      </c>
      <c r="AE59" s="240">
        <f>VALED!F60</f>
        <v>80</v>
      </c>
      <c r="AF59" s="254">
        <f>VALED!J60</f>
        <v>0</v>
      </c>
      <c r="AG59" s="254">
        <f>VALED!N60</f>
        <v>0</v>
      </c>
      <c r="AH59" s="208">
        <f>VALED!R60</f>
        <v>0</v>
      </c>
      <c r="AI59" s="239">
        <f>VALED!V60</f>
        <v>20</v>
      </c>
      <c r="AJ59" s="268">
        <f>TLE!F60</f>
        <v>0</v>
      </c>
      <c r="AK59" s="208">
        <f>TLE!J60</f>
        <v>0</v>
      </c>
      <c r="AL59" s="208">
        <f>TLE!N60</f>
        <v>0</v>
      </c>
      <c r="AM59" s="208">
        <f>TLE!R60</f>
        <v>0</v>
      </c>
      <c r="AN59" s="237">
        <f>TLE!V60</f>
        <v>0</v>
      </c>
      <c r="AO59" s="238">
        <f>'MUSIC-ARTS'!F60</f>
        <v>90</v>
      </c>
      <c r="AP59" s="270">
        <f>'MUSIC-ARTS'!J60</f>
        <v>0</v>
      </c>
      <c r="AQ59" s="270">
        <f>'MUSIC-ARTS'!N60</f>
        <v>0</v>
      </c>
      <c r="AR59" s="208">
        <f>'MUSIC-ARTS'!R60</f>
        <v>0</v>
      </c>
      <c r="AS59" s="239">
        <f t="shared" si="13"/>
        <v>23</v>
      </c>
      <c r="AT59" s="240">
        <f>ARTS!F60</f>
        <v>0</v>
      </c>
      <c r="AU59" s="270">
        <f>ARTS!J60</f>
        <v>0</v>
      </c>
      <c r="AV59" s="270">
        <f>ARTS!N60</f>
        <v>0</v>
      </c>
      <c r="AW59" s="208">
        <f>ARTS!R60</f>
        <v>0</v>
      </c>
      <c r="AX59" s="237">
        <f t="shared" si="9"/>
        <v>0</v>
      </c>
      <c r="AY59" s="238">
        <f>'PE-HEALTH'!F60</f>
        <v>89</v>
      </c>
      <c r="AZ59" s="270">
        <f>'PE-HEALTH'!J60</f>
        <v>0</v>
      </c>
      <c r="BA59" s="270">
        <f>'PE-HEALTH'!N60</f>
        <v>0</v>
      </c>
      <c r="BB59" s="208">
        <f>'PE-HEALTH'!R60</f>
        <v>0</v>
      </c>
      <c r="BC59" s="239">
        <f t="shared" si="10"/>
        <v>22</v>
      </c>
      <c r="BD59" s="240">
        <f>HEALTH!F60</f>
        <v>0</v>
      </c>
      <c r="BE59" s="270">
        <f>HEALTH!J60</f>
        <v>0</v>
      </c>
      <c r="BF59" s="270">
        <f>HEALTH!N60</f>
        <v>0</v>
      </c>
      <c r="BG59" s="208">
        <f>HEALTH!R60</f>
        <v>0</v>
      </c>
      <c r="BH59" s="237">
        <f t="shared" si="11"/>
        <v>0</v>
      </c>
      <c r="BI59" s="238">
        <f>' MAPEH FINAL'!F60</f>
        <v>90</v>
      </c>
      <c r="BJ59" s="270">
        <f>' MAPEH FINAL'!J60</f>
        <v>88</v>
      </c>
      <c r="BK59" s="270">
        <f>' MAPEH FINAL'!N60</f>
        <v>0</v>
      </c>
      <c r="BL59" s="208" t="str">
        <f>' MAPEH FINAL'!R60</f>
        <v/>
      </c>
      <c r="BM59" s="239" t="str">
        <f t="shared" si="0"/>
        <v/>
      </c>
      <c r="BN59" s="280" t="str">
        <f t="shared" si="12"/>
        <v/>
      </c>
      <c r="BO59" s="281" t="str">
        <f t="shared" si="6"/>
        <v/>
      </c>
      <c r="BP59" s="288">
        <f t="shared" si="8"/>
        <v>34</v>
      </c>
      <c r="BQ59" s="288"/>
      <c r="BR59" s="288"/>
      <c r="BS59" s="204">
        <v>9</v>
      </c>
      <c r="BT59" s="119" t="s">
        <v>48</v>
      </c>
      <c r="BU59" s="206"/>
      <c r="BV59" s="169"/>
      <c r="BW59" s="169"/>
      <c r="BX59" s="169"/>
      <c r="BY59" s="169"/>
      <c r="BZ59" s="169"/>
      <c r="CA59" s="169"/>
      <c r="CB59" s="169"/>
      <c r="CC59" s="169"/>
      <c r="CD59" s="169"/>
      <c r="CE59" s="169"/>
      <c r="CF59" s="169"/>
      <c r="CG59" s="169"/>
      <c r="CH59" s="169"/>
      <c r="CI59" s="169"/>
      <c r="CJ59" s="169"/>
      <c r="CK59" s="169"/>
      <c r="CL59" s="169"/>
      <c r="CM59" s="169"/>
      <c r="CN59" s="169"/>
      <c r="CO59" s="169"/>
      <c r="CP59" s="169"/>
      <c r="CQ59" s="169"/>
      <c r="CR59" s="169"/>
      <c r="CS59" s="169"/>
      <c r="CT59" s="169"/>
      <c r="CU59" s="169"/>
      <c r="CV59" s="169"/>
      <c r="CW59" s="169"/>
      <c r="CX59" s="169"/>
      <c r="CY59" s="169"/>
      <c r="CZ59" s="169"/>
      <c r="DA59" s="169"/>
      <c r="DB59" s="169"/>
      <c r="DC59" s="169"/>
      <c r="DD59" s="169"/>
      <c r="DE59" s="169"/>
      <c r="DF59" s="169"/>
      <c r="DG59" s="169"/>
      <c r="DH59" s="169"/>
      <c r="DI59" s="169"/>
      <c r="DJ59" s="169"/>
      <c r="DK59" s="169"/>
      <c r="DL59" s="169"/>
      <c r="DM59" s="169"/>
      <c r="DN59" s="169"/>
      <c r="DO59" s="169"/>
      <c r="DP59" s="169"/>
      <c r="DQ59" s="169"/>
      <c r="DR59" s="169"/>
      <c r="DS59" s="169"/>
      <c r="DT59" s="169"/>
      <c r="DU59" s="169"/>
    </row>
    <row r="60" s="168" customFormat="1" ht="18" customHeight="1" spans="1:125">
      <c r="A60" s="204">
        <f>'INPUT DATA'!A62</f>
        <v>10</v>
      </c>
      <c r="B60" s="205" t="str">
        <f>'INPUT DATA'!B62:D62</f>
        <v>HURAÑO, RIOMI M.</v>
      </c>
      <c r="C60" s="206"/>
      <c r="D60" s="206"/>
      <c r="E60" s="206"/>
      <c r="F60" s="207">
        <f>FILIPINO!F57</f>
        <v>88</v>
      </c>
      <c r="G60" s="208">
        <f>FILIPINO!J57</f>
        <v>89</v>
      </c>
      <c r="H60" s="208">
        <f>FILIPINO!N57</f>
        <v>87</v>
      </c>
      <c r="I60" s="208">
        <f>FILIPINO!R57</f>
        <v>94</v>
      </c>
      <c r="J60" s="237">
        <f>FILIPINO!V57</f>
        <v>89.5</v>
      </c>
      <c r="K60" s="238">
        <f>ENGLISH!F61</f>
        <v>86</v>
      </c>
      <c r="L60" s="208">
        <f>ENGLISH!J61</f>
        <v>84</v>
      </c>
      <c r="M60" s="208">
        <f>ENGLISH!N61</f>
        <v>90</v>
      </c>
      <c r="N60" s="208">
        <f>ENGLISH!R61</f>
        <v>90</v>
      </c>
      <c r="O60" s="239">
        <f>ENGLISH!V61</f>
        <v>87.5</v>
      </c>
      <c r="P60" s="240">
        <f>MATHEMATICS!F61</f>
        <v>87</v>
      </c>
      <c r="Q60" s="208">
        <f>MATHEMATICS!J61</f>
        <v>88</v>
      </c>
      <c r="R60" s="208">
        <f>MATHEMATICS!N61</f>
        <v>89</v>
      </c>
      <c r="S60" s="208">
        <f>MATHEMATICS!R61</f>
        <v>90</v>
      </c>
      <c r="T60" s="237">
        <f>MATHEMATICS!V61</f>
        <v>88.5</v>
      </c>
      <c r="U60" s="238">
        <f>SCIENCE!F61</f>
        <v>87</v>
      </c>
      <c r="V60" s="208">
        <f>SCIENCE!J61</f>
        <v>89</v>
      </c>
      <c r="W60" s="209">
        <f>SCIENCE!N61</f>
        <v>92</v>
      </c>
      <c r="X60" s="254">
        <f>SCIENCE!R61</f>
        <v>92</v>
      </c>
      <c r="Y60" s="239">
        <f>SCIENCE!V61</f>
        <v>90</v>
      </c>
      <c r="Z60" s="240">
        <f>AP!F61</f>
        <v>82</v>
      </c>
      <c r="AA60" s="208">
        <f>AP!J61</f>
        <v>83</v>
      </c>
      <c r="AB60" s="208">
        <f>AP!N61</f>
        <v>84</v>
      </c>
      <c r="AC60" s="208">
        <f>AP!R61</f>
        <v>88</v>
      </c>
      <c r="AD60" s="237">
        <f>AP!V61</f>
        <v>84.25</v>
      </c>
      <c r="AE60" s="240">
        <f>VALED!F61</f>
        <v>83</v>
      </c>
      <c r="AF60" s="254">
        <f>VALED!J61</f>
        <v>85</v>
      </c>
      <c r="AG60" s="254">
        <f>VALED!N61</f>
        <v>92</v>
      </c>
      <c r="AH60" s="208">
        <f>VALED!R61</f>
        <v>93</v>
      </c>
      <c r="AI60" s="239">
        <f>VALED!V61</f>
        <v>88.25</v>
      </c>
      <c r="AJ60" s="268">
        <f>TLE!F61</f>
        <v>83</v>
      </c>
      <c r="AK60" s="208">
        <f>TLE!J61</f>
        <v>81</v>
      </c>
      <c r="AL60" s="208">
        <f>TLE!N61</f>
        <v>84</v>
      </c>
      <c r="AM60" s="208">
        <f>TLE!R61</f>
        <v>87</v>
      </c>
      <c r="AN60" s="237">
        <f>TLE!V61</f>
        <v>83.75</v>
      </c>
      <c r="AO60" s="238">
        <f>'MUSIC-ARTS'!F61</f>
        <v>87</v>
      </c>
      <c r="AP60" s="270">
        <f>'MUSIC-ARTS'!J61</f>
        <v>88</v>
      </c>
      <c r="AQ60" s="270">
        <f>'MUSIC-ARTS'!N61</f>
        <v>90</v>
      </c>
      <c r="AR60" s="208">
        <f>'MUSIC-ARTS'!R61</f>
        <v>90</v>
      </c>
      <c r="AS60" s="239">
        <f t="shared" si="13"/>
        <v>89</v>
      </c>
      <c r="AT60" s="240">
        <f>ARTS!F61</f>
        <v>0</v>
      </c>
      <c r="AU60" s="270">
        <f>ARTS!J61</f>
        <v>0</v>
      </c>
      <c r="AV60" s="270">
        <f>ARTS!N61</f>
        <v>0</v>
      </c>
      <c r="AW60" s="208">
        <f>ARTS!R61</f>
        <v>0</v>
      </c>
      <c r="AX60" s="237">
        <f t="shared" si="9"/>
        <v>0</v>
      </c>
      <c r="AY60" s="238">
        <f>'PE-HEALTH'!F61</f>
        <v>91</v>
      </c>
      <c r="AZ60" s="270">
        <f>'PE-HEALTH'!J61</f>
        <v>90</v>
      </c>
      <c r="BA60" s="270">
        <f>'PE-HEALTH'!N61</f>
        <v>90</v>
      </c>
      <c r="BB60" s="208">
        <f>'PE-HEALTH'!R61</f>
        <v>95</v>
      </c>
      <c r="BC60" s="239">
        <f t="shared" si="10"/>
        <v>92</v>
      </c>
      <c r="BD60" s="240">
        <f>HEALTH!F61</f>
        <v>0</v>
      </c>
      <c r="BE60" s="270">
        <f>HEALTH!J61</f>
        <v>0</v>
      </c>
      <c r="BF60" s="270">
        <f>HEALTH!N61</f>
        <v>0</v>
      </c>
      <c r="BG60" s="208">
        <f>HEALTH!R61</f>
        <v>0</v>
      </c>
      <c r="BH60" s="237">
        <f t="shared" si="11"/>
        <v>0</v>
      </c>
      <c r="BI60" s="238">
        <f>' MAPEH FINAL'!F61</f>
        <v>89</v>
      </c>
      <c r="BJ60" s="270">
        <f>' MAPEH FINAL'!J61</f>
        <v>89</v>
      </c>
      <c r="BK60" s="270">
        <f>' MAPEH FINAL'!N61</f>
        <v>90</v>
      </c>
      <c r="BL60" s="208">
        <f>' MAPEH FINAL'!R61</f>
        <v>93</v>
      </c>
      <c r="BM60" s="239">
        <f t="shared" si="0"/>
        <v>90</v>
      </c>
      <c r="BN60" s="280">
        <f t="shared" si="12"/>
        <v>87.71875</v>
      </c>
      <c r="BO60" s="281">
        <f t="shared" si="6"/>
        <v>88</v>
      </c>
      <c r="BP60" s="169">
        <f t="shared" si="8"/>
        <v>8</v>
      </c>
      <c r="BQ60" s="169"/>
      <c r="BR60" s="169"/>
      <c r="BS60" s="204">
        <v>10</v>
      </c>
      <c r="BT60" s="119" t="s">
        <v>49</v>
      </c>
      <c r="BU60" s="206"/>
      <c r="BV60" s="169"/>
      <c r="BW60" s="169"/>
      <c r="BX60" s="169"/>
      <c r="BY60" s="169"/>
      <c r="BZ60" s="169"/>
      <c r="CA60" s="169"/>
      <c r="CB60" s="169"/>
      <c r="CC60" s="169"/>
      <c r="CD60" s="169"/>
      <c r="CE60" s="169"/>
      <c r="CF60" s="169"/>
      <c r="CG60" s="169"/>
      <c r="CH60" s="169"/>
      <c r="CI60" s="169"/>
      <c r="CJ60" s="169"/>
      <c r="CK60" s="169"/>
      <c r="CL60" s="169"/>
      <c r="CM60" s="169"/>
      <c r="CN60" s="169"/>
      <c r="CO60" s="169"/>
      <c r="CP60" s="169"/>
      <c r="CQ60" s="169"/>
      <c r="CR60" s="169"/>
      <c r="CS60" s="169"/>
      <c r="CT60" s="169"/>
      <c r="CU60" s="169"/>
      <c r="CV60" s="169"/>
      <c r="CW60" s="169"/>
      <c r="CX60" s="169"/>
      <c r="CY60" s="169"/>
      <c r="CZ60" s="169"/>
      <c r="DA60" s="169"/>
      <c r="DB60" s="169"/>
      <c r="DC60" s="169"/>
      <c r="DD60" s="169"/>
      <c r="DE60" s="169"/>
      <c r="DF60" s="169"/>
      <c r="DG60" s="169"/>
      <c r="DH60" s="169"/>
      <c r="DI60" s="169"/>
      <c r="DJ60" s="169"/>
      <c r="DK60" s="169"/>
      <c r="DL60" s="169"/>
      <c r="DM60" s="169"/>
      <c r="DN60" s="169"/>
      <c r="DO60" s="169"/>
      <c r="DP60" s="169"/>
      <c r="DQ60" s="169"/>
      <c r="DR60" s="169"/>
      <c r="DS60" s="169"/>
      <c r="DT60" s="169"/>
      <c r="DU60" s="169"/>
    </row>
    <row r="61" s="168" customFormat="1" ht="18" customHeight="1" spans="1:125">
      <c r="A61" s="204">
        <f>'INPUT DATA'!A63</f>
        <v>11</v>
      </c>
      <c r="B61" s="205" t="str">
        <f>'INPUT DATA'!B63:D63</f>
        <v>LAGUNA, WELLAIZA O.</v>
      </c>
      <c r="C61" s="206"/>
      <c r="D61" s="206"/>
      <c r="E61" s="206"/>
      <c r="F61" s="207">
        <f>FILIPINO!F58</f>
        <v>75</v>
      </c>
      <c r="G61" s="208">
        <f>FILIPINO!J58</f>
        <v>0</v>
      </c>
      <c r="H61" s="208">
        <f>FILIPINO!N58</f>
        <v>0</v>
      </c>
      <c r="I61" s="208">
        <f>FILIPINO!R58</f>
        <v>0</v>
      </c>
      <c r="J61" s="237">
        <f>FILIPINO!V58</f>
        <v>18.75</v>
      </c>
      <c r="K61" s="238">
        <f>ENGLISH!F62</f>
        <v>80</v>
      </c>
      <c r="L61" s="208">
        <f>ENGLISH!J62</f>
        <v>0</v>
      </c>
      <c r="M61" s="208">
        <f>ENGLISH!N62</f>
        <v>0</v>
      </c>
      <c r="N61" s="208">
        <f>ENGLISH!R62</f>
        <v>0</v>
      </c>
      <c r="O61" s="239">
        <f>ENGLISH!V62</f>
        <v>20</v>
      </c>
      <c r="P61" s="240">
        <f>MATHEMATICS!F62</f>
        <v>81</v>
      </c>
      <c r="Q61" s="208">
        <f>MATHEMATICS!J62</f>
        <v>0</v>
      </c>
      <c r="R61" s="208">
        <f>MATHEMATICS!N62</f>
        <v>0</v>
      </c>
      <c r="S61" s="208">
        <f>MATHEMATICS!R62</f>
        <v>0</v>
      </c>
      <c r="T61" s="241">
        <f>MATHEMATICS!V62</f>
        <v>20.25</v>
      </c>
      <c r="U61" s="238">
        <f>SCIENCE!F62</f>
        <v>0</v>
      </c>
      <c r="V61" s="208">
        <f>SCIENCE!J62</f>
        <v>0</v>
      </c>
      <c r="W61" s="209">
        <f>SCIENCE!N62</f>
        <v>0</v>
      </c>
      <c r="X61" s="254">
        <f>SCIENCE!R62</f>
        <v>0</v>
      </c>
      <c r="Y61" s="239">
        <f>SCIENCE!V62</f>
        <v>0</v>
      </c>
      <c r="Z61" s="240">
        <f>AP!F62</f>
        <v>0</v>
      </c>
      <c r="AA61" s="208">
        <f>AP!J62</f>
        <v>0</v>
      </c>
      <c r="AB61" s="208">
        <f>AP!N62</f>
        <v>0</v>
      </c>
      <c r="AC61" s="208">
        <f>AP!R62</f>
        <v>0</v>
      </c>
      <c r="AD61" s="241">
        <f>AP!V62</f>
        <v>0</v>
      </c>
      <c r="AE61" s="240">
        <f>VALED!F62</f>
        <v>80</v>
      </c>
      <c r="AF61" s="254">
        <f>VALED!J62</f>
        <v>0</v>
      </c>
      <c r="AG61" s="254">
        <f>VALED!N62</f>
        <v>0</v>
      </c>
      <c r="AH61" s="208">
        <f>VALED!R62</f>
        <v>0</v>
      </c>
      <c r="AI61" s="242">
        <f>VALED!V62</f>
        <v>20</v>
      </c>
      <c r="AJ61" s="268">
        <f>TLE!F62</f>
        <v>0</v>
      </c>
      <c r="AK61" s="208">
        <f>TLE!J62</f>
        <v>0</v>
      </c>
      <c r="AL61" s="208">
        <f>TLE!N62</f>
        <v>0</v>
      </c>
      <c r="AM61" s="208">
        <f>TLE!R62</f>
        <v>0</v>
      </c>
      <c r="AN61" s="241">
        <f>TLE!V62</f>
        <v>0</v>
      </c>
      <c r="AO61" s="238">
        <f>'MUSIC-ARTS'!F62</f>
        <v>86</v>
      </c>
      <c r="AP61" s="270">
        <f>'MUSIC-ARTS'!J62</f>
        <v>0</v>
      </c>
      <c r="AQ61" s="270">
        <f>'MUSIC-ARTS'!N62</f>
        <v>0</v>
      </c>
      <c r="AR61" s="208">
        <f>'MUSIC-ARTS'!R62</f>
        <v>0</v>
      </c>
      <c r="AS61" s="242">
        <f t="shared" si="13"/>
        <v>22</v>
      </c>
      <c r="AT61" s="240">
        <f>ARTS!F62</f>
        <v>0</v>
      </c>
      <c r="AU61" s="270">
        <f>ARTS!J62</f>
        <v>0</v>
      </c>
      <c r="AV61" s="270">
        <f>ARTS!N62</f>
        <v>0</v>
      </c>
      <c r="AW61" s="208">
        <f>ARTS!R62</f>
        <v>0</v>
      </c>
      <c r="AX61" s="241">
        <f t="shared" si="9"/>
        <v>0</v>
      </c>
      <c r="AY61" s="238">
        <f>'PE-HEALTH'!F62</f>
        <v>87</v>
      </c>
      <c r="AZ61" s="270">
        <f>'PE-HEALTH'!J62</f>
        <v>0</v>
      </c>
      <c r="BA61" s="270">
        <f>'PE-HEALTH'!N62</f>
        <v>0</v>
      </c>
      <c r="BB61" s="208">
        <f>'PE-HEALTH'!R62</f>
        <v>0</v>
      </c>
      <c r="BC61" s="242">
        <f t="shared" si="10"/>
        <v>22</v>
      </c>
      <c r="BD61" s="240">
        <f>HEALTH!F62</f>
        <v>0</v>
      </c>
      <c r="BE61" s="270">
        <f>HEALTH!J62</f>
        <v>0</v>
      </c>
      <c r="BF61" s="270">
        <f>HEALTH!N62</f>
        <v>0</v>
      </c>
      <c r="BG61" s="208">
        <f>HEALTH!R62</f>
        <v>0</v>
      </c>
      <c r="BH61" s="241">
        <f t="shared" si="11"/>
        <v>0</v>
      </c>
      <c r="BI61" s="238">
        <f>' MAPEH FINAL'!F62</f>
        <v>87</v>
      </c>
      <c r="BJ61" s="270">
        <f>' MAPEH FINAL'!J62</f>
        <v>88</v>
      </c>
      <c r="BK61" s="270" t="str">
        <f>' MAPEH FINAL'!N62</f>
        <v/>
      </c>
      <c r="BL61" s="208" t="str">
        <f>' MAPEH FINAL'!R62</f>
        <v/>
      </c>
      <c r="BM61" s="242" t="str">
        <f t="shared" si="0"/>
        <v/>
      </c>
      <c r="BN61" s="280" t="str">
        <f t="shared" si="12"/>
        <v/>
      </c>
      <c r="BO61" s="281" t="str">
        <f t="shared" si="6"/>
        <v/>
      </c>
      <c r="BP61" s="283">
        <f t="shared" si="8"/>
        <v>34</v>
      </c>
      <c r="BQ61" s="169"/>
      <c r="BR61" s="169"/>
      <c r="BS61" s="204">
        <v>11</v>
      </c>
      <c r="BT61" s="119" t="s">
        <v>50</v>
      </c>
      <c r="BU61" s="206"/>
      <c r="BV61" s="169"/>
      <c r="BW61" s="169"/>
      <c r="BX61" s="169"/>
      <c r="BY61" s="169"/>
      <c r="BZ61" s="169"/>
      <c r="CA61" s="169"/>
      <c r="CB61" s="169"/>
      <c r="CC61" s="169"/>
      <c r="CD61" s="169"/>
      <c r="CE61" s="169"/>
      <c r="CF61" s="169"/>
      <c r="CG61" s="169"/>
      <c r="CH61" s="169"/>
      <c r="CI61" s="169"/>
      <c r="CJ61" s="169"/>
      <c r="CK61" s="169"/>
      <c r="CL61" s="169"/>
      <c r="CM61" s="169"/>
      <c r="CN61" s="169"/>
      <c r="CO61" s="169"/>
      <c r="CP61" s="169"/>
      <c r="CQ61" s="169"/>
      <c r="CR61" s="169"/>
      <c r="CS61" s="169"/>
      <c r="CT61" s="169"/>
      <c r="CU61" s="169"/>
      <c r="CV61" s="169"/>
      <c r="CW61" s="169"/>
      <c r="CX61" s="169"/>
      <c r="CY61" s="169"/>
      <c r="CZ61" s="169"/>
      <c r="DA61" s="169"/>
      <c r="DB61" s="169"/>
      <c r="DC61" s="169"/>
      <c r="DD61" s="169"/>
      <c r="DE61" s="169"/>
      <c r="DF61" s="169"/>
      <c r="DG61" s="169"/>
      <c r="DH61" s="169"/>
      <c r="DI61" s="169"/>
      <c r="DJ61" s="169"/>
      <c r="DK61" s="169"/>
      <c r="DL61" s="169"/>
      <c r="DM61" s="169"/>
      <c r="DN61" s="169"/>
      <c r="DO61" s="169"/>
      <c r="DP61" s="169"/>
      <c r="DQ61" s="169"/>
      <c r="DR61" s="169"/>
      <c r="DS61" s="169"/>
      <c r="DT61" s="169"/>
      <c r="DU61" s="169"/>
    </row>
    <row r="62" s="167" customFormat="1" ht="18" customHeight="1" spans="1:125">
      <c r="A62" s="220">
        <f>'INPUT DATA'!A64</f>
        <v>12</v>
      </c>
      <c r="B62" s="205" t="str">
        <f>'INPUT DATA'!B64:D64</f>
        <v>LAZAGA, PRINCESS JEAN O.</v>
      </c>
      <c r="C62" s="210"/>
      <c r="D62" s="210"/>
      <c r="E62" s="210"/>
      <c r="F62" s="207">
        <f>FILIPINO!F59</f>
        <v>85</v>
      </c>
      <c r="G62" s="208">
        <f>FILIPINO!J59</f>
        <v>88</v>
      </c>
      <c r="H62" s="208">
        <f>FILIPINO!N59</f>
        <v>88</v>
      </c>
      <c r="I62" s="208">
        <f>FILIPINO!R59</f>
        <v>90</v>
      </c>
      <c r="J62" s="241">
        <f>FILIPINO!V59</f>
        <v>87.75</v>
      </c>
      <c r="K62" s="238">
        <f>ENGLISH!F63</f>
        <v>85</v>
      </c>
      <c r="L62" s="208">
        <f>ENGLISH!J63</f>
        <v>84</v>
      </c>
      <c r="M62" s="208">
        <f>ENGLISH!N63</f>
        <v>88</v>
      </c>
      <c r="N62" s="208">
        <f>ENGLISH!R63</f>
        <v>87</v>
      </c>
      <c r="O62" s="242">
        <f>ENGLISH!V63</f>
        <v>86</v>
      </c>
      <c r="P62" s="240">
        <f>MATHEMATICS!F63</f>
        <v>82</v>
      </c>
      <c r="Q62" s="208">
        <f>MATHEMATICS!J63</f>
        <v>85</v>
      </c>
      <c r="R62" s="208">
        <f>MATHEMATICS!N63</f>
        <v>85</v>
      </c>
      <c r="S62" s="208">
        <f>MATHEMATICS!R63</f>
        <v>86</v>
      </c>
      <c r="T62" s="241">
        <f>MATHEMATICS!V63</f>
        <v>84.5</v>
      </c>
      <c r="U62" s="238">
        <f>SCIENCE!F63</f>
        <v>86</v>
      </c>
      <c r="V62" s="208">
        <f>SCIENCE!J63</f>
        <v>88</v>
      </c>
      <c r="W62" s="209">
        <f>SCIENCE!N63</f>
        <v>88</v>
      </c>
      <c r="X62" s="254">
        <f>SCIENCE!R63</f>
        <v>89</v>
      </c>
      <c r="Y62" s="242">
        <f>SCIENCE!V63</f>
        <v>87.75</v>
      </c>
      <c r="Z62" s="240">
        <f>AP!F63</f>
        <v>80</v>
      </c>
      <c r="AA62" s="208">
        <f>AP!J63</f>
        <v>84</v>
      </c>
      <c r="AB62" s="208">
        <f>AP!N63</f>
        <v>83</v>
      </c>
      <c r="AC62" s="208">
        <f>AP!R63</f>
        <v>87</v>
      </c>
      <c r="AD62" s="241">
        <f>AP!V63</f>
        <v>83.5</v>
      </c>
      <c r="AE62" s="240">
        <f>VALED!F63</f>
        <v>84</v>
      </c>
      <c r="AF62" s="254">
        <f>VALED!J63</f>
        <v>84</v>
      </c>
      <c r="AG62" s="254">
        <f>VALED!N63</f>
        <v>90</v>
      </c>
      <c r="AH62" s="208">
        <f>VALED!R63</f>
        <v>91</v>
      </c>
      <c r="AI62" s="242">
        <f>VALED!V63</f>
        <v>87.25</v>
      </c>
      <c r="AJ62" s="268">
        <f>TLE!F63</f>
        <v>83</v>
      </c>
      <c r="AK62" s="208">
        <f>TLE!J63</f>
        <v>84</v>
      </c>
      <c r="AL62" s="208">
        <f>TLE!N63</f>
        <v>88</v>
      </c>
      <c r="AM62" s="208">
        <f>TLE!R63</f>
        <v>89</v>
      </c>
      <c r="AN62" s="241">
        <f>TLE!V63</f>
        <v>86</v>
      </c>
      <c r="AO62" s="238">
        <f>'MUSIC-ARTS'!F63</f>
        <v>85</v>
      </c>
      <c r="AP62" s="270">
        <f>'MUSIC-ARTS'!J63</f>
        <v>87</v>
      </c>
      <c r="AQ62" s="270">
        <f>'MUSIC-ARTS'!N63</f>
        <v>89</v>
      </c>
      <c r="AR62" s="208">
        <f>'MUSIC-ARTS'!R63</f>
        <v>90</v>
      </c>
      <c r="AS62" s="242">
        <f t="shared" si="13"/>
        <v>88</v>
      </c>
      <c r="AT62" s="240">
        <f>ARTS!F63</f>
        <v>0</v>
      </c>
      <c r="AU62" s="270">
        <f>ARTS!J63</f>
        <v>0</v>
      </c>
      <c r="AV62" s="270">
        <f>ARTS!N63</f>
        <v>0</v>
      </c>
      <c r="AW62" s="208">
        <f>ARTS!R63</f>
        <v>0</v>
      </c>
      <c r="AX62" s="241">
        <f t="shared" si="9"/>
        <v>0</v>
      </c>
      <c r="AY62" s="238">
        <f>'PE-HEALTH'!F63</f>
        <v>90</v>
      </c>
      <c r="AZ62" s="270">
        <f>'PE-HEALTH'!J63</f>
        <v>89</v>
      </c>
      <c r="BA62" s="270">
        <f>'PE-HEALTH'!N63</f>
        <v>89</v>
      </c>
      <c r="BB62" s="208">
        <f>'PE-HEALTH'!R63</f>
        <v>95</v>
      </c>
      <c r="BC62" s="242">
        <f t="shared" si="10"/>
        <v>91</v>
      </c>
      <c r="BD62" s="240">
        <f>HEALTH!F63</f>
        <v>0</v>
      </c>
      <c r="BE62" s="270">
        <f>HEALTH!J63</f>
        <v>0</v>
      </c>
      <c r="BF62" s="270">
        <f>HEALTH!N63</f>
        <v>0</v>
      </c>
      <c r="BG62" s="208">
        <f>HEALTH!R63</f>
        <v>0</v>
      </c>
      <c r="BH62" s="241">
        <f t="shared" si="11"/>
        <v>0</v>
      </c>
      <c r="BI62" s="238">
        <f>' MAPEH FINAL'!F63</f>
        <v>88</v>
      </c>
      <c r="BJ62" s="270">
        <f>' MAPEH FINAL'!J63</f>
        <v>88</v>
      </c>
      <c r="BK62" s="270">
        <f>' MAPEH FINAL'!N63</f>
        <v>89</v>
      </c>
      <c r="BL62" s="208">
        <f>' MAPEH FINAL'!R63</f>
        <v>93</v>
      </c>
      <c r="BM62" s="242">
        <f t="shared" si="0"/>
        <v>90</v>
      </c>
      <c r="BN62" s="280">
        <f t="shared" si="12"/>
        <v>86.59375</v>
      </c>
      <c r="BO62" s="281">
        <f t="shared" si="6"/>
        <v>87</v>
      </c>
      <c r="BP62" s="275">
        <f t="shared" si="8"/>
        <v>14</v>
      </c>
      <c r="BQ62" s="275"/>
      <c r="BR62" s="275"/>
      <c r="BS62" s="204">
        <v>12</v>
      </c>
      <c r="BT62" s="119" t="s">
        <v>51</v>
      </c>
      <c r="BU62" s="210"/>
      <c r="BV62" s="275"/>
      <c r="BW62" s="275"/>
      <c r="BX62" s="275"/>
      <c r="BY62" s="275"/>
      <c r="BZ62" s="275"/>
      <c r="CA62" s="275"/>
      <c r="CB62" s="275"/>
      <c r="CC62" s="275"/>
      <c r="CD62" s="275"/>
      <c r="CE62" s="275"/>
      <c r="CF62" s="275"/>
      <c r="CG62" s="275"/>
      <c r="CH62" s="275"/>
      <c r="CI62" s="275"/>
      <c r="CJ62" s="275"/>
      <c r="CK62" s="275"/>
      <c r="CL62" s="275"/>
      <c r="CM62" s="275"/>
      <c r="CN62" s="275"/>
      <c r="CO62" s="275"/>
      <c r="CP62" s="275"/>
      <c r="CQ62" s="275"/>
      <c r="CR62" s="275"/>
      <c r="CS62" s="275"/>
      <c r="CT62" s="275"/>
      <c r="CU62" s="275"/>
      <c r="CV62" s="275"/>
      <c r="CW62" s="275"/>
      <c r="CX62" s="275"/>
      <c r="CY62" s="275"/>
      <c r="CZ62" s="275"/>
      <c r="DA62" s="275"/>
      <c r="DB62" s="275"/>
      <c r="DC62" s="275"/>
      <c r="DD62" s="275"/>
      <c r="DE62" s="275"/>
      <c r="DF62" s="275"/>
      <c r="DG62" s="275"/>
      <c r="DH62" s="275"/>
      <c r="DI62" s="275"/>
      <c r="DJ62" s="275"/>
      <c r="DK62" s="275"/>
      <c r="DL62" s="275"/>
      <c r="DM62" s="275"/>
      <c r="DN62" s="275"/>
      <c r="DO62" s="275"/>
      <c r="DP62" s="275"/>
      <c r="DQ62" s="275"/>
      <c r="DR62" s="275"/>
      <c r="DS62" s="275"/>
      <c r="DT62" s="275"/>
      <c r="DU62" s="275"/>
    </row>
    <row r="63" s="168" customFormat="1" ht="18" customHeight="1" spans="1:125">
      <c r="A63" s="204">
        <f>'INPUT DATA'!A65</f>
        <v>13</v>
      </c>
      <c r="B63" s="205" t="str">
        <f>'INPUT DATA'!B65:D65</f>
        <v>LIBRES, MIKYLLA B.</v>
      </c>
      <c r="C63" s="206"/>
      <c r="D63" s="206"/>
      <c r="E63" s="206"/>
      <c r="F63" s="207">
        <f>FILIPINO!F60</f>
        <v>75</v>
      </c>
      <c r="G63" s="208">
        <f>FILIPINO!J60</f>
        <v>76</v>
      </c>
      <c r="H63" s="208">
        <f>FILIPINO!N60</f>
        <v>77</v>
      </c>
      <c r="I63" s="208">
        <f>FILIPINO!R60</f>
        <v>83</v>
      </c>
      <c r="J63" s="237">
        <f>FILIPINO!V60</f>
        <v>77.75</v>
      </c>
      <c r="K63" s="238">
        <f>ENGLISH!F64</f>
        <v>75</v>
      </c>
      <c r="L63" s="208">
        <f>ENGLISH!J64</f>
        <v>75</v>
      </c>
      <c r="M63" s="208">
        <f>ENGLISH!N64</f>
        <v>79</v>
      </c>
      <c r="N63" s="208">
        <f>ENGLISH!R64</f>
        <v>83</v>
      </c>
      <c r="O63" s="242">
        <f>ENGLISH!V64</f>
        <v>78</v>
      </c>
      <c r="P63" s="240">
        <f>MATHEMATICS!F64</f>
        <v>84</v>
      </c>
      <c r="Q63" s="208">
        <f>MATHEMATICS!J64</f>
        <v>86</v>
      </c>
      <c r="R63" s="208">
        <f>MATHEMATICS!N64</f>
        <v>86</v>
      </c>
      <c r="S63" s="208">
        <f>MATHEMATICS!R64</f>
        <v>87</v>
      </c>
      <c r="T63" s="241">
        <f>MATHEMATICS!V64</f>
        <v>85.75</v>
      </c>
      <c r="U63" s="238">
        <f>SCIENCE!F64</f>
        <v>82</v>
      </c>
      <c r="V63" s="208">
        <f>SCIENCE!J64</f>
        <v>84</v>
      </c>
      <c r="W63" s="209">
        <f>SCIENCE!N64</f>
        <v>84</v>
      </c>
      <c r="X63" s="254">
        <f>SCIENCE!R64</f>
        <v>85</v>
      </c>
      <c r="Y63" s="242">
        <f>SCIENCE!V64</f>
        <v>83.75</v>
      </c>
      <c r="Z63" s="240">
        <f>AP!F64</f>
        <v>72</v>
      </c>
      <c r="AA63" s="208">
        <f>AP!J64</f>
        <v>75</v>
      </c>
      <c r="AB63" s="208">
        <f>AP!N64</f>
        <v>75</v>
      </c>
      <c r="AC63" s="208">
        <f>AP!R64</f>
        <v>82</v>
      </c>
      <c r="AD63" s="241">
        <f>AP!V64</f>
        <v>76</v>
      </c>
      <c r="AE63" s="240">
        <f>VALED!F64</f>
        <v>80</v>
      </c>
      <c r="AF63" s="254">
        <f>VALED!J64</f>
        <v>81</v>
      </c>
      <c r="AG63" s="254">
        <f>VALED!N64</f>
        <v>84</v>
      </c>
      <c r="AH63" s="208">
        <f>VALED!R64</f>
        <v>86</v>
      </c>
      <c r="AI63" s="242">
        <f>VALED!V64</f>
        <v>82.75</v>
      </c>
      <c r="AJ63" s="268">
        <f>TLE!F64</f>
        <v>81</v>
      </c>
      <c r="AK63" s="208">
        <f>TLE!J64</f>
        <v>77</v>
      </c>
      <c r="AL63" s="208">
        <f>TLE!N64</f>
        <v>75</v>
      </c>
      <c r="AM63" s="208">
        <f>TLE!R64</f>
        <v>85</v>
      </c>
      <c r="AN63" s="241">
        <f>TLE!V64</f>
        <v>79.5</v>
      </c>
      <c r="AO63" s="238">
        <f>'MUSIC-ARTS'!F64</f>
        <v>82</v>
      </c>
      <c r="AP63" s="270">
        <f>'MUSIC-ARTS'!J64</f>
        <v>78</v>
      </c>
      <c r="AQ63" s="270">
        <f>'MUSIC-ARTS'!N64</f>
        <v>80</v>
      </c>
      <c r="AR63" s="208">
        <f>'MUSIC-ARTS'!R64</f>
        <v>78</v>
      </c>
      <c r="AS63" s="242">
        <f t="shared" si="13"/>
        <v>80</v>
      </c>
      <c r="AT63" s="240">
        <f>ARTS!F64</f>
        <v>0</v>
      </c>
      <c r="AU63" s="270">
        <f>ARTS!J64</f>
        <v>0</v>
      </c>
      <c r="AV63" s="270">
        <f>ARTS!N64</f>
        <v>0</v>
      </c>
      <c r="AW63" s="208">
        <f>ARTS!R64</f>
        <v>0</v>
      </c>
      <c r="AX63" s="241">
        <f t="shared" si="9"/>
        <v>0</v>
      </c>
      <c r="AY63" s="238">
        <f>'PE-HEALTH'!F64</f>
        <v>83</v>
      </c>
      <c r="AZ63" s="270">
        <f>'PE-HEALTH'!J64</f>
        <v>78</v>
      </c>
      <c r="BA63" s="270">
        <f>'PE-HEALTH'!N64</f>
        <v>80</v>
      </c>
      <c r="BB63" s="208">
        <f>'PE-HEALTH'!R64</f>
        <v>90</v>
      </c>
      <c r="BC63" s="242">
        <f t="shared" si="10"/>
        <v>83</v>
      </c>
      <c r="BD63" s="240">
        <f>HEALTH!F64</f>
        <v>0</v>
      </c>
      <c r="BE63" s="270">
        <f>HEALTH!J64</f>
        <v>0</v>
      </c>
      <c r="BF63" s="270">
        <f>HEALTH!N64</f>
        <v>0</v>
      </c>
      <c r="BG63" s="208">
        <f>HEALTH!R64</f>
        <v>0</v>
      </c>
      <c r="BH63" s="241">
        <f t="shared" si="11"/>
        <v>0</v>
      </c>
      <c r="BI63" s="238">
        <f>' MAPEH FINAL'!F64</f>
        <v>83</v>
      </c>
      <c r="BJ63" s="270">
        <f>' MAPEH FINAL'!J64</f>
        <v>78</v>
      </c>
      <c r="BK63" s="270">
        <f>' MAPEH FINAL'!N64</f>
        <v>80</v>
      </c>
      <c r="BL63" s="208">
        <f>' MAPEH FINAL'!R64</f>
        <v>84</v>
      </c>
      <c r="BM63" s="242">
        <f t="shared" si="0"/>
        <v>81</v>
      </c>
      <c r="BN63" s="280">
        <f t="shared" si="12"/>
        <v>80.5625</v>
      </c>
      <c r="BO63" s="281">
        <f t="shared" si="6"/>
        <v>81</v>
      </c>
      <c r="BP63" s="169">
        <f t="shared" si="8"/>
        <v>21</v>
      </c>
      <c r="BQ63" s="169"/>
      <c r="BR63" s="169"/>
      <c r="BS63" s="204">
        <v>13</v>
      </c>
      <c r="BT63" s="152" t="s">
        <v>52</v>
      </c>
      <c r="BU63" s="206"/>
      <c r="BV63" s="169"/>
      <c r="BW63" s="169"/>
      <c r="BX63" s="169"/>
      <c r="BY63" s="169"/>
      <c r="BZ63" s="169"/>
      <c r="CA63" s="169"/>
      <c r="CB63" s="169"/>
      <c r="CC63" s="169"/>
      <c r="CD63" s="169"/>
      <c r="CE63" s="169"/>
      <c r="CF63" s="169"/>
      <c r="CG63" s="169"/>
      <c r="CH63" s="169"/>
      <c r="CI63" s="169"/>
      <c r="CJ63" s="169"/>
      <c r="CK63" s="169"/>
      <c r="CL63" s="169"/>
      <c r="CM63" s="169"/>
      <c r="CN63" s="169"/>
      <c r="CO63" s="169"/>
      <c r="CP63" s="169"/>
      <c r="CQ63" s="169"/>
      <c r="CR63" s="169"/>
      <c r="CS63" s="169"/>
      <c r="CT63" s="169"/>
      <c r="CU63" s="169"/>
      <c r="CV63" s="169"/>
      <c r="CW63" s="169"/>
      <c r="CX63" s="169"/>
      <c r="CY63" s="169"/>
      <c r="CZ63" s="169"/>
      <c r="DA63" s="169"/>
      <c r="DB63" s="169"/>
      <c r="DC63" s="169"/>
      <c r="DD63" s="169"/>
      <c r="DE63" s="169"/>
      <c r="DF63" s="169"/>
      <c r="DG63" s="169"/>
      <c r="DH63" s="169"/>
      <c r="DI63" s="169"/>
      <c r="DJ63" s="169"/>
      <c r="DK63" s="169"/>
      <c r="DL63" s="169"/>
      <c r="DM63" s="169"/>
      <c r="DN63" s="169"/>
      <c r="DO63" s="169"/>
      <c r="DP63" s="169"/>
      <c r="DQ63" s="169"/>
      <c r="DR63" s="169"/>
      <c r="DS63" s="169"/>
      <c r="DT63" s="169"/>
      <c r="DU63" s="169"/>
    </row>
    <row r="64" s="167" customFormat="1" ht="18" customHeight="1" spans="1:125">
      <c r="A64" s="220">
        <f>'INPUT DATA'!A66</f>
        <v>14</v>
      </c>
      <c r="B64" s="205" t="str">
        <f>'INPUT DATA'!B66:D66</f>
        <v>LIM, LENNIE GRACE S.</v>
      </c>
      <c r="C64" s="210"/>
      <c r="D64" s="210"/>
      <c r="E64" s="210"/>
      <c r="F64" s="207">
        <f>FILIPINO!F61</f>
        <v>86</v>
      </c>
      <c r="G64" s="208">
        <f>FILIPINO!J61</f>
        <v>78</v>
      </c>
      <c r="H64" s="208">
        <f>FILIPINO!N61</f>
        <v>85</v>
      </c>
      <c r="I64" s="208">
        <f>FILIPINO!R61</f>
        <v>89</v>
      </c>
      <c r="J64" s="241">
        <f>FILIPINO!V61</f>
        <v>84.5</v>
      </c>
      <c r="K64" s="238">
        <f>ENGLISH!F65</f>
        <v>83</v>
      </c>
      <c r="L64" s="208">
        <f>ENGLISH!J65</f>
        <v>83</v>
      </c>
      <c r="M64" s="208">
        <f>ENGLISH!N65</f>
        <v>84</v>
      </c>
      <c r="N64" s="208">
        <f>ENGLISH!R65</f>
        <v>85</v>
      </c>
      <c r="O64" s="242">
        <f>ENGLISH!V65</f>
        <v>83.75</v>
      </c>
      <c r="P64" s="240">
        <f>MATHEMATICS!F65</f>
        <v>86</v>
      </c>
      <c r="Q64" s="208">
        <f>MATHEMATICS!J65</f>
        <v>89</v>
      </c>
      <c r="R64" s="208">
        <f>MATHEMATICS!N65</f>
        <v>89</v>
      </c>
      <c r="S64" s="208">
        <f>MATHEMATICS!R65</f>
        <v>90</v>
      </c>
      <c r="T64" s="241">
        <f>MATHEMATICS!V65</f>
        <v>88.5</v>
      </c>
      <c r="U64" s="238">
        <f>SCIENCE!F65</f>
        <v>84</v>
      </c>
      <c r="V64" s="208">
        <f>SCIENCE!J65</f>
        <v>87</v>
      </c>
      <c r="W64" s="209">
        <f>SCIENCE!N65</f>
        <v>88</v>
      </c>
      <c r="X64" s="254">
        <f>SCIENCE!R65</f>
        <v>89</v>
      </c>
      <c r="Y64" s="242">
        <f>SCIENCE!V65</f>
        <v>87</v>
      </c>
      <c r="Z64" s="240">
        <f>AP!F65</f>
        <v>79</v>
      </c>
      <c r="AA64" s="208">
        <f>AP!J65</f>
        <v>85</v>
      </c>
      <c r="AB64" s="208">
        <f>AP!N65</f>
        <v>80</v>
      </c>
      <c r="AC64" s="208">
        <f>AP!R65</f>
        <v>85</v>
      </c>
      <c r="AD64" s="241">
        <f>AP!V65</f>
        <v>82.25</v>
      </c>
      <c r="AE64" s="240">
        <f>VALED!F65</f>
        <v>85</v>
      </c>
      <c r="AF64" s="254">
        <f>VALED!J65</f>
        <v>87</v>
      </c>
      <c r="AG64" s="254">
        <f>VALED!N65</f>
        <v>93</v>
      </c>
      <c r="AH64" s="208">
        <f>VALED!R65</f>
        <v>93</v>
      </c>
      <c r="AI64" s="242">
        <f>VALED!V65</f>
        <v>89.5</v>
      </c>
      <c r="AJ64" s="268">
        <f>TLE!F65</f>
        <v>86</v>
      </c>
      <c r="AK64" s="208">
        <f>TLE!J65</f>
        <v>82</v>
      </c>
      <c r="AL64" s="208">
        <f>TLE!N65</f>
        <v>87</v>
      </c>
      <c r="AM64" s="208">
        <f>TLE!R65</f>
        <v>88</v>
      </c>
      <c r="AN64" s="241">
        <f>TLE!V65</f>
        <v>85.75</v>
      </c>
      <c r="AO64" s="238">
        <f>'MUSIC-ARTS'!F65</f>
        <v>92</v>
      </c>
      <c r="AP64" s="270">
        <f>'MUSIC-ARTS'!J65</f>
        <v>86</v>
      </c>
      <c r="AQ64" s="270">
        <f>'MUSIC-ARTS'!N65</f>
        <v>87</v>
      </c>
      <c r="AR64" s="208">
        <f>'MUSIC-ARTS'!R65</f>
        <v>88</v>
      </c>
      <c r="AS64" s="242">
        <f t="shared" si="13"/>
        <v>88</v>
      </c>
      <c r="AT64" s="240">
        <f>ARTS!F65</f>
        <v>0</v>
      </c>
      <c r="AU64" s="270">
        <f>ARTS!J65</f>
        <v>0</v>
      </c>
      <c r="AV64" s="270">
        <f>ARTS!N65</f>
        <v>0</v>
      </c>
      <c r="AW64" s="208">
        <f>ARTS!R65</f>
        <v>0</v>
      </c>
      <c r="AX64" s="241">
        <f t="shared" si="9"/>
        <v>0</v>
      </c>
      <c r="AY64" s="238">
        <f>'PE-HEALTH'!F65</f>
        <v>92</v>
      </c>
      <c r="AZ64" s="270">
        <f>'PE-HEALTH'!J65</f>
        <v>86</v>
      </c>
      <c r="BA64" s="270">
        <f>'PE-HEALTH'!N65</f>
        <v>88</v>
      </c>
      <c r="BB64" s="208">
        <f>'PE-HEALTH'!R65</f>
        <v>95</v>
      </c>
      <c r="BC64" s="242">
        <f t="shared" si="10"/>
        <v>90</v>
      </c>
      <c r="BD64" s="240">
        <f>HEALTH!F65</f>
        <v>0</v>
      </c>
      <c r="BE64" s="270">
        <f>HEALTH!J65</f>
        <v>0</v>
      </c>
      <c r="BF64" s="270">
        <f>HEALTH!N65</f>
        <v>0</v>
      </c>
      <c r="BG64" s="208">
        <f>HEALTH!R65</f>
        <v>0</v>
      </c>
      <c r="BH64" s="241">
        <f t="shared" si="11"/>
        <v>0</v>
      </c>
      <c r="BI64" s="238">
        <f>' MAPEH FINAL'!F65</f>
        <v>92</v>
      </c>
      <c r="BJ64" s="270">
        <f>' MAPEH FINAL'!J65</f>
        <v>86</v>
      </c>
      <c r="BK64" s="270">
        <f>' MAPEH FINAL'!N65</f>
        <v>88</v>
      </c>
      <c r="BL64" s="208">
        <f>' MAPEH FINAL'!R65</f>
        <v>92</v>
      </c>
      <c r="BM64" s="242">
        <f t="shared" si="0"/>
        <v>90</v>
      </c>
      <c r="BN64" s="280">
        <f t="shared" si="12"/>
        <v>86.40625</v>
      </c>
      <c r="BO64" s="281">
        <f t="shared" si="6"/>
        <v>86</v>
      </c>
      <c r="BP64" s="275">
        <f t="shared" si="8"/>
        <v>20</v>
      </c>
      <c r="BQ64" s="275"/>
      <c r="BR64" s="275"/>
      <c r="BS64" s="204">
        <v>14</v>
      </c>
      <c r="BT64" s="119" t="s">
        <v>53</v>
      </c>
      <c r="BU64" s="210"/>
      <c r="BV64" s="275"/>
      <c r="BW64" s="275"/>
      <c r="BX64" s="275"/>
      <c r="BY64" s="275"/>
      <c r="BZ64" s="275"/>
      <c r="CA64" s="275"/>
      <c r="CB64" s="275"/>
      <c r="CC64" s="275"/>
      <c r="CD64" s="275"/>
      <c r="CE64" s="275"/>
      <c r="CF64" s="275"/>
      <c r="CG64" s="275"/>
      <c r="CH64" s="275"/>
      <c r="CI64" s="275"/>
      <c r="CJ64" s="275"/>
      <c r="CK64" s="275"/>
      <c r="CL64" s="275"/>
      <c r="CM64" s="275"/>
      <c r="CN64" s="275"/>
      <c r="CO64" s="275"/>
      <c r="CP64" s="275"/>
      <c r="CQ64" s="275"/>
      <c r="CR64" s="275"/>
      <c r="CS64" s="275"/>
      <c r="CT64" s="275"/>
      <c r="CU64" s="275"/>
      <c r="CV64" s="275"/>
      <c r="CW64" s="275"/>
      <c r="CX64" s="275"/>
      <c r="CY64" s="275"/>
      <c r="CZ64" s="275"/>
      <c r="DA64" s="275"/>
      <c r="DB64" s="275"/>
      <c r="DC64" s="275"/>
      <c r="DD64" s="275"/>
      <c r="DE64" s="275"/>
      <c r="DF64" s="275"/>
      <c r="DG64" s="275"/>
      <c r="DH64" s="275"/>
      <c r="DI64" s="275"/>
      <c r="DJ64" s="275"/>
      <c r="DK64" s="275"/>
      <c r="DL64" s="275"/>
      <c r="DM64" s="275"/>
      <c r="DN64" s="275"/>
      <c r="DO64" s="275"/>
      <c r="DP64" s="275"/>
      <c r="DQ64" s="275"/>
      <c r="DR64" s="275"/>
      <c r="DS64" s="275"/>
      <c r="DT64" s="275"/>
      <c r="DU64" s="275"/>
    </row>
    <row r="65" s="168" customFormat="1" ht="18" customHeight="1" spans="1:125">
      <c r="A65" s="204">
        <f>'INPUT DATA'!A67</f>
        <v>15</v>
      </c>
      <c r="B65" s="205" t="str">
        <f>'INPUT DATA'!B67:D67</f>
        <v>MASAYON, RHEA JANE L.</v>
      </c>
      <c r="C65" s="206"/>
      <c r="D65" s="206"/>
      <c r="E65" s="206"/>
      <c r="F65" s="207">
        <f>FILIPINO!F62</f>
        <v>70</v>
      </c>
      <c r="G65" s="208">
        <f>FILIPINO!J62</f>
        <v>75</v>
      </c>
      <c r="H65" s="208">
        <f>FILIPINO!N62</f>
        <v>75</v>
      </c>
      <c r="I65" s="208">
        <f>FILIPINO!R62</f>
        <v>78</v>
      </c>
      <c r="J65" s="237">
        <f>FILIPINO!V62</f>
        <v>74.5</v>
      </c>
      <c r="K65" s="238">
        <f>ENGLISH!F66</f>
        <v>84</v>
      </c>
      <c r="L65" s="208">
        <f>ENGLISH!J66</f>
        <v>75</v>
      </c>
      <c r="M65" s="208">
        <f>ENGLISH!N66</f>
        <v>75</v>
      </c>
      <c r="N65" s="208">
        <f>ENGLISH!R66</f>
        <v>77</v>
      </c>
      <c r="O65" s="242">
        <f>ENGLISH!V66</f>
        <v>77.75</v>
      </c>
      <c r="P65" s="240">
        <f>MATHEMATICS!F66</f>
        <v>80</v>
      </c>
      <c r="Q65" s="208">
        <f>MATHEMATICS!J66</f>
        <v>83</v>
      </c>
      <c r="R65" s="208">
        <f>MATHEMATICS!N66</f>
        <v>84</v>
      </c>
      <c r="S65" s="208">
        <f>MATHEMATICS!R66</f>
        <v>84</v>
      </c>
      <c r="T65" s="241">
        <f>MATHEMATICS!V66</f>
        <v>82.75</v>
      </c>
      <c r="U65" s="238">
        <f>SCIENCE!F66</f>
        <v>82</v>
      </c>
      <c r="V65" s="208">
        <f>SCIENCE!J66</f>
        <v>81</v>
      </c>
      <c r="W65" s="209">
        <f>SCIENCE!N66</f>
        <v>77</v>
      </c>
      <c r="X65" s="254">
        <f>SCIENCE!R66</f>
        <v>76</v>
      </c>
      <c r="Y65" s="242">
        <f>SCIENCE!V66</f>
        <v>79</v>
      </c>
      <c r="Z65" s="240">
        <f>AP!F66</f>
        <v>83</v>
      </c>
      <c r="AA65" s="208">
        <f>AP!J66</f>
        <v>79</v>
      </c>
      <c r="AB65" s="208">
        <f>AP!N66</f>
        <v>77</v>
      </c>
      <c r="AC65" s="208">
        <f>AP!R66</f>
        <v>75</v>
      </c>
      <c r="AD65" s="241">
        <f>AP!V66</f>
        <v>78.5</v>
      </c>
      <c r="AE65" s="240">
        <f>VALED!F66</f>
        <v>80</v>
      </c>
      <c r="AF65" s="254">
        <f>VALED!J66</f>
        <v>75</v>
      </c>
      <c r="AG65" s="254">
        <f>VALED!N66</f>
        <v>75</v>
      </c>
      <c r="AH65" s="208">
        <f>VALED!R66</f>
        <v>80</v>
      </c>
      <c r="AI65" s="242">
        <f>VALED!V66</f>
        <v>77.5</v>
      </c>
      <c r="AJ65" s="268">
        <f>TLE!F66</f>
        <v>78</v>
      </c>
      <c r="AK65" s="208">
        <f>TLE!J66</f>
        <v>73</v>
      </c>
      <c r="AL65" s="208">
        <f>TLE!N66</f>
        <v>75</v>
      </c>
      <c r="AM65" s="208">
        <f>TLE!R66</f>
        <v>81</v>
      </c>
      <c r="AN65" s="241">
        <f>TLE!V66</f>
        <v>76.75</v>
      </c>
      <c r="AO65" s="238">
        <f>'MUSIC-ARTS'!F66</f>
        <v>80</v>
      </c>
      <c r="AP65" s="270">
        <f>'MUSIC-ARTS'!J66</f>
        <v>76</v>
      </c>
      <c r="AQ65" s="270">
        <f>'MUSIC-ARTS'!N66</f>
        <v>73</v>
      </c>
      <c r="AR65" s="208">
        <f>'MUSIC-ARTS'!R66</f>
        <v>75</v>
      </c>
      <c r="AS65" s="242">
        <f t="shared" si="13"/>
        <v>76</v>
      </c>
      <c r="AT65" s="240">
        <f>ARTS!F66</f>
        <v>0</v>
      </c>
      <c r="AU65" s="270">
        <f>ARTS!J66</f>
        <v>0</v>
      </c>
      <c r="AV65" s="270">
        <f>ARTS!N66</f>
        <v>0</v>
      </c>
      <c r="AW65" s="208">
        <f>ARTS!R66</f>
        <v>0</v>
      </c>
      <c r="AX65" s="241">
        <f t="shared" si="9"/>
        <v>0</v>
      </c>
      <c r="AY65" s="238">
        <f>'PE-HEALTH'!F66</f>
        <v>81</v>
      </c>
      <c r="AZ65" s="270">
        <f>'PE-HEALTH'!J66</f>
        <v>76</v>
      </c>
      <c r="BA65" s="270">
        <f>'PE-HEALTH'!N66</f>
        <v>75</v>
      </c>
      <c r="BB65" s="208">
        <f>'PE-HEALTH'!R66</f>
        <v>90</v>
      </c>
      <c r="BC65" s="242">
        <f t="shared" si="10"/>
        <v>81</v>
      </c>
      <c r="BD65" s="240">
        <f>HEALTH!F66</f>
        <v>0</v>
      </c>
      <c r="BE65" s="270">
        <f>HEALTH!J66</f>
        <v>0</v>
      </c>
      <c r="BF65" s="270">
        <f>HEALTH!N66</f>
        <v>0</v>
      </c>
      <c r="BG65" s="208">
        <f>HEALTH!R66</f>
        <v>0</v>
      </c>
      <c r="BH65" s="241">
        <f t="shared" si="11"/>
        <v>0</v>
      </c>
      <c r="BI65" s="238">
        <f>' MAPEH FINAL'!F66</f>
        <v>81</v>
      </c>
      <c r="BJ65" s="270">
        <f>' MAPEH FINAL'!J66</f>
        <v>76</v>
      </c>
      <c r="BK65" s="270">
        <f>' MAPEH FINAL'!N66</f>
        <v>74</v>
      </c>
      <c r="BL65" s="208">
        <f>' MAPEH FINAL'!R66</f>
        <v>83</v>
      </c>
      <c r="BM65" s="242">
        <f t="shared" si="0"/>
        <v>79</v>
      </c>
      <c r="BN65" s="280">
        <f t="shared" si="12"/>
        <v>78.21875</v>
      </c>
      <c r="BO65" s="281">
        <f t="shared" si="6"/>
        <v>78</v>
      </c>
      <c r="BP65" s="288">
        <f t="shared" si="8"/>
        <v>30</v>
      </c>
      <c r="BQ65" s="288"/>
      <c r="BR65" s="288"/>
      <c r="BS65" s="204">
        <v>15</v>
      </c>
      <c r="BT65" s="119" t="s">
        <v>54</v>
      </c>
      <c r="BU65" s="206"/>
      <c r="BV65" s="169"/>
      <c r="BW65" s="169"/>
      <c r="BX65" s="169"/>
      <c r="BY65" s="169"/>
      <c r="BZ65" s="169"/>
      <c r="CA65" s="169"/>
      <c r="CB65" s="169"/>
      <c r="CC65" s="169"/>
      <c r="CD65" s="169"/>
      <c r="CE65" s="169"/>
      <c r="CF65" s="169"/>
      <c r="CG65" s="169"/>
      <c r="CH65" s="169"/>
      <c r="CI65" s="169"/>
      <c r="CJ65" s="169"/>
      <c r="CK65" s="169"/>
      <c r="CL65" s="169"/>
      <c r="CM65" s="169"/>
      <c r="CN65" s="169"/>
      <c r="CO65" s="169"/>
      <c r="CP65" s="169"/>
      <c r="CQ65" s="169"/>
      <c r="CR65" s="169"/>
      <c r="CS65" s="169"/>
      <c r="CT65" s="169"/>
      <c r="CU65" s="169"/>
      <c r="CV65" s="169"/>
      <c r="CW65" s="169"/>
      <c r="CX65" s="169"/>
      <c r="CY65" s="169"/>
      <c r="CZ65" s="169"/>
      <c r="DA65" s="169"/>
      <c r="DB65" s="169"/>
      <c r="DC65" s="169"/>
      <c r="DD65" s="169"/>
      <c r="DE65" s="169"/>
      <c r="DF65" s="169"/>
      <c r="DG65" s="169"/>
      <c r="DH65" s="169"/>
      <c r="DI65" s="169"/>
      <c r="DJ65" s="169"/>
      <c r="DK65" s="169"/>
      <c r="DL65" s="169"/>
      <c r="DM65" s="169"/>
      <c r="DN65" s="169"/>
      <c r="DO65" s="169"/>
      <c r="DP65" s="169"/>
      <c r="DQ65" s="169"/>
      <c r="DR65" s="169"/>
      <c r="DS65" s="169"/>
      <c r="DT65" s="169"/>
      <c r="DU65" s="169"/>
    </row>
    <row r="66" s="168" customFormat="1" ht="18" customHeight="1" spans="1:125">
      <c r="A66" s="204">
        <f>'INPUT DATA'!A68</f>
        <v>16</v>
      </c>
      <c r="B66" s="205" t="str">
        <f>'INPUT DATA'!B68:D68</f>
        <v>MORANCIL, JENEVI A.</v>
      </c>
      <c r="C66" s="206"/>
      <c r="D66" s="206"/>
      <c r="E66" s="206"/>
      <c r="F66" s="207">
        <f>FILIPINO!F63</f>
        <v>84</v>
      </c>
      <c r="G66" s="208">
        <f>FILIPINO!J63</f>
        <v>86</v>
      </c>
      <c r="H66" s="208">
        <f>FILIPINO!N63</f>
        <v>84</v>
      </c>
      <c r="I66" s="208">
        <f>FILIPINO!R63</f>
        <v>88</v>
      </c>
      <c r="J66" s="237">
        <f>FILIPINO!V63</f>
        <v>85.5</v>
      </c>
      <c r="K66" s="238">
        <f>ENGLISH!F67</f>
        <v>75</v>
      </c>
      <c r="L66" s="208">
        <f>ENGLISH!J67</f>
        <v>75</v>
      </c>
      <c r="M66" s="208">
        <f>ENGLISH!N67</f>
        <v>86</v>
      </c>
      <c r="N66" s="208">
        <f>ENGLISH!R67</f>
        <v>87</v>
      </c>
      <c r="O66" s="242">
        <f>ENGLISH!V67</f>
        <v>80.75</v>
      </c>
      <c r="P66" s="240">
        <f>MATHEMATICS!F67</f>
        <v>87</v>
      </c>
      <c r="Q66" s="208">
        <f>MATHEMATICS!J67</f>
        <v>89</v>
      </c>
      <c r="R66" s="208">
        <f>MATHEMATICS!N67</f>
        <v>89</v>
      </c>
      <c r="S66" s="208">
        <f>MATHEMATICS!R67</f>
        <v>90</v>
      </c>
      <c r="T66" s="241">
        <f>MATHEMATICS!V67</f>
        <v>88.75</v>
      </c>
      <c r="U66" s="238">
        <f>SCIENCE!F67</f>
        <v>86</v>
      </c>
      <c r="V66" s="208">
        <f>SCIENCE!J67</f>
        <v>90</v>
      </c>
      <c r="W66" s="209">
        <f>SCIENCE!N67</f>
        <v>89</v>
      </c>
      <c r="X66" s="254">
        <f>SCIENCE!R67</f>
        <v>90</v>
      </c>
      <c r="Y66" s="242">
        <f>SCIENCE!V67</f>
        <v>88.75</v>
      </c>
      <c r="Z66" s="240">
        <f>AP!F67</f>
        <v>77</v>
      </c>
      <c r="AA66" s="208">
        <f>AP!J67</f>
        <v>85</v>
      </c>
      <c r="AB66" s="208">
        <f>AP!N67</f>
        <v>81</v>
      </c>
      <c r="AC66" s="208">
        <f>AP!R67</f>
        <v>84</v>
      </c>
      <c r="AD66" s="237">
        <f>AP!V67</f>
        <v>81.75</v>
      </c>
      <c r="AE66" s="240">
        <f>VALED!F67</f>
        <v>85</v>
      </c>
      <c r="AF66" s="254">
        <f>VALED!J67</f>
        <v>87</v>
      </c>
      <c r="AG66" s="254">
        <f>VALED!N67</f>
        <v>92</v>
      </c>
      <c r="AH66" s="208">
        <f>VALED!R67</f>
        <v>93</v>
      </c>
      <c r="AI66" s="239">
        <f>VALED!V67</f>
        <v>89.25</v>
      </c>
      <c r="AJ66" s="268">
        <f>TLE!F67</f>
        <v>85</v>
      </c>
      <c r="AK66" s="208">
        <f>TLE!J67</f>
        <v>89</v>
      </c>
      <c r="AL66" s="208">
        <f>TLE!N67</f>
        <v>86</v>
      </c>
      <c r="AM66" s="208">
        <f>TLE!R67</f>
        <v>89</v>
      </c>
      <c r="AN66" s="237">
        <f>TLE!V67</f>
        <v>87.25</v>
      </c>
      <c r="AO66" s="238">
        <f>'MUSIC-ARTS'!F67</f>
        <v>90</v>
      </c>
      <c r="AP66" s="270">
        <f>'MUSIC-ARTS'!J67</f>
        <v>88</v>
      </c>
      <c r="AQ66" s="270">
        <f>'MUSIC-ARTS'!N67</f>
        <v>90</v>
      </c>
      <c r="AR66" s="208">
        <f>'MUSIC-ARTS'!R67</f>
        <v>90</v>
      </c>
      <c r="AS66" s="239">
        <f t="shared" si="13"/>
        <v>90</v>
      </c>
      <c r="AT66" s="240">
        <f>ARTS!F67</f>
        <v>0</v>
      </c>
      <c r="AU66" s="270">
        <f>ARTS!J67</f>
        <v>0</v>
      </c>
      <c r="AV66" s="270">
        <f>ARTS!N67</f>
        <v>0</v>
      </c>
      <c r="AW66" s="208">
        <f>ARTS!R67</f>
        <v>0</v>
      </c>
      <c r="AX66" s="241">
        <f t="shared" si="9"/>
        <v>0</v>
      </c>
      <c r="AY66" s="238">
        <f>'PE-HEALTH'!F67</f>
        <v>89</v>
      </c>
      <c r="AZ66" s="270">
        <f>'PE-HEALTH'!J67</f>
        <v>90</v>
      </c>
      <c r="BA66" s="270">
        <f>'PE-HEALTH'!N67</f>
        <v>90</v>
      </c>
      <c r="BB66" s="208">
        <f>'PE-HEALTH'!R67</f>
        <v>95</v>
      </c>
      <c r="BC66" s="239">
        <f t="shared" si="10"/>
        <v>91</v>
      </c>
      <c r="BD66" s="240">
        <f>HEALTH!F67</f>
        <v>0</v>
      </c>
      <c r="BE66" s="270">
        <f>HEALTH!J67</f>
        <v>0</v>
      </c>
      <c r="BF66" s="270">
        <f>HEALTH!N67</f>
        <v>0</v>
      </c>
      <c r="BG66" s="208">
        <f>HEALTH!R67</f>
        <v>0</v>
      </c>
      <c r="BH66" s="241">
        <f t="shared" si="11"/>
        <v>0</v>
      </c>
      <c r="BI66" s="238">
        <f>' MAPEH FINAL'!F67</f>
        <v>90</v>
      </c>
      <c r="BJ66" s="270">
        <f>' MAPEH FINAL'!J67</f>
        <v>89</v>
      </c>
      <c r="BK66" s="270">
        <f>' MAPEH FINAL'!N67</f>
        <v>90</v>
      </c>
      <c r="BL66" s="208">
        <f>' MAPEH FINAL'!R67</f>
        <v>93</v>
      </c>
      <c r="BM66" s="239">
        <f t="shared" si="0"/>
        <v>91</v>
      </c>
      <c r="BN66" s="280">
        <f t="shared" si="12"/>
        <v>86.625</v>
      </c>
      <c r="BO66" s="281">
        <f t="shared" si="6"/>
        <v>87</v>
      </c>
      <c r="BP66" s="283">
        <f t="shared" si="8"/>
        <v>14</v>
      </c>
      <c r="BQ66" s="169"/>
      <c r="BR66" s="169"/>
      <c r="BS66" s="204">
        <v>16</v>
      </c>
      <c r="BT66" s="152" t="s">
        <v>55</v>
      </c>
      <c r="BU66" s="206"/>
      <c r="BV66" s="169"/>
      <c r="BW66" s="169"/>
      <c r="BX66" s="169"/>
      <c r="BY66" s="169"/>
      <c r="BZ66" s="169"/>
      <c r="CA66" s="169"/>
      <c r="CB66" s="169"/>
      <c r="CC66" s="169"/>
      <c r="CD66" s="169"/>
      <c r="CE66" s="169"/>
      <c r="CF66" s="169"/>
      <c r="CG66" s="169"/>
      <c r="CH66" s="169"/>
      <c r="CI66" s="169"/>
      <c r="CJ66" s="169"/>
      <c r="CK66" s="169"/>
      <c r="CL66" s="169"/>
      <c r="CM66" s="169"/>
      <c r="CN66" s="169"/>
      <c r="CO66" s="169"/>
      <c r="CP66" s="169"/>
      <c r="CQ66" s="169"/>
      <c r="CR66" s="169"/>
      <c r="CS66" s="169"/>
      <c r="CT66" s="169"/>
      <c r="CU66" s="169"/>
      <c r="CV66" s="169"/>
      <c r="CW66" s="169"/>
      <c r="CX66" s="169"/>
      <c r="CY66" s="169"/>
      <c r="CZ66" s="169"/>
      <c r="DA66" s="169"/>
      <c r="DB66" s="169"/>
      <c r="DC66" s="169"/>
      <c r="DD66" s="169"/>
      <c r="DE66" s="169"/>
      <c r="DF66" s="169"/>
      <c r="DG66" s="169"/>
      <c r="DH66" s="169"/>
      <c r="DI66" s="169"/>
      <c r="DJ66" s="169"/>
      <c r="DK66" s="169"/>
      <c r="DL66" s="169"/>
      <c r="DM66" s="169"/>
      <c r="DN66" s="169"/>
      <c r="DO66" s="169"/>
      <c r="DP66" s="169"/>
      <c r="DQ66" s="169"/>
      <c r="DR66" s="169"/>
      <c r="DS66" s="169"/>
      <c r="DT66" s="169"/>
      <c r="DU66" s="169"/>
    </row>
    <row r="67" s="168" customFormat="1" ht="18" customHeight="1" spans="1:125">
      <c r="A67" s="204">
        <f>'INPUT DATA'!A69</f>
        <v>17</v>
      </c>
      <c r="B67" s="205" t="str">
        <f>'INPUT DATA'!B69:D69</f>
        <v>PATRICIO, MICHA ELLA P.</v>
      </c>
      <c r="C67" s="206"/>
      <c r="D67" s="206"/>
      <c r="E67" s="206"/>
      <c r="F67" s="207">
        <f>FILIPINO!F64</f>
        <v>72</v>
      </c>
      <c r="G67" s="208">
        <f>FILIPINO!J64</f>
        <v>75</v>
      </c>
      <c r="H67" s="208">
        <f>FILIPINO!N64</f>
        <v>75</v>
      </c>
      <c r="I67" s="208">
        <f>FILIPINO!R64</f>
        <v>76</v>
      </c>
      <c r="J67" s="237">
        <f>FILIPINO!V64</f>
        <v>74.5</v>
      </c>
      <c r="K67" s="238">
        <f>ENGLISH!F68</f>
        <v>75</v>
      </c>
      <c r="L67" s="208">
        <f>ENGLISH!J68</f>
        <v>75</v>
      </c>
      <c r="M67" s="208">
        <f>ENGLISH!N68</f>
        <v>75</v>
      </c>
      <c r="N67" s="208">
        <f>ENGLISH!R68</f>
        <v>75</v>
      </c>
      <c r="O67" s="242">
        <f>ENGLISH!V68</f>
        <v>75</v>
      </c>
      <c r="P67" s="240">
        <f>MATHEMATICS!F68</f>
        <v>77</v>
      </c>
      <c r="Q67" s="208">
        <f>MATHEMATICS!J68</f>
        <v>79</v>
      </c>
      <c r="R67" s="208">
        <f>MATHEMATICS!N68</f>
        <v>77</v>
      </c>
      <c r="S67" s="208">
        <f>MATHEMATICS!R68</f>
        <v>77</v>
      </c>
      <c r="T67" s="237">
        <f>MATHEMATICS!V68</f>
        <v>77.5</v>
      </c>
      <c r="U67" s="238">
        <f>SCIENCE!F68</f>
        <v>80</v>
      </c>
      <c r="V67" s="208">
        <f>SCIENCE!J68</f>
        <v>81</v>
      </c>
      <c r="W67" s="209">
        <f>SCIENCE!N68</f>
        <v>81</v>
      </c>
      <c r="X67" s="254">
        <f>SCIENCE!R68</f>
        <v>82</v>
      </c>
      <c r="Y67" s="239">
        <f>SCIENCE!V68</f>
        <v>81</v>
      </c>
      <c r="Z67" s="240">
        <f>AP!F68</f>
        <v>71</v>
      </c>
      <c r="AA67" s="208">
        <f>AP!J68</f>
        <v>75</v>
      </c>
      <c r="AB67" s="208">
        <f>AP!N68</f>
        <v>76</v>
      </c>
      <c r="AC67" s="208">
        <f>AP!R68</f>
        <v>79</v>
      </c>
      <c r="AD67" s="237">
        <f>AP!V68</f>
        <v>75.25</v>
      </c>
      <c r="AE67" s="240">
        <f>VALED!F68</f>
        <v>80</v>
      </c>
      <c r="AF67" s="254">
        <f>VALED!J68</f>
        <v>80</v>
      </c>
      <c r="AG67" s="254">
        <f>VALED!N68</f>
        <v>81</v>
      </c>
      <c r="AH67" s="208">
        <f>VALED!R68</f>
        <v>81</v>
      </c>
      <c r="AI67" s="239">
        <f>VALED!V68</f>
        <v>80.5</v>
      </c>
      <c r="AJ67" s="268">
        <f>TLE!F68</f>
        <v>74</v>
      </c>
      <c r="AK67" s="208">
        <f>TLE!J68</f>
        <v>72</v>
      </c>
      <c r="AL67" s="208">
        <f>TLE!N68</f>
        <v>77</v>
      </c>
      <c r="AM67" s="208">
        <f>TLE!R68</f>
        <v>81</v>
      </c>
      <c r="AN67" s="237">
        <f>TLE!V68</f>
        <v>76</v>
      </c>
      <c r="AO67" s="238">
        <f>'MUSIC-ARTS'!F68</f>
        <v>77</v>
      </c>
      <c r="AP67" s="270">
        <f>'MUSIC-ARTS'!J68</f>
        <v>71</v>
      </c>
      <c r="AQ67" s="270">
        <f>'MUSIC-ARTS'!N68</f>
        <v>77</v>
      </c>
      <c r="AR67" s="208">
        <f>'MUSIC-ARTS'!R68</f>
        <v>80</v>
      </c>
      <c r="AS67" s="239">
        <f t="shared" si="13"/>
        <v>76</v>
      </c>
      <c r="AT67" s="240">
        <f>ARTS!F68</f>
        <v>0</v>
      </c>
      <c r="AU67" s="270">
        <f>ARTS!J68</f>
        <v>0</v>
      </c>
      <c r="AV67" s="270">
        <f>ARTS!N68</f>
        <v>0</v>
      </c>
      <c r="AW67" s="208">
        <f>ARTS!R68</f>
        <v>0</v>
      </c>
      <c r="AX67" s="237">
        <f t="shared" si="9"/>
        <v>0</v>
      </c>
      <c r="AY67" s="238">
        <f>'PE-HEALTH'!F68</f>
        <v>81</v>
      </c>
      <c r="AZ67" s="270">
        <f>'PE-HEALTH'!J68</f>
        <v>73</v>
      </c>
      <c r="BA67" s="270">
        <f>'PE-HEALTH'!N68</f>
        <v>80</v>
      </c>
      <c r="BB67" s="208">
        <f>'PE-HEALTH'!R68</f>
        <v>90</v>
      </c>
      <c r="BC67" s="239">
        <f t="shared" si="10"/>
        <v>81</v>
      </c>
      <c r="BD67" s="240">
        <f>HEALTH!F68</f>
        <v>0</v>
      </c>
      <c r="BE67" s="270">
        <f>HEALTH!J68</f>
        <v>0</v>
      </c>
      <c r="BF67" s="270">
        <f>HEALTH!N68</f>
        <v>0</v>
      </c>
      <c r="BG67" s="208">
        <f>HEALTH!R68</f>
        <v>0</v>
      </c>
      <c r="BH67" s="237">
        <f t="shared" si="11"/>
        <v>0</v>
      </c>
      <c r="BI67" s="238">
        <f>' MAPEH FINAL'!F68</f>
        <v>79</v>
      </c>
      <c r="BJ67" s="270">
        <f>' MAPEH FINAL'!J68</f>
        <v>72</v>
      </c>
      <c r="BK67" s="270">
        <f>' MAPEH FINAL'!N68</f>
        <v>79</v>
      </c>
      <c r="BL67" s="208">
        <f>' MAPEH FINAL'!R68</f>
        <v>85</v>
      </c>
      <c r="BM67" s="239">
        <f t="shared" si="0"/>
        <v>79</v>
      </c>
      <c r="BN67" s="280">
        <f t="shared" si="12"/>
        <v>77.34375</v>
      </c>
      <c r="BO67" s="281">
        <f t="shared" si="6"/>
        <v>77</v>
      </c>
      <c r="BP67" s="169">
        <f t="shared" si="8"/>
        <v>32</v>
      </c>
      <c r="BQ67" s="169"/>
      <c r="BR67" s="169"/>
      <c r="BS67" s="204">
        <v>17</v>
      </c>
      <c r="BT67" s="152" t="s">
        <v>56</v>
      </c>
      <c r="BU67" s="206"/>
      <c r="BV67" s="169"/>
      <c r="BW67" s="169"/>
      <c r="BX67" s="169"/>
      <c r="BY67" s="169"/>
      <c r="BZ67" s="169"/>
      <c r="CA67" s="169"/>
      <c r="CB67" s="169"/>
      <c r="CC67" s="169"/>
      <c r="CD67" s="169"/>
      <c r="CE67" s="169"/>
      <c r="CF67" s="169"/>
      <c r="CG67" s="169"/>
      <c r="CH67" s="169"/>
      <c r="CI67" s="169"/>
      <c r="CJ67" s="169"/>
      <c r="CK67" s="169"/>
      <c r="CL67" s="169"/>
      <c r="CM67" s="169"/>
      <c r="CN67" s="169"/>
      <c r="CO67" s="169"/>
      <c r="CP67" s="169"/>
      <c r="CQ67" s="169"/>
      <c r="CR67" s="169"/>
      <c r="CS67" s="169"/>
      <c r="CT67" s="169"/>
      <c r="CU67" s="169"/>
      <c r="CV67" s="169"/>
      <c r="CW67" s="169"/>
      <c r="CX67" s="169"/>
      <c r="CY67" s="169"/>
      <c r="CZ67" s="169"/>
      <c r="DA67" s="169"/>
      <c r="DB67" s="169"/>
      <c r="DC67" s="169"/>
      <c r="DD67" s="169"/>
      <c r="DE67" s="169"/>
      <c r="DF67" s="169"/>
      <c r="DG67" s="169"/>
      <c r="DH67" s="169"/>
      <c r="DI67" s="169"/>
      <c r="DJ67" s="169"/>
      <c r="DK67" s="169"/>
      <c r="DL67" s="169"/>
      <c r="DM67" s="169"/>
      <c r="DN67" s="169"/>
      <c r="DO67" s="169"/>
      <c r="DP67" s="169"/>
      <c r="DQ67" s="169"/>
      <c r="DR67" s="169"/>
      <c r="DS67" s="169"/>
      <c r="DT67" s="169"/>
      <c r="DU67" s="169"/>
    </row>
    <row r="68" s="168" customFormat="1" ht="18" customHeight="1" spans="1:125">
      <c r="A68" s="204">
        <f>'INPUT DATA'!A70</f>
        <v>18</v>
      </c>
      <c r="B68" s="205" t="str">
        <f>'INPUT DATA'!B70:D70</f>
        <v>PELINGON , ASHLEY C.</v>
      </c>
      <c r="C68" s="206"/>
      <c r="D68" s="206"/>
      <c r="E68" s="206"/>
      <c r="F68" s="207">
        <f>FILIPINO!F65</f>
        <v>88</v>
      </c>
      <c r="G68" s="208">
        <f>FILIPINO!J65</f>
        <v>83</v>
      </c>
      <c r="H68" s="208">
        <f>FILIPINO!N65</f>
        <v>81</v>
      </c>
      <c r="I68" s="208">
        <f>FILIPINO!R65</f>
        <v>77</v>
      </c>
      <c r="J68" s="237">
        <f>FILIPINO!V65</f>
        <v>82.25</v>
      </c>
      <c r="K68" s="238">
        <f>ENGLISH!F69</f>
        <v>80</v>
      </c>
      <c r="L68" s="208">
        <f>ENGLISH!J69</f>
        <v>84</v>
      </c>
      <c r="M68" s="208">
        <f>ENGLISH!N69</f>
        <v>87</v>
      </c>
      <c r="N68" s="208">
        <f>ENGLISH!R69</f>
        <v>87</v>
      </c>
      <c r="O68" s="239">
        <f>ENGLISH!V69</f>
        <v>84.5</v>
      </c>
      <c r="P68" s="240">
        <f>MATHEMATICS!F69</f>
        <v>82</v>
      </c>
      <c r="Q68" s="208">
        <f>MATHEMATICS!J69</f>
        <v>85</v>
      </c>
      <c r="R68" s="208">
        <f>MATHEMATICS!N69</f>
        <v>85</v>
      </c>
      <c r="S68" s="208">
        <f>MATHEMATICS!R69</f>
        <v>86</v>
      </c>
      <c r="T68" s="237">
        <f>MATHEMATICS!V69</f>
        <v>84.5</v>
      </c>
      <c r="U68" s="238">
        <f>SCIENCE!F69</f>
        <v>88</v>
      </c>
      <c r="V68" s="208">
        <f>SCIENCE!J69</f>
        <v>87</v>
      </c>
      <c r="W68" s="209">
        <f>SCIENCE!N69</f>
        <v>86</v>
      </c>
      <c r="X68" s="254">
        <f>SCIENCE!R69</f>
        <v>87</v>
      </c>
      <c r="Y68" s="239">
        <f>SCIENCE!V69</f>
        <v>87</v>
      </c>
      <c r="Z68" s="240">
        <f>AP!F69</f>
        <v>82</v>
      </c>
      <c r="AA68" s="208">
        <f>AP!J69</f>
        <v>83</v>
      </c>
      <c r="AB68" s="208">
        <f>AP!N69</f>
        <v>82</v>
      </c>
      <c r="AC68" s="208">
        <f>AP!R69</f>
        <v>85</v>
      </c>
      <c r="AD68" s="237">
        <f>AP!V69</f>
        <v>83</v>
      </c>
      <c r="AE68" s="240">
        <f>VALED!F69</f>
        <v>86</v>
      </c>
      <c r="AF68" s="254">
        <f>VALED!J69</f>
        <v>87</v>
      </c>
      <c r="AG68" s="254">
        <f>VALED!N69</f>
        <v>90</v>
      </c>
      <c r="AH68" s="208">
        <f>VALED!R69</f>
        <v>91</v>
      </c>
      <c r="AI68" s="239">
        <f>VALED!V69</f>
        <v>88.5</v>
      </c>
      <c r="AJ68" s="268">
        <f>TLE!F69</f>
        <v>81</v>
      </c>
      <c r="AK68" s="208">
        <f>TLE!J69</f>
        <v>80</v>
      </c>
      <c r="AL68" s="208">
        <f>TLE!N69</f>
        <v>76</v>
      </c>
      <c r="AM68" s="208">
        <f>TLE!R69</f>
        <v>83</v>
      </c>
      <c r="AN68" s="237">
        <f>TLE!V69</f>
        <v>80</v>
      </c>
      <c r="AO68" s="238">
        <f>'MUSIC-ARTS'!F69</f>
        <v>86</v>
      </c>
      <c r="AP68" s="270">
        <f>'MUSIC-ARTS'!J69</f>
        <v>83</v>
      </c>
      <c r="AQ68" s="270">
        <f>'MUSIC-ARTS'!N69</f>
        <v>84</v>
      </c>
      <c r="AR68" s="208">
        <f>'MUSIC-ARTS'!R69</f>
        <v>85</v>
      </c>
      <c r="AS68" s="239">
        <f t="shared" si="13"/>
        <v>85</v>
      </c>
      <c r="AT68" s="240">
        <f>ARTS!F69</f>
        <v>0</v>
      </c>
      <c r="AU68" s="270">
        <f>ARTS!J69</f>
        <v>0</v>
      </c>
      <c r="AV68" s="270">
        <f>ARTS!N69</f>
        <v>0</v>
      </c>
      <c r="AW68" s="208">
        <f>ARTS!R69</f>
        <v>0</v>
      </c>
      <c r="AX68" s="237">
        <f t="shared" si="9"/>
        <v>0</v>
      </c>
      <c r="AY68" s="238">
        <f>'PE-HEALTH'!F69</f>
        <v>88</v>
      </c>
      <c r="AZ68" s="270">
        <f>'PE-HEALTH'!J69</f>
        <v>84</v>
      </c>
      <c r="BA68" s="270">
        <f>'PE-HEALTH'!N69</f>
        <v>85</v>
      </c>
      <c r="BB68" s="208">
        <f>'PE-HEALTH'!R69</f>
        <v>90</v>
      </c>
      <c r="BC68" s="239">
        <f t="shared" si="10"/>
        <v>87</v>
      </c>
      <c r="BD68" s="240">
        <f>HEALTH!F69</f>
        <v>0</v>
      </c>
      <c r="BE68" s="270">
        <f>HEALTH!J69</f>
        <v>0</v>
      </c>
      <c r="BF68" s="270">
        <f>HEALTH!N69</f>
        <v>0</v>
      </c>
      <c r="BG68" s="208">
        <f>HEALTH!R69</f>
        <v>0</v>
      </c>
      <c r="BH68" s="237">
        <f t="shared" si="11"/>
        <v>0</v>
      </c>
      <c r="BI68" s="238">
        <f>' MAPEH FINAL'!F69</f>
        <v>87</v>
      </c>
      <c r="BJ68" s="270">
        <f>' MAPEH FINAL'!J69</f>
        <v>84</v>
      </c>
      <c r="BK68" s="270">
        <f>' MAPEH FINAL'!N69</f>
        <v>85</v>
      </c>
      <c r="BL68" s="208">
        <f>' MAPEH FINAL'!R69</f>
        <v>88</v>
      </c>
      <c r="BM68" s="239">
        <f t="shared" si="0"/>
        <v>86</v>
      </c>
      <c r="BN68" s="280">
        <f t="shared" si="12"/>
        <v>84.46875</v>
      </c>
      <c r="BO68" s="281">
        <f t="shared" si="6"/>
        <v>84</v>
      </c>
      <c r="BP68" s="282">
        <f t="shared" si="8"/>
        <v>14</v>
      </c>
      <c r="BQ68" s="169"/>
      <c r="BR68" s="169"/>
      <c r="BS68" s="204">
        <v>18</v>
      </c>
      <c r="BT68" s="119" t="s">
        <v>57</v>
      </c>
      <c r="BU68" s="206"/>
      <c r="BV68" s="169"/>
      <c r="BW68" s="169"/>
      <c r="BX68" s="169"/>
      <c r="BY68" s="169"/>
      <c r="BZ68" s="169"/>
      <c r="CA68" s="169"/>
      <c r="CB68" s="169"/>
      <c r="CC68" s="169"/>
      <c r="CD68" s="169"/>
      <c r="CE68" s="169"/>
      <c r="CF68" s="169"/>
      <c r="CG68" s="169"/>
      <c r="CH68" s="169"/>
      <c r="CI68" s="169"/>
      <c r="CJ68" s="169"/>
      <c r="CK68" s="169"/>
      <c r="CL68" s="169"/>
      <c r="CM68" s="169"/>
      <c r="CN68" s="169"/>
      <c r="CO68" s="169"/>
      <c r="CP68" s="169"/>
      <c r="CQ68" s="169"/>
      <c r="CR68" s="169"/>
      <c r="CS68" s="169"/>
      <c r="CT68" s="169"/>
      <c r="CU68" s="169"/>
      <c r="CV68" s="169"/>
      <c r="CW68" s="169"/>
      <c r="CX68" s="169"/>
      <c r="CY68" s="169"/>
      <c r="CZ68" s="169"/>
      <c r="DA68" s="169"/>
      <c r="DB68" s="169"/>
      <c r="DC68" s="169"/>
      <c r="DD68" s="169"/>
      <c r="DE68" s="169"/>
      <c r="DF68" s="169"/>
      <c r="DG68" s="169"/>
      <c r="DH68" s="169"/>
      <c r="DI68" s="169"/>
      <c r="DJ68" s="169"/>
      <c r="DK68" s="169"/>
      <c r="DL68" s="169"/>
      <c r="DM68" s="169"/>
      <c r="DN68" s="169"/>
      <c r="DO68" s="169"/>
      <c r="DP68" s="169"/>
      <c r="DQ68" s="169"/>
      <c r="DR68" s="169"/>
      <c r="DS68" s="169"/>
      <c r="DT68" s="169"/>
      <c r="DU68" s="169"/>
    </row>
    <row r="69" s="168" customFormat="1" ht="18" customHeight="1" spans="1:125">
      <c r="A69" s="204">
        <f>'INPUT DATA'!A71</f>
        <v>19</v>
      </c>
      <c r="B69" s="205" t="str">
        <f>'INPUT DATA'!B71:D71</f>
        <v>PEREZ, MERCY JEAN T.</v>
      </c>
      <c r="C69" s="206"/>
      <c r="D69" s="206"/>
      <c r="E69" s="206"/>
      <c r="F69" s="207">
        <f>FILIPINO!F66</f>
        <v>70</v>
      </c>
      <c r="G69" s="208">
        <f>FILIPINO!J66</f>
        <v>75</v>
      </c>
      <c r="H69" s="208">
        <f>FILIPINO!N66</f>
        <v>74</v>
      </c>
      <c r="I69" s="208">
        <f>FILIPINO!R66</f>
        <v>79</v>
      </c>
      <c r="J69" s="237">
        <f>FILIPINO!V66</f>
        <v>74.5</v>
      </c>
      <c r="K69" s="238">
        <f>ENGLISH!F70</f>
        <v>75</v>
      </c>
      <c r="L69" s="208">
        <f>ENGLISH!J70</f>
        <v>75</v>
      </c>
      <c r="M69" s="208">
        <f>ENGLISH!N70</f>
        <v>77</v>
      </c>
      <c r="N69" s="208">
        <f>ENGLISH!R70</f>
        <v>78</v>
      </c>
      <c r="O69" s="239">
        <f>ENGLISH!V70</f>
        <v>76.25</v>
      </c>
      <c r="P69" s="240">
        <f>MATHEMATICS!F70</f>
        <v>79</v>
      </c>
      <c r="Q69" s="208">
        <f>MATHEMATICS!J70</f>
        <v>81</v>
      </c>
      <c r="R69" s="208">
        <f>MATHEMATICS!N70</f>
        <v>81</v>
      </c>
      <c r="S69" s="208">
        <f>MATHEMATICS!R70</f>
        <v>82</v>
      </c>
      <c r="T69" s="237">
        <f>MATHEMATICS!V70</f>
        <v>80.75</v>
      </c>
      <c r="U69" s="238">
        <f>SCIENCE!F70</f>
        <v>80</v>
      </c>
      <c r="V69" s="208">
        <f>SCIENCE!J70</f>
        <v>75</v>
      </c>
      <c r="W69" s="209">
        <f>SCIENCE!N70</f>
        <v>75</v>
      </c>
      <c r="X69" s="254">
        <f>SCIENCE!R70</f>
        <v>76</v>
      </c>
      <c r="Y69" s="239">
        <f>SCIENCE!V70</f>
        <v>76.5</v>
      </c>
      <c r="Z69" s="240">
        <f>AP!F70</f>
        <v>71</v>
      </c>
      <c r="AA69" s="208">
        <f>AP!J70</f>
        <v>75</v>
      </c>
      <c r="AB69" s="208">
        <f>AP!N70</f>
        <v>75</v>
      </c>
      <c r="AC69" s="208">
        <f>AP!R70</f>
        <v>81</v>
      </c>
      <c r="AD69" s="237">
        <f>AP!V70</f>
        <v>75.5</v>
      </c>
      <c r="AE69" s="240">
        <f>VALED!F70</f>
        <v>80</v>
      </c>
      <c r="AF69" s="254">
        <f>VALED!J70</f>
        <v>80</v>
      </c>
      <c r="AG69" s="254">
        <f>VALED!N70</f>
        <v>83</v>
      </c>
      <c r="AH69" s="208">
        <f>VALED!R70</f>
        <v>83</v>
      </c>
      <c r="AI69" s="239">
        <f>VALED!V70</f>
        <v>81.5</v>
      </c>
      <c r="AJ69" s="268">
        <f>TLE!F70</f>
        <v>75</v>
      </c>
      <c r="AK69" s="208">
        <f>TLE!J70</f>
        <v>73</v>
      </c>
      <c r="AL69" s="208">
        <f>TLE!N70</f>
        <v>74</v>
      </c>
      <c r="AM69" s="208">
        <f>TLE!R70</f>
        <v>81</v>
      </c>
      <c r="AN69" s="237">
        <f>TLE!V70</f>
        <v>75.75</v>
      </c>
      <c r="AO69" s="238">
        <f>'MUSIC-ARTS'!F70</f>
        <v>81</v>
      </c>
      <c r="AP69" s="270">
        <f>'MUSIC-ARTS'!J70</f>
        <v>75</v>
      </c>
      <c r="AQ69" s="270">
        <f>'MUSIC-ARTS'!N70</f>
        <v>77</v>
      </c>
      <c r="AR69" s="208">
        <f>'MUSIC-ARTS'!R70</f>
        <v>77</v>
      </c>
      <c r="AS69" s="239">
        <f t="shared" si="13"/>
        <v>78</v>
      </c>
      <c r="AT69" s="240">
        <f>ARTS!F70</f>
        <v>0</v>
      </c>
      <c r="AU69" s="270">
        <f>ARTS!J70</f>
        <v>0</v>
      </c>
      <c r="AV69" s="270">
        <f>ARTS!N70</f>
        <v>0</v>
      </c>
      <c r="AW69" s="208">
        <f>ARTS!R70</f>
        <v>0</v>
      </c>
      <c r="AX69" s="237">
        <f t="shared" si="9"/>
        <v>0</v>
      </c>
      <c r="AY69" s="238">
        <f>'PE-HEALTH'!F70</f>
        <v>83</v>
      </c>
      <c r="AZ69" s="270">
        <f>'PE-HEALTH'!J70</f>
        <v>77</v>
      </c>
      <c r="BA69" s="270">
        <f>'PE-HEALTH'!N70</f>
        <v>77</v>
      </c>
      <c r="BB69" s="208">
        <f>'PE-HEALTH'!R70</f>
        <v>90</v>
      </c>
      <c r="BC69" s="239">
        <f t="shared" si="10"/>
        <v>82</v>
      </c>
      <c r="BD69" s="240">
        <f>HEALTH!F70</f>
        <v>0</v>
      </c>
      <c r="BE69" s="270">
        <f>HEALTH!J70</f>
        <v>0</v>
      </c>
      <c r="BF69" s="270">
        <f>HEALTH!N70</f>
        <v>0</v>
      </c>
      <c r="BG69" s="208">
        <f>HEALTH!R70</f>
        <v>0</v>
      </c>
      <c r="BH69" s="237">
        <f t="shared" si="11"/>
        <v>0</v>
      </c>
      <c r="BI69" s="238">
        <f>' MAPEH FINAL'!F70</f>
        <v>82</v>
      </c>
      <c r="BJ69" s="270">
        <f>' MAPEH FINAL'!J70</f>
        <v>76</v>
      </c>
      <c r="BK69" s="270">
        <f>' MAPEH FINAL'!N70</f>
        <v>77</v>
      </c>
      <c r="BL69" s="208">
        <f>' MAPEH FINAL'!R70</f>
        <v>84</v>
      </c>
      <c r="BM69" s="239">
        <f t="shared" si="0"/>
        <v>80</v>
      </c>
      <c r="BN69" s="280">
        <f t="shared" si="12"/>
        <v>77.59375</v>
      </c>
      <c r="BO69" s="281">
        <f t="shared" si="6"/>
        <v>78</v>
      </c>
      <c r="BP69" s="169"/>
      <c r="BQ69" s="169"/>
      <c r="BR69" s="169"/>
      <c r="BS69" s="204">
        <v>19</v>
      </c>
      <c r="BT69" s="152" t="s">
        <v>58</v>
      </c>
      <c r="BU69" s="206"/>
      <c r="BV69" s="169"/>
      <c r="BW69" s="169"/>
      <c r="BX69" s="169"/>
      <c r="BY69" s="169"/>
      <c r="BZ69" s="169"/>
      <c r="CA69" s="169"/>
      <c r="CB69" s="169"/>
      <c r="CC69" s="169"/>
      <c r="CD69" s="169"/>
      <c r="CE69" s="169"/>
      <c r="CF69" s="169"/>
      <c r="CG69" s="169"/>
      <c r="CH69" s="169"/>
      <c r="CI69" s="169"/>
      <c r="CJ69" s="169"/>
      <c r="CK69" s="169"/>
      <c r="CL69" s="169"/>
      <c r="CM69" s="169"/>
      <c r="CN69" s="169"/>
      <c r="CO69" s="169"/>
      <c r="CP69" s="169"/>
      <c r="CQ69" s="169"/>
      <c r="CR69" s="169"/>
      <c r="CS69" s="169"/>
      <c r="CT69" s="169"/>
      <c r="CU69" s="169"/>
      <c r="CV69" s="169"/>
      <c r="CW69" s="169"/>
      <c r="CX69" s="169"/>
      <c r="CY69" s="169"/>
      <c r="CZ69" s="169"/>
      <c r="DA69" s="169"/>
      <c r="DB69" s="169"/>
      <c r="DC69" s="169"/>
      <c r="DD69" s="169"/>
      <c r="DE69" s="169"/>
      <c r="DF69" s="169"/>
      <c r="DG69" s="169"/>
      <c r="DH69" s="169"/>
      <c r="DI69" s="169"/>
      <c r="DJ69" s="169"/>
      <c r="DK69" s="169"/>
      <c r="DL69" s="169"/>
      <c r="DM69" s="169"/>
      <c r="DN69" s="169"/>
      <c r="DO69" s="169"/>
      <c r="DP69" s="169"/>
      <c r="DQ69" s="169"/>
      <c r="DR69" s="169"/>
      <c r="DS69" s="169"/>
      <c r="DT69" s="169"/>
      <c r="DU69" s="169"/>
    </row>
    <row r="70" s="168" customFormat="1" ht="18" customHeight="1" spans="1:125">
      <c r="A70" s="204">
        <f>'INPUT DATA'!A72</f>
        <v>20</v>
      </c>
      <c r="B70" s="205" t="str">
        <f>'INPUT DATA'!B72:D72</f>
        <v>PINGOT, RHEA L.</v>
      </c>
      <c r="C70" s="206"/>
      <c r="D70" s="206"/>
      <c r="E70" s="206"/>
      <c r="F70" s="207">
        <f>FILIPINO!F67</f>
        <v>70</v>
      </c>
      <c r="G70" s="208">
        <f>FILIPINO!J67</f>
        <v>74</v>
      </c>
      <c r="H70" s="208">
        <f>FILIPINO!N67</f>
        <v>74</v>
      </c>
      <c r="I70" s="208">
        <f>FILIPINO!R67</f>
        <v>61</v>
      </c>
      <c r="J70" s="237">
        <f>FILIPINO!V67</f>
        <v>69.75</v>
      </c>
      <c r="K70" s="238">
        <f>ENGLISH!F71</f>
        <v>0</v>
      </c>
      <c r="L70" s="208">
        <f>ENGLISH!J71</f>
        <v>0</v>
      </c>
      <c r="M70" s="208">
        <f>ENGLISH!N71</f>
        <v>0</v>
      </c>
      <c r="N70" s="208">
        <f>ENGLISH!R71</f>
        <v>0</v>
      </c>
      <c r="O70" s="239">
        <f>ENGLISH!V71</f>
        <v>0</v>
      </c>
      <c r="P70" s="240">
        <f>MATHEMATICS!F71</f>
        <v>80</v>
      </c>
      <c r="Q70" s="208">
        <f>MATHEMATICS!J71</f>
        <v>83</v>
      </c>
      <c r="R70" s="208">
        <f>MATHEMATICS!N71</f>
        <v>83</v>
      </c>
      <c r="S70" s="208">
        <f>MATHEMATICS!R71</f>
        <v>84</v>
      </c>
      <c r="T70" s="237">
        <f>MATHEMATICS!V71</f>
        <v>82.5</v>
      </c>
      <c r="U70" s="238">
        <f>SCIENCE!F71</f>
        <v>75</v>
      </c>
      <c r="V70" s="208">
        <f>SCIENCE!J71</f>
        <v>70</v>
      </c>
      <c r="W70" s="209">
        <f>SCIENCE!N71</f>
        <v>70</v>
      </c>
      <c r="X70" s="254">
        <f>SCIENCE!R71</f>
        <v>70</v>
      </c>
      <c r="Y70" s="239">
        <f>SCIENCE!V71</f>
        <v>71.25</v>
      </c>
      <c r="Z70" s="240">
        <f>AP!F71</f>
        <v>71</v>
      </c>
      <c r="AA70" s="208">
        <f>AP!J71</f>
        <v>70</v>
      </c>
      <c r="AB70" s="208">
        <f>AP!N71</f>
        <v>70</v>
      </c>
      <c r="AC70" s="208">
        <f>AP!R71</f>
        <v>65</v>
      </c>
      <c r="AD70" s="237">
        <f>AP!V71</f>
        <v>69</v>
      </c>
      <c r="AE70" s="240">
        <f>VALED!F71</f>
        <v>75</v>
      </c>
      <c r="AF70" s="254">
        <f>VALED!J71</f>
        <v>75</v>
      </c>
      <c r="AG70" s="254">
        <f>VALED!N71</f>
        <v>75</v>
      </c>
      <c r="AH70" s="208">
        <f>VALED!R71</f>
        <v>60</v>
      </c>
      <c r="AI70" s="239">
        <f>VALED!V71</f>
        <v>71.25</v>
      </c>
      <c r="AJ70" s="268">
        <f>TLE!F71</f>
        <v>70</v>
      </c>
      <c r="AK70" s="208">
        <f>TLE!J71</f>
        <v>70</v>
      </c>
      <c r="AL70" s="208">
        <f>TLE!N71</f>
        <v>70</v>
      </c>
      <c r="AM70" s="208">
        <f>TLE!R71</f>
        <v>70</v>
      </c>
      <c r="AN70" s="237">
        <f>TLE!V71</f>
        <v>70</v>
      </c>
      <c r="AO70" s="238">
        <f>'MUSIC-ARTS'!F71</f>
        <v>81</v>
      </c>
      <c r="AP70" s="270">
        <f>'MUSIC-ARTS'!J71</f>
        <v>73</v>
      </c>
      <c r="AQ70" s="270">
        <f>'MUSIC-ARTS'!N71</f>
        <v>70</v>
      </c>
      <c r="AR70" s="208">
        <f>'MUSIC-ARTS'!R71</f>
        <v>70</v>
      </c>
      <c r="AS70" s="239">
        <f t="shared" si="13"/>
        <v>74</v>
      </c>
      <c r="AT70" s="240">
        <f>ARTS!F71</f>
        <v>0</v>
      </c>
      <c r="AU70" s="270">
        <f>ARTS!J71</f>
        <v>0</v>
      </c>
      <c r="AV70" s="270">
        <f>ARTS!N71</f>
        <v>0</v>
      </c>
      <c r="AW70" s="208">
        <f>ARTS!R71</f>
        <v>0</v>
      </c>
      <c r="AX70" s="237">
        <f t="shared" si="9"/>
        <v>0</v>
      </c>
      <c r="AY70" s="238">
        <f>'PE-HEALTH'!F71</f>
        <v>81</v>
      </c>
      <c r="AZ70" s="270">
        <f>'PE-HEALTH'!J71</f>
        <v>73</v>
      </c>
      <c r="BA70" s="270">
        <f>'PE-HEALTH'!N71</f>
        <v>72</v>
      </c>
      <c r="BB70" s="208">
        <f>'PE-HEALTH'!R71</f>
        <v>70</v>
      </c>
      <c r="BC70" s="239">
        <f t="shared" si="10"/>
        <v>74</v>
      </c>
      <c r="BD70" s="240">
        <f>HEALTH!F71</f>
        <v>0</v>
      </c>
      <c r="BE70" s="270">
        <f>HEALTH!J71</f>
        <v>0</v>
      </c>
      <c r="BF70" s="270">
        <f>HEALTH!N71</f>
        <v>0</v>
      </c>
      <c r="BG70" s="208">
        <f>HEALTH!R71</f>
        <v>0</v>
      </c>
      <c r="BH70" s="237">
        <f t="shared" si="11"/>
        <v>0</v>
      </c>
      <c r="BI70" s="238">
        <f>' MAPEH FINAL'!F71</f>
        <v>81</v>
      </c>
      <c r="BJ70" s="270">
        <f>' MAPEH FINAL'!J71</f>
        <v>73</v>
      </c>
      <c r="BK70" s="270">
        <f>' MAPEH FINAL'!N71</f>
        <v>71</v>
      </c>
      <c r="BL70" s="208">
        <f>' MAPEH FINAL'!R71</f>
        <v>70</v>
      </c>
      <c r="BM70" s="239">
        <f t="shared" si="0"/>
        <v>74</v>
      </c>
      <c r="BN70" s="280">
        <f t="shared" si="12"/>
        <v>63.46875</v>
      </c>
      <c r="BO70" s="281">
        <f t="shared" si="6"/>
        <v>63</v>
      </c>
      <c r="BP70" s="169"/>
      <c r="BQ70" s="169"/>
      <c r="BR70" s="169"/>
      <c r="BS70" s="204">
        <v>20</v>
      </c>
      <c r="BT70" s="152" t="s">
        <v>59</v>
      </c>
      <c r="BU70" s="206"/>
      <c r="BV70" s="169"/>
      <c r="BW70" s="169"/>
      <c r="BX70" s="169"/>
      <c r="BY70" s="169"/>
      <c r="BZ70" s="169"/>
      <c r="CA70" s="169"/>
      <c r="CB70" s="169"/>
      <c r="CC70" s="169"/>
      <c r="CD70" s="169"/>
      <c r="CE70" s="169"/>
      <c r="CF70" s="169"/>
      <c r="CG70" s="169"/>
      <c r="CH70" s="169"/>
      <c r="CI70" s="169"/>
      <c r="CJ70" s="169"/>
      <c r="CK70" s="169"/>
      <c r="CL70" s="169"/>
      <c r="CM70" s="169"/>
      <c r="CN70" s="169"/>
      <c r="CO70" s="169"/>
      <c r="CP70" s="169"/>
      <c r="CQ70" s="169"/>
      <c r="CR70" s="169"/>
      <c r="CS70" s="169"/>
      <c r="CT70" s="169"/>
      <c r="CU70" s="169"/>
      <c r="CV70" s="169"/>
      <c r="CW70" s="169"/>
      <c r="CX70" s="169"/>
      <c r="CY70" s="169"/>
      <c r="CZ70" s="169"/>
      <c r="DA70" s="169"/>
      <c r="DB70" s="169"/>
      <c r="DC70" s="169"/>
      <c r="DD70" s="169"/>
      <c r="DE70" s="169"/>
      <c r="DF70" s="169"/>
      <c r="DG70" s="169"/>
      <c r="DH70" s="169"/>
      <c r="DI70" s="169"/>
      <c r="DJ70" s="169"/>
      <c r="DK70" s="169"/>
      <c r="DL70" s="169"/>
      <c r="DM70" s="169"/>
      <c r="DN70" s="169"/>
      <c r="DO70" s="169"/>
      <c r="DP70" s="169"/>
      <c r="DQ70" s="169"/>
      <c r="DR70" s="169"/>
      <c r="DS70" s="169"/>
      <c r="DT70" s="169"/>
      <c r="DU70" s="169"/>
    </row>
    <row r="71" s="168" customFormat="1" ht="18" customHeight="1" spans="1:125">
      <c r="A71" s="204">
        <f>'INPUT DATA'!A73</f>
        <v>21</v>
      </c>
      <c r="B71" s="205" t="str">
        <f>'INPUT DATA'!B73:D73</f>
        <v>QUILAT, FERRA MAE</v>
      </c>
      <c r="C71" s="206"/>
      <c r="D71" s="206"/>
      <c r="E71" s="206"/>
      <c r="F71" s="207">
        <f>FILIPINO!F68</f>
        <v>74</v>
      </c>
      <c r="G71" s="208">
        <f>FILIPINO!J68</f>
        <v>75</v>
      </c>
      <c r="H71" s="208">
        <f>FILIPINO!N68</f>
        <v>75</v>
      </c>
      <c r="I71" s="208">
        <f>FILIPINO!R68</f>
        <v>75</v>
      </c>
      <c r="J71" s="237">
        <f>FILIPINO!V68</f>
        <v>74.75</v>
      </c>
      <c r="K71" s="238">
        <f>ENGLISH!F72</f>
        <v>75</v>
      </c>
      <c r="L71" s="208">
        <f>ENGLISH!J72</f>
        <v>73</v>
      </c>
      <c r="M71" s="208">
        <f>ENGLISH!N72</f>
        <v>76</v>
      </c>
      <c r="N71" s="208">
        <f>ENGLISH!R72</f>
        <v>77</v>
      </c>
      <c r="O71" s="239">
        <f>ENGLISH!V72</f>
        <v>75.25</v>
      </c>
      <c r="P71" s="240">
        <f>MATHEMATICS!F72</f>
        <v>77</v>
      </c>
      <c r="Q71" s="208">
        <f>MATHEMATICS!J72</f>
        <v>77</v>
      </c>
      <c r="R71" s="208">
        <f>MATHEMATICS!N72</f>
        <v>74</v>
      </c>
      <c r="S71" s="208">
        <f>MATHEMATICS!R72</f>
        <v>74</v>
      </c>
      <c r="T71" s="237">
        <f>MATHEMATICS!V72</f>
        <v>75.5</v>
      </c>
      <c r="U71" s="238">
        <f>SCIENCE!F72</f>
        <v>75</v>
      </c>
      <c r="V71" s="208">
        <f>SCIENCE!J72</f>
        <v>74</v>
      </c>
      <c r="W71" s="209">
        <f>SCIENCE!N72</f>
        <v>74</v>
      </c>
      <c r="X71" s="254">
        <f>SCIENCE!R72</f>
        <v>77</v>
      </c>
      <c r="Y71" s="239">
        <f>SCIENCE!V72</f>
        <v>75</v>
      </c>
      <c r="Z71" s="240">
        <f>AP!F72</f>
        <v>71</v>
      </c>
      <c r="AA71" s="208">
        <f>AP!J72</f>
        <v>75</v>
      </c>
      <c r="AB71" s="208">
        <f>AP!N72</f>
        <v>73</v>
      </c>
      <c r="AC71" s="208">
        <f>AP!R72</f>
        <v>79</v>
      </c>
      <c r="AD71" s="237">
        <f>AP!V72</f>
        <v>74.5</v>
      </c>
      <c r="AE71" s="240">
        <f>VALED!F72</f>
        <v>80</v>
      </c>
      <c r="AF71" s="254">
        <f>VALED!J72</f>
        <v>76</v>
      </c>
      <c r="AG71" s="254">
        <f>VALED!N72</f>
        <v>76</v>
      </c>
      <c r="AH71" s="208">
        <f>VALED!R72</f>
        <v>80</v>
      </c>
      <c r="AI71" s="239">
        <f>VALED!V72</f>
        <v>78</v>
      </c>
      <c r="AJ71" s="268">
        <f>TLE!F72</f>
        <v>74</v>
      </c>
      <c r="AK71" s="208">
        <f>TLE!J72</f>
        <v>75</v>
      </c>
      <c r="AL71" s="208">
        <f>TLE!N72</f>
        <v>77</v>
      </c>
      <c r="AM71" s="208">
        <f>TLE!R72</f>
        <v>78</v>
      </c>
      <c r="AN71" s="237">
        <f>TLE!V72</f>
        <v>76</v>
      </c>
      <c r="AO71" s="238">
        <f>'MUSIC-ARTS'!F72</f>
        <v>79</v>
      </c>
      <c r="AP71" s="270">
        <f>'MUSIC-ARTS'!J72</f>
        <v>70</v>
      </c>
      <c r="AQ71" s="270">
        <f>'MUSIC-ARTS'!N72</f>
        <v>72</v>
      </c>
      <c r="AR71" s="208">
        <f>'MUSIC-ARTS'!R72</f>
        <v>77</v>
      </c>
      <c r="AS71" s="239">
        <f t="shared" si="13"/>
        <v>75</v>
      </c>
      <c r="AT71" s="240">
        <f>ARTS!F72</f>
        <v>0</v>
      </c>
      <c r="AU71" s="270">
        <f>ARTS!J72</f>
        <v>0</v>
      </c>
      <c r="AV71" s="270">
        <f>ARTS!N72</f>
        <v>0</v>
      </c>
      <c r="AW71" s="208">
        <f>ARTS!R72</f>
        <v>0</v>
      </c>
      <c r="AX71" s="237">
        <f t="shared" si="9"/>
        <v>0</v>
      </c>
      <c r="AY71" s="238">
        <f>'PE-HEALTH'!F72</f>
        <v>78</v>
      </c>
      <c r="AZ71" s="270">
        <f>'PE-HEALTH'!J72</f>
        <v>70</v>
      </c>
      <c r="BA71" s="270">
        <f>'PE-HEALTH'!N72</f>
        <v>73</v>
      </c>
      <c r="BB71" s="208">
        <f>'PE-HEALTH'!R72</f>
        <v>77</v>
      </c>
      <c r="BC71" s="239">
        <f t="shared" si="10"/>
        <v>75</v>
      </c>
      <c r="BD71" s="240">
        <f>HEALTH!F72</f>
        <v>0</v>
      </c>
      <c r="BE71" s="270">
        <f>HEALTH!J72</f>
        <v>0</v>
      </c>
      <c r="BF71" s="270">
        <f>HEALTH!N72</f>
        <v>0</v>
      </c>
      <c r="BG71" s="208">
        <f>HEALTH!R72</f>
        <v>0</v>
      </c>
      <c r="BH71" s="237">
        <f t="shared" si="11"/>
        <v>0</v>
      </c>
      <c r="BI71" s="238">
        <f>' MAPEH FINAL'!F72</f>
        <v>79</v>
      </c>
      <c r="BJ71" s="270">
        <f>' MAPEH FINAL'!J72</f>
        <v>70</v>
      </c>
      <c r="BK71" s="270">
        <f>' MAPEH FINAL'!N72</f>
        <v>73</v>
      </c>
      <c r="BL71" s="208">
        <f>' MAPEH FINAL'!R72</f>
        <v>77</v>
      </c>
      <c r="BM71" s="239">
        <f t="shared" si="0"/>
        <v>75</v>
      </c>
      <c r="BN71" s="280">
        <f t="shared" si="12"/>
        <v>75.5</v>
      </c>
      <c r="BO71" s="281">
        <f t="shared" si="6"/>
        <v>76</v>
      </c>
      <c r="BP71" s="169"/>
      <c r="BQ71" s="169"/>
      <c r="BR71" s="169"/>
      <c r="BS71" s="204">
        <v>21</v>
      </c>
      <c r="BT71" s="117" t="s">
        <v>60</v>
      </c>
      <c r="BU71" s="206"/>
      <c r="BV71" s="169"/>
      <c r="BW71" s="169"/>
      <c r="BX71" s="169"/>
      <c r="BY71" s="169"/>
      <c r="BZ71" s="169"/>
      <c r="CA71" s="169"/>
      <c r="CB71" s="169"/>
      <c r="CC71" s="169"/>
      <c r="CD71" s="169"/>
      <c r="CE71" s="169"/>
      <c r="CF71" s="169"/>
      <c r="CG71" s="169"/>
      <c r="CH71" s="169"/>
      <c r="CI71" s="169"/>
      <c r="CJ71" s="169"/>
      <c r="CK71" s="169"/>
      <c r="CL71" s="169"/>
      <c r="CM71" s="169"/>
      <c r="CN71" s="169"/>
      <c r="CO71" s="169"/>
      <c r="CP71" s="169"/>
      <c r="CQ71" s="169"/>
      <c r="CR71" s="169"/>
      <c r="CS71" s="169"/>
      <c r="CT71" s="169"/>
      <c r="CU71" s="169"/>
      <c r="CV71" s="169"/>
      <c r="CW71" s="169"/>
      <c r="CX71" s="169"/>
      <c r="CY71" s="169"/>
      <c r="CZ71" s="169"/>
      <c r="DA71" s="169"/>
      <c r="DB71" s="169"/>
      <c r="DC71" s="169"/>
      <c r="DD71" s="169"/>
      <c r="DE71" s="169"/>
      <c r="DF71" s="169"/>
      <c r="DG71" s="169"/>
      <c r="DH71" s="169"/>
      <c r="DI71" s="169"/>
      <c r="DJ71" s="169"/>
      <c r="DK71" s="169"/>
      <c r="DL71" s="169"/>
      <c r="DM71" s="169"/>
      <c r="DN71" s="169"/>
      <c r="DO71" s="169"/>
      <c r="DP71" s="169"/>
      <c r="DQ71" s="169"/>
      <c r="DR71" s="169"/>
      <c r="DS71" s="169"/>
      <c r="DT71" s="169"/>
      <c r="DU71" s="169"/>
    </row>
    <row r="72" s="168" customFormat="1" ht="18" customHeight="1" spans="1:125">
      <c r="A72" s="204">
        <f>'INPUT DATA'!A74</f>
        <v>22</v>
      </c>
      <c r="B72" s="205" t="str">
        <f>'INPUT DATA'!B74:D74</f>
        <v>ROSALES, RYZA MAE C.</v>
      </c>
      <c r="C72" s="206"/>
      <c r="D72" s="206"/>
      <c r="E72" s="206"/>
      <c r="F72" s="207">
        <f>FILIPINO!F69</f>
        <v>89</v>
      </c>
      <c r="G72" s="208">
        <f>FILIPINO!J69</f>
        <v>88</v>
      </c>
      <c r="H72" s="208">
        <f>FILIPINO!N69</f>
        <v>89</v>
      </c>
      <c r="I72" s="208">
        <f>FILIPINO!R69</f>
        <v>93</v>
      </c>
      <c r="J72" s="237">
        <f>FILIPINO!V69</f>
        <v>89.75</v>
      </c>
      <c r="K72" s="238">
        <f>ENGLISH!F73</f>
        <v>86</v>
      </c>
      <c r="L72" s="208">
        <f>ENGLISH!J73</f>
        <v>84</v>
      </c>
      <c r="M72" s="208">
        <f>ENGLISH!N73</f>
        <v>89</v>
      </c>
      <c r="N72" s="208">
        <f>ENGLISH!R73</f>
        <v>90</v>
      </c>
      <c r="O72" s="239">
        <f>ENGLISH!V73</f>
        <v>87.25</v>
      </c>
      <c r="P72" s="240">
        <f>MATHEMATICS!F73</f>
        <v>85</v>
      </c>
      <c r="Q72" s="208">
        <f>MATHEMATICS!J73</f>
        <v>88</v>
      </c>
      <c r="R72" s="208">
        <f>MATHEMATICS!N73</f>
        <v>89</v>
      </c>
      <c r="S72" s="208">
        <f>MATHEMATICS!R73</f>
        <v>89</v>
      </c>
      <c r="T72" s="237">
        <f>MATHEMATICS!V73</f>
        <v>87.75</v>
      </c>
      <c r="U72" s="238">
        <f>SCIENCE!F73</f>
        <v>88</v>
      </c>
      <c r="V72" s="208">
        <f>SCIENCE!J73</f>
        <v>90</v>
      </c>
      <c r="W72" s="209">
        <f>SCIENCE!N73</f>
        <v>89</v>
      </c>
      <c r="X72" s="254">
        <f>SCIENCE!R73</f>
        <v>89</v>
      </c>
      <c r="Y72" s="239">
        <f>SCIENCE!V73</f>
        <v>89</v>
      </c>
      <c r="Z72" s="240">
        <f>AP!F73</f>
        <v>80</v>
      </c>
      <c r="AA72" s="208">
        <f>AP!J73</f>
        <v>86</v>
      </c>
      <c r="AB72" s="208">
        <f>AP!N73</f>
        <v>84</v>
      </c>
      <c r="AC72" s="208">
        <f>AP!R73</f>
        <v>88</v>
      </c>
      <c r="AD72" s="237">
        <f>AP!V73</f>
        <v>84.5</v>
      </c>
      <c r="AE72" s="240">
        <f>VALED!F73</f>
        <v>80</v>
      </c>
      <c r="AF72" s="254">
        <f>VALED!J73</f>
        <v>92</v>
      </c>
      <c r="AG72" s="254">
        <f>VALED!N73</f>
        <v>92</v>
      </c>
      <c r="AH72" s="208">
        <f>VALED!R73</f>
        <v>94</v>
      </c>
      <c r="AI72" s="239">
        <f>VALED!V73</f>
        <v>89.5</v>
      </c>
      <c r="AJ72" s="268">
        <f>TLE!F73</f>
        <v>88</v>
      </c>
      <c r="AK72" s="208">
        <f>TLE!J73</f>
        <v>91</v>
      </c>
      <c r="AL72" s="208">
        <f>TLE!N73</f>
        <v>87</v>
      </c>
      <c r="AM72" s="208">
        <f>TLE!R73</f>
        <v>90</v>
      </c>
      <c r="AN72" s="237">
        <f>TLE!V73</f>
        <v>89</v>
      </c>
      <c r="AO72" s="238">
        <f>'MUSIC-ARTS'!F73</f>
        <v>84</v>
      </c>
      <c r="AP72" s="270">
        <f>'MUSIC-ARTS'!J73</f>
        <v>80</v>
      </c>
      <c r="AQ72" s="270">
        <f>'MUSIC-ARTS'!N73</f>
        <v>84</v>
      </c>
      <c r="AR72" s="208">
        <f>'MUSIC-ARTS'!R73</f>
        <v>86</v>
      </c>
      <c r="AS72" s="239">
        <f t="shared" si="13"/>
        <v>84</v>
      </c>
      <c r="AT72" s="240">
        <f>ARTS!F73</f>
        <v>0</v>
      </c>
      <c r="AU72" s="270">
        <f>ARTS!J73</f>
        <v>0</v>
      </c>
      <c r="AV72" s="270">
        <f>ARTS!N73</f>
        <v>0</v>
      </c>
      <c r="AW72" s="208">
        <f>ARTS!R73</f>
        <v>0</v>
      </c>
      <c r="AX72" s="237">
        <f t="shared" si="9"/>
        <v>0</v>
      </c>
      <c r="AY72" s="238">
        <f>'PE-HEALTH'!F73</f>
        <v>91</v>
      </c>
      <c r="AZ72" s="270">
        <f>'PE-HEALTH'!J73</f>
        <v>84</v>
      </c>
      <c r="BA72" s="270">
        <f>'PE-HEALTH'!N73</f>
        <v>87</v>
      </c>
      <c r="BB72" s="208">
        <f>'PE-HEALTH'!R73</f>
        <v>90</v>
      </c>
      <c r="BC72" s="239">
        <f t="shared" si="10"/>
        <v>88</v>
      </c>
      <c r="BD72" s="240">
        <f>HEALTH!F73</f>
        <v>0</v>
      </c>
      <c r="BE72" s="270">
        <f>HEALTH!J73</f>
        <v>0</v>
      </c>
      <c r="BF72" s="270">
        <f>HEALTH!N73</f>
        <v>0</v>
      </c>
      <c r="BG72" s="208">
        <f>HEALTH!R73</f>
        <v>0</v>
      </c>
      <c r="BH72" s="237">
        <f t="shared" si="11"/>
        <v>0</v>
      </c>
      <c r="BI72" s="238">
        <f>' MAPEH FINAL'!F73</f>
        <v>88</v>
      </c>
      <c r="BJ72" s="270">
        <f>' MAPEH FINAL'!J73</f>
        <v>82</v>
      </c>
      <c r="BK72" s="270">
        <f>' MAPEH FINAL'!N73</f>
        <v>86</v>
      </c>
      <c r="BL72" s="208">
        <f>' MAPEH FINAL'!R73</f>
        <v>88</v>
      </c>
      <c r="BM72" s="239">
        <f t="shared" si="0"/>
        <v>86</v>
      </c>
      <c r="BN72" s="280">
        <f t="shared" si="12"/>
        <v>87.84375</v>
      </c>
      <c r="BO72" s="281">
        <f t="shared" si="6"/>
        <v>88</v>
      </c>
      <c r="BP72" s="169"/>
      <c r="BQ72" s="169"/>
      <c r="BR72" s="169"/>
      <c r="BS72" s="204">
        <v>22</v>
      </c>
      <c r="BT72" s="292" t="s">
        <v>61</v>
      </c>
      <c r="BU72" s="206"/>
      <c r="BV72" s="169"/>
      <c r="BW72" s="169"/>
      <c r="BX72" s="169"/>
      <c r="BY72" s="169"/>
      <c r="BZ72" s="169"/>
      <c r="CA72" s="169"/>
      <c r="CB72" s="169"/>
      <c r="CC72" s="169"/>
      <c r="CD72" s="169"/>
      <c r="CE72" s="169"/>
      <c r="CF72" s="169"/>
      <c r="CG72" s="169"/>
      <c r="CH72" s="169"/>
      <c r="CI72" s="169"/>
      <c r="CJ72" s="169"/>
      <c r="CK72" s="169"/>
      <c r="CL72" s="169"/>
      <c r="CM72" s="169"/>
      <c r="CN72" s="169"/>
      <c r="CO72" s="169"/>
      <c r="CP72" s="169"/>
      <c r="CQ72" s="169"/>
      <c r="CR72" s="169"/>
      <c r="CS72" s="169"/>
      <c r="CT72" s="169"/>
      <c r="CU72" s="169"/>
      <c r="CV72" s="169"/>
      <c r="CW72" s="169"/>
      <c r="CX72" s="169"/>
      <c r="CY72" s="169"/>
      <c r="CZ72" s="169"/>
      <c r="DA72" s="169"/>
      <c r="DB72" s="169"/>
      <c r="DC72" s="169"/>
      <c r="DD72" s="169"/>
      <c r="DE72" s="169"/>
      <c r="DF72" s="169"/>
      <c r="DG72" s="169"/>
      <c r="DH72" s="169"/>
      <c r="DI72" s="169"/>
      <c r="DJ72" s="169"/>
      <c r="DK72" s="169"/>
      <c r="DL72" s="169"/>
      <c r="DM72" s="169"/>
      <c r="DN72" s="169"/>
      <c r="DO72" s="169"/>
      <c r="DP72" s="169"/>
      <c r="DQ72" s="169"/>
      <c r="DR72" s="169"/>
      <c r="DS72" s="169"/>
      <c r="DT72" s="169"/>
      <c r="DU72" s="169"/>
    </row>
    <row r="73" s="168" customFormat="1" ht="18" customHeight="1" spans="1:125">
      <c r="A73" s="204">
        <f>'INPUT DATA'!A75</f>
        <v>23</v>
      </c>
      <c r="B73" s="205">
        <f>'INPUT DATA'!B75:D75</f>
        <v>0</v>
      </c>
      <c r="C73" s="206"/>
      <c r="D73" s="206"/>
      <c r="E73" s="206"/>
      <c r="F73" s="207"/>
      <c r="G73" s="208"/>
      <c r="H73" s="208"/>
      <c r="I73" s="208"/>
      <c r="J73" s="237"/>
      <c r="K73" s="238"/>
      <c r="L73" s="208"/>
      <c r="M73" s="208"/>
      <c r="N73" s="208"/>
      <c r="O73" s="239"/>
      <c r="P73" s="240"/>
      <c r="Q73" s="208"/>
      <c r="R73" s="208"/>
      <c r="S73" s="208"/>
      <c r="T73" s="237"/>
      <c r="U73" s="238"/>
      <c r="V73" s="208"/>
      <c r="W73" s="209"/>
      <c r="X73" s="254"/>
      <c r="Y73" s="239"/>
      <c r="Z73" s="240"/>
      <c r="AA73" s="208"/>
      <c r="AB73" s="208"/>
      <c r="AC73" s="208"/>
      <c r="AD73" s="237"/>
      <c r="AE73" s="240"/>
      <c r="AF73" s="254"/>
      <c r="AG73" s="254"/>
      <c r="AH73" s="208"/>
      <c r="AI73" s="239"/>
      <c r="AJ73" s="268"/>
      <c r="AK73" s="208"/>
      <c r="AL73" s="208"/>
      <c r="AM73" s="208"/>
      <c r="AN73" s="237"/>
      <c r="AO73" s="238"/>
      <c r="AP73" s="270"/>
      <c r="AQ73" s="270"/>
      <c r="AR73" s="208"/>
      <c r="AS73" s="239"/>
      <c r="AT73" s="240"/>
      <c r="AU73" s="270"/>
      <c r="AV73" s="270"/>
      <c r="AW73" s="208"/>
      <c r="AX73" s="237"/>
      <c r="AY73" s="238"/>
      <c r="AZ73" s="270"/>
      <c r="BA73" s="270"/>
      <c r="BB73" s="208"/>
      <c r="BC73" s="239"/>
      <c r="BD73" s="240"/>
      <c r="BE73" s="270"/>
      <c r="BF73" s="270"/>
      <c r="BG73" s="208"/>
      <c r="BH73" s="237"/>
      <c r="BI73" s="238"/>
      <c r="BJ73" s="270"/>
      <c r="BK73" s="270"/>
      <c r="BL73" s="208"/>
      <c r="BM73" s="239"/>
      <c r="BN73" s="280"/>
      <c r="BO73" s="281"/>
      <c r="BP73" s="169"/>
      <c r="BQ73" s="169"/>
      <c r="BR73" s="169"/>
      <c r="BS73" s="204">
        <v>23</v>
      </c>
      <c r="BT73" s="205">
        <f>'INPUT DATA'!BT75:BV75</f>
        <v>0</v>
      </c>
      <c r="BU73" s="206"/>
      <c r="BV73" s="169"/>
      <c r="BW73" s="169"/>
      <c r="BX73" s="169"/>
      <c r="BY73" s="169"/>
      <c r="BZ73" s="169"/>
      <c r="CA73" s="169"/>
      <c r="CB73" s="169"/>
      <c r="CC73" s="169"/>
      <c r="CD73" s="169"/>
      <c r="CE73" s="169"/>
      <c r="CF73" s="169"/>
      <c r="CG73" s="169"/>
      <c r="CH73" s="169"/>
      <c r="CI73" s="169"/>
      <c r="CJ73" s="169"/>
      <c r="CK73" s="169"/>
      <c r="CL73" s="169"/>
      <c r="CM73" s="169"/>
      <c r="CN73" s="169"/>
      <c r="CO73" s="169"/>
      <c r="CP73" s="169"/>
      <c r="CQ73" s="169"/>
      <c r="CR73" s="169"/>
      <c r="CS73" s="169"/>
      <c r="CT73" s="169"/>
      <c r="CU73" s="169"/>
      <c r="CV73" s="169"/>
      <c r="CW73" s="169"/>
      <c r="CX73" s="169"/>
      <c r="CY73" s="169"/>
      <c r="CZ73" s="169"/>
      <c r="DA73" s="169"/>
      <c r="DB73" s="169"/>
      <c r="DC73" s="169"/>
      <c r="DD73" s="169"/>
      <c r="DE73" s="169"/>
      <c r="DF73" s="169"/>
      <c r="DG73" s="169"/>
      <c r="DH73" s="169"/>
      <c r="DI73" s="169"/>
      <c r="DJ73" s="169"/>
      <c r="DK73" s="169"/>
      <c r="DL73" s="169"/>
      <c r="DM73" s="169"/>
      <c r="DN73" s="169"/>
      <c r="DO73" s="169"/>
      <c r="DP73" s="169"/>
      <c r="DQ73" s="169"/>
      <c r="DR73" s="169"/>
      <c r="DS73" s="169"/>
      <c r="DT73" s="169"/>
      <c r="DU73" s="169"/>
    </row>
    <row r="74" s="168" customFormat="1" ht="18" customHeight="1" spans="1:125">
      <c r="A74" s="204">
        <f>'INPUT DATA'!A76</f>
        <v>24</v>
      </c>
      <c r="B74" s="205">
        <f>'INPUT DATA'!B76:D76</f>
        <v>0</v>
      </c>
      <c r="C74" s="206"/>
      <c r="D74" s="206"/>
      <c r="E74" s="206"/>
      <c r="F74" s="207"/>
      <c r="G74" s="208"/>
      <c r="H74" s="208"/>
      <c r="I74" s="208"/>
      <c r="J74" s="237"/>
      <c r="K74" s="238"/>
      <c r="L74" s="208"/>
      <c r="M74" s="208"/>
      <c r="N74" s="208"/>
      <c r="O74" s="239"/>
      <c r="P74" s="240"/>
      <c r="Q74" s="208"/>
      <c r="R74" s="208"/>
      <c r="S74" s="208"/>
      <c r="T74" s="237"/>
      <c r="U74" s="238"/>
      <c r="V74" s="208"/>
      <c r="W74" s="209"/>
      <c r="X74" s="254"/>
      <c r="Y74" s="239"/>
      <c r="Z74" s="240"/>
      <c r="AA74" s="208"/>
      <c r="AB74" s="208"/>
      <c r="AC74" s="208"/>
      <c r="AD74" s="237"/>
      <c r="AE74" s="240"/>
      <c r="AF74" s="254"/>
      <c r="AG74" s="254"/>
      <c r="AH74" s="208"/>
      <c r="AI74" s="239"/>
      <c r="AJ74" s="268"/>
      <c r="AK74" s="208"/>
      <c r="AL74" s="208"/>
      <c r="AM74" s="208"/>
      <c r="AN74" s="237"/>
      <c r="AO74" s="238"/>
      <c r="AP74" s="270"/>
      <c r="AQ74" s="270"/>
      <c r="AR74" s="208"/>
      <c r="AS74" s="239"/>
      <c r="AT74" s="240"/>
      <c r="AU74" s="270"/>
      <c r="AV74" s="270"/>
      <c r="AW74" s="208"/>
      <c r="AX74" s="237"/>
      <c r="AY74" s="238"/>
      <c r="AZ74" s="270"/>
      <c r="BA74" s="270"/>
      <c r="BB74" s="208"/>
      <c r="BC74" s="239"/>
      <c r="BD74" s="240"/>
      <c r="BE74" s="270"/>
      <c r="BF74" s="270"/>
      <c r="BG74" s="208"/>
      <c r="BH74" s="237"/>
      <c r="BI74" s="238"/>
      <c r="BJ74" s="270"/>
      <c r="BK74" s="270"/>
      <c r="BL74" s="208"/>
      <c r="BM74" s="239"/>
      <c r="BN74" s="280"/>
      <c r="BO74" s="281"/>
      <c r="BP74" s="169"/>
      <c r="BQ74" s="169"/>
      <c r="BR74" s="169"/>
      <c r="BS74" s="204">
        <v>24</v>
      </c>
      <c r="BT74" s="205">
        <f>'INPUT DATA'!BT76:BV76</f>
        <v>0</v>
      </c>
      <c r="BU74" s="206"/>
      <c r="BV74" s="169"/>
      <c r="BW74" s="169"/>
      <c r="BX74" s="169"/>
      <c r="BY74" s="169"/>
      <c r="BZ74" s="169"/>
      <c r="CA74" s="169"/>
      <c r="CB74" s="169"/>
      <c r="CC74" s="169"/>
      <c r="CD74" s="169"/>
      <c r="CE74" s="169"/>
      <c r="CF74" s="169"/>
      <c r="CG74" s="169"/>
      <c r="CH74" s="169"/>
      <c r="CI74" s="169"/>
      <c r="CJ74" s="169"/>
      <c r="CK74" s="169"/>
      <c r="CL74" s="169"/>
      <c r="CM74" s="169"/>
      <c r="CN74" s="169"/>
      <c r="CO74" s="169"/>
      <c r="CP74" s="169"/>
      <c r="CQ74" s="169"/>
      <c r="CR74" s="169"/>
      <c r="CS74" s="169"/>
      <c r="CT74" s="169"/>
      <c r="CU74" s="169"/>
      <c r="CV74" s="169"/>
      <c r="CW74" s="169"/>
      <c r="CX74" s="169"/>
      <c r="CY74" s="169"/>
      <c r="CZ74" s="169"/>
      <c r="DA74" s="169"/>
      <c r="DB74" s="169"/>
      <c r="DC74" s="169"/>
      <c r="DD74" s="169"/>
      <c r="DE74" s="169"/>
      <c r="DF74" s="169"/>
      <c r="DG74" s="169"/>
      <c r="DH74" s="169"/>
      <c r="DI74" s="169"/>
      <c r="DJ74" s="169"/>
      <c r="DK74" s="169"/>
      <c r="DL74" s="169"/>
      <c r="DM74" s="169"/>
      <c r="DN74" s="169"/>
      <c r="DO74" s="169"/>
      <c r="DP74" s="169"/>
      <c r="DQ74" s="169"/>
      <c r="DR74" s="169"/>
      <c r="DS74" s="169"/>
      <c r="DT74" s="169"/>
      <c r="DU74" s="169"/>
    </row>
    <row r="75" s="168" customFormat="1" ht="18" customHeight="1" spans="1:125">
      <c r="A75" s="168">
        <f>'INPUT DATA'!A77</f>
        <v>25</v>
      </c>
      <c r="B75" s="290">
        <f>'INPUT DATA'!B77:D77</f>
        <v>0</v>
      </c>
      <c r="C75" s="206"/>
      <c r="D75" s="206"/>
      <c r="E75" s="206"/>
      <c r="F75" s="207"/>
      <c r="G75" s="208"/>
      <c r="H75" s="208"/>
      <c r="I75" s="208"/>
      <c r="J75" s="237"/>
      <c r="K75" s="238"/>
      <c r="L75" s="208"/>
      <c r="M75" s="208"/>
      <c r="N75" s="208"/>
      <c r="O75" s="239"/>
      <c r="P75" s="240"/>
      <c r="Q75" s="208"/>
      <c r="R75" s="208"/>
      <c r="S75" s="208"/>
      <c r="T75" s="237"/>
      <c r="U75" s="238"/>
      <c r="V75" s="208"/>
      <c r="W75" s="209"/>
      <c r="X75" s="254"/>
      <c r="Y75" s="239"/>
      <c r="Z75" s="240"/>
      <c r="AA75" s="208"/>
      <c r="AB75" s="208"/>
      <c r="AC75" s="208"/>
      <c r="AD75" s="237"/>
      <c r="AE75" s="240"/>
      <c r="AF75" s="254"/>
      <c r="AG75" s="254"/>
      <c r="AH75" s="208"/>
      <c r="AI75" s="239"/>
      <c r="AJ75" s="268"/>
      <c r="AK75" s="208"/>
      <c r="AL75" s="208"/>
      <c r="AM75" s="208"/>
      <c r="AN75" s="237"/>
      <c r="AO75" s="238"/>
      <c r="AP75" s="270"/>
      <c r="AQ75" s="270"/>
      <c r="AR75" s="208"/>
      <c r="AS75" s="239"/>
      <c r="AT75" s="240"/>
      <c r="AU75" s="270"/>
      <c r="AV75" s="270"/>
      <c r="AW75" s="208"/>
      <c r="AX75" s="237"/>
      <c r="AY75" s="238"/>
      <c r="AZ75" s="270"/>
      <c r="BA75" s="270"/>
      <c r="BB75" s="208"/>
      <c r="BC75" s="239"/>
      <c r="BD75" s="240"/>
      <c r="BE75" s="270"/>
      <c r="BF75" s="270"/>
      <c r="BG75" s="208"/>
      <c r="BH75" s="237"/>
      <c r="BI75" s="238"/>
      <c r="BJ75" s="270"/>
      <c r="BK75" s="270"/>
      <c r="BL75" s="208"/>
      <c r="BM75" s="239"/>
      <c r="BN75" s="280"/>
      <c r="BO75" s="281"/>
      <c r="BP75" s="169"/>
      <c r="BQ75" s="169"/>
      <c r="BR75" s="169"/>
      <c r="BS75" s="204">
        <v>25</v>
      </c>
      <c r="BT75" s="290">
        <f>'INPUT DATA'!BT77:BV77</f>
        <v>0</v>
      </c>
      <c r="BU75" s="206"/>
      <c r="BV75" s="169"/>
      <c r="BW75" s="169"/>
      <c r="BX75" s="169"/>
      <c r="BY75" s="169"/>
      <c r="BZ75" s="169"/>
      <c r="CA75" s="169"/>
      <c r="CB75" s="169"/>
      <c r="CC75" s="169"/>
      <c r="CD75" s="169"/>
      <c r="CE75" s="169"/>
      <c r="CF75" s="169"/>
      <c r="CG75" s="169"/>
      <c r="CH75" s="169"/>
      <c r="CI75" s="169"/>
      <c r="CJ75" s="169"/>
      <c r="CK75" s="169"/>
      <c r="CL75" s="169"/>
      <c r="CM75" s="169"/>
      <c r="CN75" s="169"/>
      <c r="CO75" s="169"/>
      <c r="CP75" s="169"/>
      <c r="CQ75" s="169"/>
      <c r="CR75" s="169"/>
      <c r="CS75" s="169"/>
      <c r="CT75" s="169"/>
      <c r="CU75" s="169"/>
      <c r="CV75" s="169"/>
      <c r="CW75" s="169"/>
      <c r="CX75" s="169"/>
      <c r="CY75" s="169"/>
      <c r="CZ75" s="169"/>
      <c r="DA75" s="169"/>
      <c r="DB75" s="169"/>
      <c r="DC75" s="169"/>
      <c r="DD75" s="169"/>
      <c r="DE75" s="169"/>
      <c r="DF75" s="169"/>
      <c r="DG75" s="169"/>
      <c r="DH75" s="169"/>
      <c r="DI75" s="169"/>
      <c r="DJ75" s="169"/>
      <c r="DK75" s="169"/>
      <c r="DL75" s="169"/>
      <c r="DM75" s="169"/>
      <c r="DN75" s="169"/>
      <c r="DO75" s="169"/>
      <c r="DP75" s="169"/>
      <c r="DQ75" s="169"/>
      <c r="DR75" s="169"/>
      <c r="DS75" s="169"/>
      <c r="DT75" s="169"/>
      <c r="DU75" s="169"/>
    </row>
    <row r="76" hidden="1" spans="1:67">
      <c r="A76" s="291">
        <v>26</v>
      </c>
      <c r="B76" s="290">
        <f>'INPUT DATA'!B78:D78</f>
        <v>0</v>
      </c>
      <c r="F76" s="207"/>
      <c r="G76" s="208"/>
      <c r="H76" s="208"/>
      <c r="I76" s="208"/>
      <c r="J76" s="237"/>
      <c r="K76" s="238"/>
      <c r="L76" s="208"/>
      <c r="M76" s="208"/>
      <c r="N76" s="208"/>
      <c r="O76" s="239"/>
      <c r="P76" s="240"/>
      <c r="Q76" s="208"/>
      <c r="R76" s="208"/>
      <c r="S76" s="208"/>
      <c r="T76" s="237"/>
      <c r="U76" s="238"/>
      <c r="V76" s="208"/>
      <c r="W76" s="209"/>
      <c r="X76" s="254"/>
      <c r="Y76" s="239"/>
      <c r="Z76" s="240"/>
      <c r="AA76" s="208"/>
      <c r="AB76" s="208"/>
      <c r="AC76" s="208"/>
      <c r="AD76" s="237"/>
      <c r="AE76" s="240"/>
      <c r="AF76" s="254"/>
      <c r="AG76" s="254"/>
      <c r="AH76" s="208"/>
      <c r="AI76" s="239"/>
      <c r="AJ76" s="268"/>
      <c r="AK76" s="208"/>
      <c r="AL76" s="208"/>
      <c r="AM76" s="208"/>
      <c r="AN76" s="237"/>
      <c r="AO76" s="238"/>
      <c r="AP76" s="270"/>
      <c r="AQ76" s="270"/>
      <c r="AR76" s="208"/>
      <c r="AS76" s="239"/>
      <c r="AT76" s="240"/>
      <c r="AU76" s="270"/>
      <c r="AV76" s="270"/>
      <c r="AW76" s="208"/>
      <c r="AX76" s="237"/>
      <c r="AY76" s="238"/>
      <c r="AZ76" s="270"/>
      <c r="BA76" s="270"/>
      <c r="BB76" s="208"/>
      <c r="BC76" s="239"/>
      <c r="BD76" s="240"/>
      <c r="BE76" s="270"/>
      <c r="BF76" s="270"/>
      <c r="BG76" s="208"/>
      <c r="BH76" s="237"/>
      <c r="BI76" s="238"/>
      <c r="BJ76" s="270"/>
      <c r="BK76" s="270"/>
      <c r="BL76" s="208"/>
      <c r="BM76" s="239"/>
      <c r="BN76" s="280"/>
      <c r="BO76" s="281"/>
    </row>
    <row r="77" hidden="1" spans="1:67">
      <c r="A77" s="291">
        <v>27</v>
      </c>
      <c r="B77" s="290">
        <f>'INPUT DATA'!B79:D79</f>
        <v>0</v>
      </c>
      <c r="F77" s="207"/>
      <c r="G77" s="208"/>
      <c r="H77" s="208"/>
      <c r="I77" s="208"/>
      <c r="J77" s="237"/>
      <c r="K77" s="238"/>
      <c r="L77" s="208"/>
      <c r="M77" s="208"/>
      <c r="N77" s="208"/>
      <c r="O77" s="239"/>
      <c r="P77" s="240"/>
      <c r="Q77" s="208"/>
      <c r="R77" s="208"/>
      <c r="S77" s="208"/>
      <c r="T77" s="237"/>
      <c r="U77" s="238"/>
      <c r="V77" s="208"/>
      <c r="W77" s="209"/>
      <c r="X77" s="254"/>
      <c r="Y77" s="239"/>
      <c r="Z77" s="240"/>
      <c r="AA77" s="208"/>
      <c r="AB77" s="208"/>
      <c r="AC77" s="208"/>
      <c r="AD77" s="237"/>
      <c r="AE77" s="240"/>
      <c r="AF77" s="254"/>
      <c r="AG77" s="254"/>
      <c r="AH77" s="208"/>
      <c r="AI77" s="239"/>
      <c r="AJ77" s="268"/>
      <c r="AK77" s="208"/>
      <c r="AL77" s="208"/>
      <c r="AM77" s="208"/>
      <c r="AN77" s="237"/>
      <c r="AO77" s="238"/>
      <c r="AP77" s="270"/>
      <c r="AQ77" s="270"/>
      <c r="AR77" s="208"/>
      <c r="AS77" s="239"/>
      <c r="AT77" s="240"/>
      <c r="AU77" s="270"/>
      <c r="AV77" s="270"/>
      <c r="AW77" s="208"/>
      <c r="AX77" s="237"/>
      <c r="AY77" s="238"/>
      <c r="AZ77" s="270"/>
      <c r="BA77" s="270"/>
      <c r="BB77" s="208"/>
      <c r="BC77" s="239"/>
      <c r="BD77" s="240"/>
      <c r="BE77" s="270"/>
      <c r="BF77" s="270"/>
      <c r="BG77" s="208"/>
      <c r="BH77" s="237"/>
      <c r="BI77" s="238"/>
      <c r="BJ77" s="270"/>
      <c r="BK77" s="270"/>
      <c r="BL77" s="208"/>
      <c r="BM77" s="239"/>
      <c r="BN77" s="280"/>
      <c r="BO77" s="281"/>
    </row>
    <row r="78" hidden="1" spans="1:67">
      <c r="A78" s="291">
        <v>28</v>
      </c>
      <c r="B78" s="290">
        <f>'INPUT DATA'!B80:D80</f>
        <v>0</v>
      </c>
      <c r="F78" s="207"/>
      <c r="G78" s="208"/>
      <c r="H78" s="208"/>
      <c r="I78" s="208"/>
      <c r="J78" s="237"/>
      <c r="K78" s="238"/>
      <c r="L78" s="208"/>
      <c r="M78" s="208"/>
      <c r="N78" s="208"/>
      <c r="O78" s="239"/>
      <c r="P78" s="240"/>
      <c r="Q78" s="208"/>
      <c r="R78" s="208"/>
      <c r="S78" s="208"/>
      <c r="T78" s="237"/>
      <c r="U78" s="238"/>
      <c r="V78" s="208"/>
      <c r="W78" s="209"/>
      <c r="X78" s="254"/>
      <c r="Y78" s="239"/>
      <c r="Z78" s="240"/>
      <c r="AA78" s="208"/>
      <c r="AB78" s="208"/>
      <c r="AC78" s="208"/>
      <c r="AD78" s="237"/>
      <c r="AE78" s="240"/>
      <c r="AF78" s="254"/>
      <c r="AG78" s="254"/>
      <c r="AH78" s="208"/>
      <c r="AI78" s="239"/>
      <c r="AJ78" s="268"/>
      <c r="AK78" s="208"/>
      <c r="AL78" s="208"/>
      <c r="AM78" s="208"/>
      <c r="AN78" s="237"/>
      <c r="AO78" s="238"/>
      <c r="AP78" s="270"/>
      <c r="AQ78" s="270"/>
      <c r="AR78" s="208"/>
      <c r="AS78" s="239"/>
      <c r="AT78" s="240"/>
      <c r="AU78" s="270"/>
      <c r="AV78" s="270"/>
      <c r="AW78" s="208"/>
      <c r="AX78" s="237"/>
      <c r="AY78" s="238"/>
      <c r="AZ78" s="270"/>
      <c r="BA78" s="270"/>
      <c r="BB78" s="208"/>
      <c r="BC78" s="239"/>
      <c r="BD78" s="240"/>
      <c r="BE78" s="270"/>
      <c r="BF78" s="270"/>
      <c r="BG78" s="208"/>
      <c r="BH78" s="237"/>
      <c r="BI78" s="238"/>
      <c r="BJ78" s="270"/>
      <c r="BK78" s="270"/>
      <c r="BL78" s="208"/>
      <c r="BM78" s="239"/>
      <c r="BN78" s="280"/>
      <c r="BO78" s="281"/>
    </row>
    <row r="79" hidden="1" spans="1:67">
      <c r="A79" s="291">
        <v>29</v>
      </c>
      <c r="B79" s="290">
        <f>'INPUT DATA'!B81:D81</f>
        <v>0</v>
      </c>
      <c r="F79" s="207"/>
      <c r="G79" s="208"/>
      <c r="H79" s="208"/>
      <c r="I79" s="208"/>
      <c r="J79" s="237"/>
      <c r="K79" s="238"/>
      <c r="L79" s="208"/>
      <c r="M79" s="208"/>
      <c r="N79" s="208"/>
      <c r="O79" s="239"/>
      <c r="P79" s="240"/>
      <c r="Q79" s="208"/>
      <c r="R79" s="208"/>
      <c r="S79" s="208"/>
      <c r="T79" s="237"/>
      <c r="U79" s="238"/>
      <c r="V79" s="208"/>
      <c r="W79" s="209"/>
      <c r="X79" s="254"/>
      <c r="Y79" s="239"/>
      <c r="Z79" s="240"/>
      <c r="AA79" s="208"/>
      <c r="AB79" s="208"/>
      <c r="AC79" s="208"/>
      <c r="AD79" s="237"/>
      <c r="AE79" s="240"/>
      <c r="AF79" s="254"/>
      <c r="AG79" s="254"/>
      <c r="AH79" s="208"/>
      <c r="AI79" s="239"/>
      <c r="AJ79" s="268"/>
      <c r="AK79" s="208"/>
      <c r="AL79" s="208"/>
      <c r="AM79" s="208"/>
      <c r="AN79" s="237"/>
      <c r="AO79" s="238"/>
      <c r="AP79" s="270"/>
      <c r="AQ79" s="270"/>
      <c r="AR79" s="208"/>
      <c r="AS79" s="239"/>
      <c r="AT79" s="240"/>
      <c r="AU79" s="270"/>
      <c r="AV79" s="270"/>
      <c r="AW79" s="208"/>
      <c r="AX79" s="237"/>
      <c r="AY79" s="238"/>
      <c r="AZ79" s="270"/>
      <c r="BA79" s="270"/>
      <c r="BB79" s="208"/>
      <c r="BC79" s="239"/>
      <c r="BD79" s="240"/>
      <c r="BE79" s="270"/>
      <c r="BF79" s="270"/>
      <c r="BG79" s="208"/>
      <c r="BH79" s="237"/>
      <c r="BI79" s="238"/>
      <c r="BJ79" s="270"/>
      <c r="BK79" s="270"/>
      <c r="BL79" s="208"/>
      <c r="BM79" s="239"/>
      <c r="BN79" s="280"/>
      <c r="BO79" s="281"/>
    </row>
    <row r="80" hidden="1" spans="1:67">
      <c r="A80" s="291">
        <v>30</v>
      </c>
      <c r="B80" s="290">
        <f>'INPUT DATA'!B82:D82</f>
        <v>0</v>
      </c>
      <c r="F80" s="207"/>
      <c r="G80" s="208"/>
      <c r="H80" s="208"/>
      <c r="I80" s="208"/>
      <c r="J80" s="237"/>
      <c r="K80" s="238"/>
      <c r="L80" s="208"/>
      <c r="M80" s="208"/>
      <c r="N80" s="208"/>
      <c r="O80" s="239"/>
      <c r="P80" s="240"/>
      <c r="Q80" s="208"/>
      <c r="R80" s="208"/>
      <c r="S80" s="208"/>
      <c r="T80" s="237"/>
      <c r="U80" s="238"/>
      <c r="V80" s="208"/>
      <c r="W80" s="209"/>
      <c r="X80" s="254"/>
      <c r="Y80" s="239"/>
      <c r="Z80" s="240"/>
      <c r="AA80" s="208"/>
      <c r="AB80" s="208"/>
      <c r="AC80" s="208"/>
      <c r="AD80" s="237"/>
      <c r="AE80" s="240"/>
      <c r="AF80" s="254"/>
      <c r="AG80" s="254"/>
      <c r="AH80" s="208"/>
      <c r="AI80" s="239"/>
      <c r="AJ80" s="268"/>
      <c r="AK80" s="208"/>
      <c r="AL80" s="208"/>
      <c r="AM80" s="208"/>
      <c r="AN80" s="237"/>
      <c r="AO80" s="238"/>
      <c r="AP80" s="270"/>
      <c r="AQ80" s="270"/>
      <c r="AR80" s="208"/>
      <c r="AS80" s="239"/>
      <c r="AT80" s="240"/>
      <c r="AU80" s="270"/>
      <c r="AV80" s="270"/>
      <c r="AW80" s="208"/>
      <c r="AX80" s="237"/>
      <c r="AY80" s="238"/>
      <c r="AZ80" s="270"/>
      <c r="BA80" s="270"/>
      <c r="BB80" s="208"/>
      <c r="BC80" s="239"/>
      <c r="BD80" s="240"/>
      <c r="BE80" s="270"/>
      <c r="BF80" s="270"/>
      <c r="BG80" s="208"/>
      <c r="BH80" s="237"/>
      <c r="BI80" s="238"/>
      <c r="BJ80" s="270"/>
      <c r="BK80" s="270"/>
      <c r="BL80" s="208"/>
      <c r="BM80" s="239"/>
      <c r="BN80" s="280"/>
      <c r="BO80" s="281"/>
    </row>
    <row r="81" hidden="1" spans="1:67">
      <c r="A81" s="291">
        <v>31</v>
      </c>
      <c r="B81" s="290">
        <f>'INPUT DATA'!B83:D83</f>
        <v>0</v>
      </c>
      <c r="F81" s="207"/>
      <c r="G81" s="208"/>
      <c r="H81" s="208"/>
      <c r="I81" s="208"/>
      <c r="J81" s="237"/>
      <c r="K81" s="238"/>
      <c r="L81" s="208"/>
      <c r="M81" s="208"/>
      <c r="N81" s="208"/>
      <c r="O81" s="239"/>
      <c r="P81" s="240"/>
      <c r="Q81" s="208"/>
      <c r="R81" s="208"/>
      <c r="S81" s="208"/>
      <c r="T81" s="237"/>
      <c r="U81" s="238"/>
      <c r="V81" s="208"/>
      <c r="W81" s="209"/>
      <c r="X81" s="254"/>
      <c r="Y81" s="239"/>
      <c r="Z81" s="240"/>
      <c r="AA81" s="208"/>
      <c r="AB81" s="208"/>
      <c r="AC81" s="208"/>
      <c r="AD81" s="237"/>
      <c r="AE81" s="240"/>
      <c r="AF81" s="254"/>
      <c r="AG81" s="254"/>
      <c r="AH81" s="208"/>
      <c r="AI81" s="239"/>
      <c r="AJ81" s="268"/>
      <c r="AK81" s="208"/>
      <c r="AL81" s="208"/>
      <c r="AM81" s="208"/>
      <c r="AN81" s="237"/>
      <c r="AO81" s="238"/>
      <c r="AP81" s="270"/>
      <c r="AQ81" s="270"/>
      <c r="AR81" s="208"/>
      <c r="AS81" s="239"/>
      <c r="AT81" s="240"/>
      <c r="AU81" s="270"/>
      <c r="AV81" s="270"/>
      <c r="AW81" s="208"/>
      <c r="AX81" s="237"/>
      <c r="AY81" s="238"/>
      <c r="AZ81" s="270"/>
      <c r="BA81" s="270"/>
      <c r="BB81" s="208"/>
      <c r="BC81" s="239"/>
      <c r="BD81" s="240"/>
      <c r="BE81" s="270"/>
      <c r="BF81" s="270"/>
      <c r="BG81" s="208"/>
      <c r="BH81" s="237"/>
      <c r="BI81" s="238"/>
      <c r="BJ81" s="270"/>
      <c r="BK81" s="270"/>
      <c r="BL81" s="208"/>
      <c r="BM81" s="239"/>
      <c r="BN81" s="280"/>
      <c r="BO81" s="281"/>
    </row>
    <row r="82" hidden="1" spans="1:67">
      <c r="A82" s="291">
        <v>32</v>
      </c>
      <c r="B82" s="290">
        <f>'INPUT DATA'!B84:D84</f>
        <v>0</v>
      </c>
      <c r="F82" s="207"/>
      <c r="G82" s="208"/>
      <c r="H82" s="208"/>
      <c r="I82" s="208"/>
      <c r="J82" s="237"/>
      <c r="K82" s="238"/>
      <c r="L82" s="208"/>
      <c r="M82" s="208"/>
      <c r="N82" s="208"/>
      <c r="O82" s="239"/>
      <c r="P82" s="240"/>
      <c r="Q82" s="208"/>
      <c r="R82" s="208"/>
      <c r="S82" s="208"/>
      <c r="T82" s="237"/>
      <c r="U82" s="238"/>
      <c r="V82" s="208"/>
      <c r="W82" s="209"/>
      <c r="X82" s="254"/>
      <c r="Y82" s="239"/>
      <c r="Z82" s="240"/>
      <c r="AA82" s="208"/>
      <c r="AB82" s="208"/>
      <c r="AC82" s="208"/>
      <c r="AD82" s="237"/>
      <c r="AE82" s="240"/>
      <c r="AF82" s="254"/>
      <c r="AG82" s="254"/>
      <c r="AH82" s="208"/>
      <c r="AI82" s="239"/>
      <c r="AJ82" s="268"/>
      <c r="AK82" s="208"/>
      <c r="AL82" s="208"/>
      <c r="AM82" s="208"/>
      <c r="AN82" s="237"/>
      <c r="AO82" s="238"/>
      <c r="AP82" s="270"/>
      <c r="AQ82" s="270"/>
      <c r="AR82" s="208"/>
      <c r="AS82" s="239"/>
      <c r="AT82" s="240"/>
      <c r="AU82" s="270"/>
      <c r="AV82" s="270"/>
      <c r="AW82" s="208"/>
      <c r="AX82" s="237"/>
      <c r="AY82" s="238"/>
      <c r="AZ82" s="270"/>
      <c r="BA82" s="270"/>
      <c r="BB82" s="208"/>
      <c r="BC82" s="239"/>
      <c r="BD82" s="240"/>
      <c r="BE82" s="270"/>
      <c r="BF82" s="270"/>
      <c r="BG82" s="208"/>
      <c r="BH82" s="237"/>
      <c r="BI82" s="238"/>
      <c r="BJ82" s="270"/>
      <c r="BK82" s="270"/>
      <c r="BL82" s="208"/>
      <c r="BM82" s="239"/>
      <c r="BN82" s="280"/>
      <c r="BO82" s="281"/>
    </row>
    <row r="83" hidden="1" spans="1:67">
      <c r="A83" s="291">
        <v>33</v>
      </c>
      <c r="B83" s="290">
        <f>'INPUT DATA'!B85:D85</f>
        <v>0</v>
      </c>
      <c r="F83" s="207"/>
      <c r="G83" s="208"/>
      <c r="H83" s="208"/>
      <c r="I83" s="208"/>
      <c r="J83" s="237"/>
      <c r="K83" s="238"/>
      <c r="L83" s="208"/>
      <c r="M83" s="208"/>
      <c r="N83" s="208"/>
      <c r="O83" s="239"/>
      <c r="P83" s="240"/>
      <c r="Q83" s="208"/>
      <c r="R83" s="208"/>
      <c r="S83" s="208"/>
      <c r="T83" s="237"/>
      <c r="U83" s="238"/>
      <c r="V83" s="208"/>
      <c r="W83" s="209"/>
      <c r="X83" s="254"/>
      <c r="Y83" s="239"/>
      <c r="Z83" s="240"/>
      <c r="AA83" s="208"/>
      <c r="AB83" s="208"/>
      <c r="AC83" s="208"/>
      <c r="AD83" s="237"/>
      <c r="AE83" s="240"/>
      <c r="AF83" s="254"/>
      <c r="AG83" s="254"/>
      <c r="AH83" s="208"/>
      <c r="AI83" s="239"/>
      <c r="AJ83" s="268"/>
      <c r="AK83" s="208"/>
      <c r="AL83" s="208"/>
      <c r="AM83" s="208"/>
      <c r="AN83" s="237"/>
      <c r="AO83" s="238"/>
      <c r="AP83" s="270"/>
      <c r="AQ83" s="270"/>
      <c r="AR83" s="208"/>
      <c r="AS83" s="239"/>
      <c r="AT83" s="240"/>
      <c r="AU83" s="270"/>
      <c r="AV83" s="270"/>
      <c r="AW83" s="208"/>
      <c r="AX83" s="237"/>
      <c r="AY83" s="238"/>
      <c r="AZ83" s="270"/>
      <c r="BA83" s="270"/>
      <c r="BB83" s="208"/>
      <c r="BC83" s="239"/>
      <c r="BD83" s="240"/>
      <c r="BE83" s="270"/>
      <c r="BF83" s="270"/>
      <c r="BG83" s="208"/>
      <c r="BH83" s="237"/>
      <c r="BI83" s="238"/>
      <c r="BJ83" s="270"/>
      <c r="BK83" s="270"/>
      <c r="BL83" s="208"/>
      <c r="BM83" s="239"/>
      <c r="BN83" s="280"/>
      <c r="BO83" s="281"/>
    </row>
    <row r="84" hidden="1" spans="1:67">
      <c r="A84" s="291">
        <v>34</v>
      </c>
      <c r="B84" s="290">
        <f>'INPUT DATA'!B86:D86</f>
        <v>0</v>
      </c>
      <c r="F84" s="207"/>
      <c r="G84" s="208"/>
      <c r="H84" s="208"/>
      <c r="I84" s="208"/>
      <c r="J84" s="237"/>
      <c r="K84" s="238"/>
      <c r="L84" s="208"/>
      <c r="M84" s="208"/>
      <c r="N84" s="208"/>
      <c r="O84" s="239"/>
      <c r="P84" s="240"/>
      <c r="Q84" s="208"/>
      <c r="R84" s="208"/>
      <c r="S84" s="208"/>
      <c r="T84" s="237"/>
      <c r="U84" s="238"/>
      <c r="V84" s="208"/>
      <c r="W84" s="209"/>
      <c r="X84" s="254"/>
      <c r="Y84" s="239"/>
      <c r="Z84" s="240"/>
      <c r="AA84" s="208"/>
      <c r="AB84" s="208"/>
      <c r="AC84" s="208"/>
      <c r="AD84" s="237"/>
      <c r="AE84" s="240"/>
      <c r="AF84" s="254"/>
      <c r="AG84" s="254"/>
      <c r="AH84" s="208"/>
      <c r="AI84" s="239"/>
      <c r="AJ84" s="268"/>
      <c r="AK84" s="208"/>
      <c r="AL84" s="208"/>
      <c r="AM84" s="208"/>
      <c r="AN84" s="237"/>
      <c r="AO84" s="238"/>
      <c r="AP84" s="270"/>
      <c r="AQ84" s="270"/>
      <c r="AR84" s="208"/>
      <c r="AS84" s="239"/>
      <c r="AT84" s="240"/>
      <c r="AU84" s="270"/>
      <c r="AV84" s="270"/>
      <c r="AW84" s="208"/>
      <c r="AX84" s="237"/>
      <c r="AY84" s="238"/>
      <c r="AZ84" s="270"/>
      <c r="BA84" s="270"/>
      <c r="BB84" s="208"/>
      <c r="BC84" s="239"/>
      <c r="BD84" s="240"/>
      <c r="BE84" s="270"/>
      <c r="BF84" s="270"/>
      <c r="BG84" s="208"/>
      <c r="BH84" s="237"/>
      <c r="BI84" s="238"/>
      <c r="BJ84" s="270"/>
      <c r="BK84" s="270"/>
      <c r="BL84" s="208"/>
      <c r="BM84" s="239"/>
      <c r="BN84" s="280"/>
      <c r="BO84" s="281"/>
    </row>
    <row r="85" hidden="1" spans="1:67">
      <c r="A85" s="291">
        <v>35</v>
      </c>
      <c r="B85" s="290">
        <f>'INPUT DATA'!B87:D87</f>
        <v>0</v>
      </c>
      <c r="F85" s="207"/>
      <c r="G85" s="208"/>
      <c r="H85" s="208"/>
      <c r="I85" s="208"/>
      <c r="J85" s="237"/>
      <c r="K85" s="238"/>
      <c r="L85" s="208"/>
      <c r="M85" s="208"/>
      <c r="N85" s="208"/>
      <c r="O85" s="239"/>
      <c r="P85" s="240"/>
      <c r="Q85" s="208"/>
      <c r="R85" s="208"/>
      <c r="S85" s="208"/>
      <c r="T85" s="237"/>
      <c r="U85" s="238"/>
      <c r="V85" s="208"/>
      <c r="W85" s="209"/>
      <c r="X85" s="254"/>
      <c r="Y85" s="239"/>
      <c r="Z85" s="240"/>
      <c r="AA85" s="208"/>
      <c r="AB85" s="208"/>
      <c r="AC85" s="208"/>
      <c r="AD85" s="237"/>
      <c r="AE85" s="240"/>
      <c r="AF85" s="254"/>
      <c r="AG85" s="254"/>
      <c r="AH85" s="208"/>
      <c r="AI85" s="239"/>
      <c r="AJ85" s="268"/>
      <c r="AK85" s="208"/>
      <c r="AL85" s="208"/>
      <c r="AM85" s="208"/>
      <c r="AN85" s="237"/>
      <c r="AO85" s="238"/>
      <c r="AP85" s="270"/>
      <c r="AQ85" s="270"/>
      <c r="AR85" s="208"/>
      <c r="AS85" s="239"/>
      <c r="AT85" s="240"/>
      <c r="AU85" s="270"/>
      <c r="AV85" s="270"/>
      <c r="AW85" s="208"/>
      <c r="AX85" s="237"/>
      <c r="AY85" s="238"/>
      <c r="AZ85" s="270"/>
      <c r="BA85" s="270"/>
      <c r="BB85" s="208"/>
      <c r="BC85" s="239"/>
      <c r="BD85" s="240"/>
      <c r="BE85" s="270"/>
      <c r="BF85" s="270"/>
      <c r="BG85" s="208"/>
      <c r="BH85" s="237"/>
      <c r="BI85" s="238"/>
      <c r="BJ85" s="270"/>
      <c r="BK85" s="270"/>
      <c r="BL85" s="208"/>
      <c r="BM85" s="239"/>
      <c r="BN85" s="280"/>
      <c r="BO85" s="281"/>
    </row>
  </sheetData>
  <sheetProtection selectLockedCells="1" selectUnlockedCells="1" formatCells="0"/>
  <mergeCells count="51">
    <mergeCell ref="B1:BO1"/>
    <mergeCell ref="C3:F3"/>
    <mergeCell ref="R3:T3"/>
    <mergeCell ref="U3:Z3"/>
    <mergeCell ref="AK3:BJ3"/>
    <mergeCell ref="G5:P5"/>
    <mergeCell ref="R5:T5"/>
    <mergeCell ref="U5:Z5"/>
    <mergeCell ref="AE5:AI5"/>
    <mergeCell ref="AK5:BJ5"/>
    <mergeCell ref="F7:J7"/>
    <mergeCell ref="K7:O7"/>
    <mergeCell ref="P7:T7"/>
    <mergeCell ref="U7:Y7"/>
    <mergeCell ref="Z7:AD7"/>
    <mergeCell ref="AE7:AI7"/>
    <mergeCell ref="AJ7:AN7"/>
    <mergeCell ref="AO7:AS7"/>
    <mergeCell ref="AT7:AX7"/>
    <mergeCell ref="AY7:BC7"/>
    <mergeCell ref="BD7:BH7"/>
    <mergeCell ref="BI7:BM7"/>
    <mergeCell ref="F8:I8"/>
    <mergeCell ref="K8:N8"/>
    <mergeCell ref="P8:S8"/>
    <mergeCell ref="U8:X8"/>
    <mergeCell ref="Z8:AC8"/>
    <mergeCell ref="AE8:AH8"/>
    <mergeCell ref="AJ8:AM8"/>
    <mergeCell ref="AO8:AR8"/>
    <mergeCell ref="AT8:AW8"/>
    <mergeCell ref="AY8:BB8"/>
    <mergeCell ref="BD8:BG8"/>
    <mergeCell ref="BI8:BL8"/>
    <mergeCell ref="B31:C31"/>
    <mergeCell ref="BT31:BU31"/>
    <mergeCell ref="J8:J9"/>
    <mergeCell ref="O8:O9"/>
    <mergeCell ref="T8:T9"/>
    <mergeCell ref="Y8:Y9"/>
    <mergeCell ref="AD8:AD9"/>
    <mergeCell ref="AI8:AI9"/>
    <mergeCell ref="AN8:AN9"/>
    <mergeCell ref="AS8:AS9"/>
    <mergeCell ref="AX8:AX9"/>
    <mergeCell ref="BC8:BC9"/>
    <mergeCell ref="BH8:BH9"/>
    <mergeCell ref="BM8:BM9"/>
    <mergeCell ref="BN7:BN9"/>
    <mergeCell ref="BO7:BO9"/>
    <mergeCell ref="A7:E9"/>
  </mergeCells>
  <dataValidations count="2">
    <dataValidation allowBlank="1" showInputMessage="1" showErrorMessage="1" prompt="Do not type name of learners here. Go to INPUT DATA sheet." sqref="BT13 BT14 BT15 BT16 BT17 BT24 BT25 BT26 BT27 BT28 BT29 BT30 BT52 BT53 BT54 BT55 BT56 BT57 BT58 BT59 BT60 BT61 BT64 BT65 BT66 BT67 BT71"/>
    <dataValidation allowBlank="1" showInputMessage="1" prompt="Do not type name of learners here. Go to INPUT DATA sheet." sqref="BQ51 B11:B30 B32:B85 BT32:BT50 BT72:BT75"/>
  </dataValidations>
  <printOptions gridLines="1"/>
  <pageMargins left="1.22013888888889" right="0.0388888888888889" top="0.354166666666667" bottom="0.66875" header="0.275" footer="0.0784722222222222"/>
  <pageSetup paperSize="5" orientation="landscape" horizontalDpi="600" verticalDpi="300"/>
  <headerFooter alignWithMargins="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62"/>
  <sheetViews>
    <sheetView zoomScale="90" zoomScaleNormal="90" workbookViewId="0">
      <pane ySplit="4" topLeftCell="A5" activePane="bottomLeft" state="frozen"/>
      <selection/>
      <selection pane="bottomLeft" activeCell="A15" sqref="$A15:$XFD15"/>
    </sheetView>
  </sheetViews>
  <sheetFormatPr defaultColWidth="8.88888888888889" defaultRowHeight="15"/>
  <cols>
    <col min="1" max="1" width="2.18518518518518" style="124" customWidth="1"/>
    <col min="2" max="2" width="5.22222222222222" style="124" customWidth="1"/>
    <col min="3" max="3" width="40.9537037037037" style="124" customWidth="1"/>
    <col min="4" max="4" width="5.88888888888889" style="124" customWidth="1"/>
    <col min="5" max="5" width="5.55555555555556" style="124" customWidth="1"/>
    <col min="6" max="6" width="6.77777777777778" style="124" customWidth="1"/>
    <col min="7" max="7" width="5.11111111111111" style="124" customWidth="1"/>
    <col min="8" max="8" width="5.44444444444444" style="124" customWidth="1"/>
    <col min="9" max="9" width="5.88888888888889" style="124" customWidth="1"/>
    <col min="10" max="10" width="6.22222222222222" style="124" customWidth="1"/>
    <col min="11" max="11" width="8.26851851851852" style="124" customWidth="1"/>
    <col min="12" max="12" width="6.33333333333333" style="124" customWidth="1"/>
    <col min="13" max="13" width="5" style="124" hidden="1" customWidth="1"/>
    <col min="14" max="14" width="8.88888888888889" style="124" hidden="1" customWidth="1"/>
    <col min="15" max="15" width="7.66666666666667" style="124" customWidth="1"/>
    <col min="16" max="16" width="10.2222222222222" style="124" customWidth="1"/>
    <col min="17" max="17" width="8.11111111111111" style="124" customWidth="1"/>
    <col min="18" max="19" width="8.88888888888889" style="124"/>
    <col min="20" max="20" width="14.4444444444444" style="124" customWidth="1"/>
    <col min="21" max="21" width="8.88888888888889" style="124"/>
    <col min="22" max="24" width="22.3333333333333" style="124" customWidth="1"/>
    <col min="25" max="16384" width="8.88888888888889" style="124"/>
  </cols>
  <sheetData>
    <row r="1" ht="15.6" spans="2:17">
      <c r="B1" s="112" t="str">
        <f>'INPUT DATA'!K7</f>
        <v>8 - ARIES</v>
      </c>
      <c r="C1" s="112"/>
      <c r="D1" s="112"/>
      <c r="E1" s="112"/>
      <c r="F1" s="112"/>
      <c r="G1" s="112"/>
      <c r="H1" s="112"/>
      <c r="I1" s="112"/>
      <c r="J1" s="112"/>
      <c r="K1" s="112"/>
      <c r="L1" s="112"/>
      <c r="M1" s="112"/>
      <c r="N1" s="112"/>
      <c r="O1" s="112"/>
      <c r="P1" s="112"/>
      <c r="Q1" s="112"/>
    </row>
    <row r="2" ht="15.6" spans="2:17">
      <c r="B2" s="112" t="s">
        <v>107</v>
      </c>
      <c r="C2" s="112"/>
      <c r="D2" s="112"/>
      <c r="E2" s="112"/>
      <c r="F2" s="112"/>
      <c r="G2" s="112"/>
      <c r="H2" s="112"/>
      <c r="I2" s="112"/>
      <c r="J2" s="112"/>
      <c r="K2" s="112"/>
      <c r="L2" s="112"/>
      <c r="M2" s="112"/>
      <c r="N2" s="112"/>
      <c r="O2" s="112"/>
      <c r="P2" s="112"/>
      <c r="Q2" s="112"/>
    </row>
    <row r="4" ht="15.6" spans="2:22">
      <c r="B4" s="114"/>
      <c r="C4" s="115" t="s">
        <v>17</v>
      </c>
      <c r="D4" s="115" t="s">
        <v>108</v>
      </c>
      <c r="E4" s="115" t="s">
        <v>109</v>
      </c>
      <c r="F4" s="115" t="s">
        <v>110</v>
      </c>
      <c r="G4" s="115" t="s">
        <v>111</v>
      </c>
      <c r="H4" s="115" t="s">
        <v>83</v>
      </c>
      <c r="I4" s="115" t="s">
        <v>86</v>
      </c>
      <c r="J4" s="115" t="s">
        <v>89</v>
      </c>
      <c r="K4" s="115" t="s">
        <v>112</v>
      </c>
      <c r="L4" s="115" t="s">
        <v>113</v>
      </c>
      <c r="M4" s="115" t="s">
        <v>114</v>
      </c>
      <c r="N4" s="115" t="s">
        <v>96</v>
      </c>
      <c r="O4" s="115" t="s">
        <v>98</v>
      </c>
      <c r="P4" s="115" t="s">
        <v>92</v>
      </c>
      <c r="Q4" s="115" t="s">
        <v>104</v>
      </c>
      <c r="R4"/>
      <c r="S4"/>
      <c r="T4"/>
      <c r="U4"/>
      <c r="V4"/>
    </row>
    <row r="5" ht="15.6" spans="2:22">
      <c r="B5" s="116">
        <v>1</v>
      </c>
      <c r="C5" s="117" t="str">
        <f>'INPUT DATA'!B12</f>
        <v>ANUBLING, REGIE C.</v>
      </c>
      <c r="D5" s="118">
        <v>75</v>
      </c>
      <c r="E5" s="118">
        <v>75</v>
      </c>
      <c r="F5" s="118">
        <f>MATHEMATICS!F12</f>
        <v>77</v>
      </c>
      <c r="G5" s="118">
        <v>79</v>
      </c>
      <c r="H5" s="118">
        <f>AP!F12</f>
        <v>70</v>
      </c>
      <c r="I5" s="119">
        <v>80</v>
      </c>
      <c r="J5" s="119">
        <f>TLE!F12</f>
        <v>76</v>
      </c>
      <c r="K5" s="119">
        <v>81</v>
      </c>
      <c r="L5" s="119">
        <v>80</v>
      </c>
      <c r="M5" s="118"/>
      <c r="N5" s="118"/>
      <c r="O5" s="118">
        <f>(K5+L5+M5+N5)/2</f>
        <v>80.5</v>
      </c>
      <c r="P5" s="127">
        <f t="shared" ref="P5:P9" si="0">(D5+E5+F5+G5+H5+I5+J5+O5)/8</f>
        <v>76.5625</v>
      </c>
      <c r="Q5" s="131">
        <f>RANK(P5,$P$5:$P$54)</f>
        <v>32</v>
      </c>
      <c r="R5"/>
      <c r="S5" t="s">
        <v>115</v>
      </c>
      <c r="T5" t="s">
        <v>116</v>
      </c>
      <c r="U5" s="160">
        <v>90.63</v>
      </c>
      <c r="V5" s="142" t="s">
        <v>47</v>
      </c>
    </row>
    <row r="6" s="123" customFormat="1" ht="15.6" spans="2:22">
      <c r="B6" s="116">
        <v>2</v>
      </c>
      <c r="C6" s="117" t="str">
        <f>'INPUT DATA'!B13</f>
        <v>BANGCOY, JOHN PAUL P.</v>
      </c>
      <c r="D6" s="118">
        <v>60</v>
      </c>
      <c r="E6" s="118">
        <f>ENGLISH!F13</f>
        <v>0</v>
      </c>
      <c r="F6" s="118">
        <f>MATHEMATICS!F13</f>
        <v>0</v>
      </c>
      <c r="G6" s="118">
        <f>SCIENCE!J13</f>
        <v>0</v>
      </c>
      <c r="H6" s="118">
        <f>AP!F13</f>
        <v>0</v>
      </c>
      <c r="I6" s="119">
        <f>VALED!F13</f>
        <v>70</v>
      </c>
      <c r="J6" s="119">
        <f>TLE!F13</f>
        <v>0</v>
      </c>
      <c r="K6" s="119">
        <v>76</v>
      </c>
      <c r="L6" s="119">
        <v>76</v>
      </c>
      <c r="M6" s="118"/>
      <c r="N6" s="118"/>
      <c r="O6" s="118">
        <f t="shared" ref="O6:O24" si="1">(K6+L6+M6+N6)/2</f>
        <v>76</v>
      </c>
      <c r="P6" s="127">
        <f t="shared" si="0"/>
        <v>25.75</v>
      </c>
      <c r="Q6" s="131">
        <f t="shared" ref="Q6:Q37" si="2">RANK(P6,$P$5:$P$54)</f>
        <v>42</v>
      </c>
      <c r="R6"/>
      <c r="S6"/>
      <c r="T6"/>
      <c r="U6" s="160">
        <v>90</v>
      </c>
      <c r="V6" s="142" t="s">
        <v>43</v>
      </c>
    </row>
    <row r="7" s="123" customFormat="1" ht="15.6" spans="2:22">
      <c r="B7" s="116">
        <v>3</v>
      </c>
      <c r="C7" s="117" t="str">
        <f>'INPUT DATA'!B14</f>
        <v>BARRIENTOS, JOHN PAUL M.</v>
      </c>
      <c r="D7" s="118">
        <v>90</v>
      </c>
      <c r="E7" s="118">
        <v>90</v>
      </c>
      <c r="F7" s="118">
        <f>MATHEMATICS!F14</f>
        <v>86</v>
      </c>
      <c r="G7" s="118">
        <v>90</v>
      </c>
      <c r="H7" s="118">
        <f>AP!F14</f>
        <v>88</v>
      </c>
      <c r="I7" s="119">
        <v>85</v>
      </c>
      <c r="J7" s="119">
        <f>TLE!F14</f>
        <v>81</v>
      </c>
      <c r="K7" s="119">
        <v>84</v>
      </c>
      <c r="L7" s="119">
        <v>91</v>
      </c>
      <c r="M7" s="118"/>
      <c r="N7" s="118"/>
      <c r="O7" s="118">
        <f t="shared" si="1"/>
        <v>87.5</v>
      </c>
      <c r="P7" s="127">
        <f t="shared" si="0"/>
        <v>87.1875</v>
      </c>
      <c r="Q7" s="131">
        <f t="shared" si="2"/>
        <v>5</v>
      </c>
      <c r="R7"/>
      <c r="S7"/>
      <c r="T7"/>
      <c r="U7" s="160">
        <v>90</v>
      </c>
      <c r="V7" s="142" t="s">
        <v>42</v>
      </c>
    </row>
    <row r="8" s="123" customFormat="1" ht="15.6" spans="2:22">
      <c r="B8" s="116">
        <v>4</v>
      </c>
      <c r="C8" s="117" t="str">
        <f>'INPUT DATA'!B15</f>
        <v>BRIGOLE, ROMEL</v>
      </c>
      <c r="D8" s="118">
        <v>75</v>
      </c>
      <c r="E8" s="118">
        <v>75</v>
      </c>
      <c r="F8" s="118">
        <f>MATHEMATICS!F15</f>
        <v>0</v>
      </c>
      <c r="G8" s="118">
        <f>SCIENCE!J15</f>
        <v>70</v>
      </c>
      <c r="H8" s="118">
        <f>AP!F15</f>
        <v>0</v>
      </c>
      <c r="I8" s="119">
        <f>VALED!F15</f>
        <v>70</v>
      </c>
      <c r="J8" s="119">
        <f>TLE!F15</f>
        <v>70</v>
      </c>
      <c r="K8" s="119"/>
      <c r="L8" s="119"/>
      <c r="M8" s="118"/>
      <c r="N8" s="118"/>
      <c r="O8" s="118">
        <f t="shared" si="1"/>
        <v>0</v>
      </c>
      <c r="P8" s="127">
        <f t="shared" si="0"/>
        <v>45</v>
      </c>
      <c r="Q8" s="131">
        <f t="shared" si="2"/>
        <v>39</v>
      </c>
      <c r="R8"/>
      <c r="S8"/>
      <c r="T8"/>
      <c r="U8"/>
      <c r="V8"/>
    </row>
    <row r="9" s="123" customFormat="1" ht="15.6" spans="2:22">
      <c r="B9" s="116">
        <v>5</v>
      </c>
      <c r="C9" s="117" t="str">
        <f>'INPUT DATA'!B16</f>
        <v>BULAHAN,ROVIC L.</v>
      </c>
      <c r="D9" s="118">
        <v>91</v>
      </c>
      <c r="E9" s="118">
        <v>88</v>
      </c>
      <c r="F9" s="118">
        <f>MATHEMATICS!F16</f>
        <v>82</v>
      </c>
      <c r="G9" s="118">
        <v>91</v>
      </c>
      <c r="H9" s="118">
        <f>AP!F16</f>
        <v>91</v>
      </c>
      <c r="I9" s="119">
        <v>80</v>
      </c>
      <c r="J9" s="119">
        <f>TLE!F16</f>
        <v>82</v>
      </c>
      <c r="K9" s="119">
        <v>88</v>
      </c>
      <c r="L9" s="119">
        <v>89</v>
      </c>
      <c r="M9" s="118"/>
      <c r="N9" s="118"/>
      <c r="O9" s="118">
        <f t="shared" si="1"/>
        <v>88.5</v>
      </c>
      <c r="P9" s="127">
        <f t="shared" si="0"/>
        <v>86.6875</v>
      </c>
      <c r="Q9" s="131">
        <f t="shared" si="2"/>
        <v>6</v>
      </c>
      <c r="R9"/>
      <c r="S9"/>
      <c r="T9"/>
      <c r="U9"/>
      <c r="V9"/>
    </row>
    <row r="10" s="123" customFormat="1" ht="15.6" spans="2:22">
      <c r="B10" s="116">
        <v>6</v>
      </c>
      <c r="C10" s="117" t="str">
        <f>'INPUT DATA'!B17</f>
        <v>CIJAS, ROLIE JR. A.</v>
      </c>
      <c r="D10" s="118">
        <v>87</v>
      </c>
      <c r="E10" s="118">
        <v>84</v>
      </c>
      <c r="F10" s="118">
        <f>MATHEMATICS!F17</f>
        <v>89</v>
      </c>
      <c r="G10" s="118">
        <v>90</v>
      </c>
      <c r="H10" s="118">
        <f>AP!F17</f>
        <v>83</v>
      </c>
      <c r="I10" s="119">
        <v>81</v>
      </c>
      <c r="J10" s="119">
        <f>TLE!F17</f>
        <v>86</v>
      </c>
      <c r="K10" s="119">
        <v>84</v>
      </c>
      <c r="L10" s="119">
        <v>90</v>
      </c>
      <c r="M10" s="118"/>
      <c r="N10" s="118"/>
      <c r="O10" s="118">
        <f t="shared" si="1"/>
        <v>87</v>
      </c>
      <c r="P10" s="127">
        <f t="shared" ref="P10:P31" si="3">(D10+E10+F10+G10+H10+I10+J10+O10)/8</f>
        <v>85.875</v>
      </c>
      <c r="Q10" s="131">
        <f t="shared" si="2"/>
        <v>7</v>
      </c>
      <c r="R10"/>
      <c r="S10"/>
      <c r="T10"/>
      <c r="U10"/>
      <c r="V10"/>
    </row>
    <row r="11" s="123" customFormat="1" ht="15.6" spans="2:22">
      <c r="B11" s="116">
        <v>7</v>
      </c>
      <c r="C11" s="117" t="str">
        <f>'INPUT DATA'!B18</f>
        <v>GARCIA, DAVE P.</v>
      </c>
      <c r="D11" s="118">
        <v>86</v>
      </c>
      <c r="E11" s="118">
        <v>81</v>
      </c>
      <c r="F11" s="118">
        <f>MATHEMATICS!F18</f>
        <v>84</v>
      </c>
      <c r="G11" s="118">
        <v>82</v>
      </c>
      <c r="H11" s="118">
        <f>AP!F18</f>
        <v>80</v>
      </c>
      <c r="I11" s="119">
        <v>78</v>
      </c>
      <c r="J11" s="119">
        <f>TLE!F18</f>
        <v>74</v>
      </c>
      <c r="K11" s="119">
        <v>80</v>
      </c>
      <c r="L11" s="119">
        <v>84</v>
      </c>
      <c r="M11" s="118"/>
      <c r="N11" s="118"/>
      <c r="O11" s="118">
        <f t="shared" si="1"/>
        <v>82</v>
      </c>
      <c r="P11" s="127">
        <f t="shared" si="3"/>
        <v>80.875</v>
      </c>
      <c r="Q11" s="131">
        <f t="shared" si="2"/>
        <v>26</v>
      </c>
      <c r="R11"/>
      <c r="S11"/>
      <c r="T11"/>
      <c r="U11"/>
      <c r="V11"/>
    </row>
    <row r="12" s="123" customFormat="1" ht="15.6" spans="2:22">
      <c r="B12" s="116">
        <v>8</v>
      </c>
      <c r="C12" s="117" t="str">
        <f>'INPUT DATA'!B19</f>
        <v>GONZALES, JAMES A.</v>
      </c>
      <c r="D12" s="118">
        <v>80</v>
      </c>
      <c r="E12" s="118">
        <v>75</v>
      </c>
      <c r="F12" s="118">
        <f>MATHEMATICS!F19</f>
        <v>87</v>
      </c>
      <c r="G12" s="118">
        <v>83</v>
      </c>
      <c r="H12" s="118">
        <f>AP!F19</f>
        <v>80</v>
      </c>
      <c r="I12" s="119">
        <v>80</v>
      </c>
      <c r="J12" s="119">
        <f>TLE!F19</f>
        <v>85</v>
      </c>
      <c r="K12" s="119">
        <v>82</v>
      </c>
      <c r="L12" s="119">
        <v>82</v>
      </c>
      <c r="M12" s="118"/>
      <c r="N12" s="118"/>
      <c r="O12" s="118">
        <f t="shared" si="1"/>
        <v>82</v>
      </c>
      <c r="P12" s="127">
        <f t="shared" si="3"/>
        <v>81.5</v>
      </c>
      <c r="Q12" s="131">
        <f t="shared" si="2"/>
        <v>25</v>
      </c>
      <c r="R12"/>
      <c r="S12"/>
      <c r="T12"/>
      <c r="U12"/>
      <c r="V12"/>
    </row>
    <row r="13" s="123" customFormat="1" ht="15.6" spans="2:22">
      <c r="B13" s="116">
        <v>9</v>
      </c>
      <c r="C13" s="117" t="str">
        <f>'INPUT DATA'!B20</f>
        <v>LAGUNA, J.B. B.</v>
      </c>
      <c r="D13" s="118">
        <v>85</v>
      </c>
      <c r="E13" s="118">
        <v>84</v>
      </c>
      <c r="F13" s="118">
        <f>MATHEMATICS!F20</f>
        <v>84</v>
      </c>
      <c r="G13" s="118">
        <v>90</v>
      </c>
      <c r="H13" s="118">
        <f>AP!F20</f>
        <v>85</v>
      </c>
      <c r="I13" s="119">
        <v>83</v>
      </c>
      <c r="J13" s="119">
        <f>TLE!F20</f>
        <v>86</v>
      </c>
      <c r="K13" s="119">
        <v>86</v>
      </c>
      <c r="L13" s="119">
        <v>90</v>
      </c>
      <c r="M13" s="118"/>
      <c r="N13" s="118"/>
      <c r="O13" s="118">
        <f t="shared" si="1"/>
        <v>88</v>
      </c>
      <c r="P13" s="127">
        <f t="shared" si="3"/>
        <v>85.625</v>
      </c>
      <c r="Q13" s="131">
        <f t="shared" si="2"/>
        <v>9</v>
      </c>
      <c r="R13"/>
      <c r="S13"/>
      <c r="T13"/>
      <c r="U13"/>
      <c r="V13"/>
    </row>
    <row r="14" s="123" customFormat="1" ht="15.6" spans="2:22">
      <c r="B14" s="116">
        <v>10</v>
      </c>
      <c r="C14" s="117" t="str">
        <f>'INPUT DATA'!B21</f>
        <v>LARODA, STEVEN S.</v>
      </c>
      <c r="D14" s="118">
        <v>75</v>
      </c>
      <c r="E14" s="118">
        <v>75</v>
      </c>
      <c r="F14" s="118">
        <f>MATHEMATICS!F21</f>
        <v>77</v>
      </c>
      <c r="G14" s="118">
        <v>84</v>
      </c>
      <c r="H14" s="118">
        <f>AP!F21</f>
        <v>71</v>
      </c>
      <c r="I14" s="119">
        <f>VALED!F21</f>
        <v>80</v>
      </c>
      <c r="J14" s="119">
        <v>76</v>
      </c>
      <c r="K14" s="119">
        <v>84</v>
      </c>
      <c r="L14" s="119">
        <v>86</v>
      </c>
      <c r="M14" s="118"/>
      <c r="N14" s="118"/>
      <c r="O14" s="118">
        <f t="shared" si="1"/>
        <v>85</v>
      </c>
      <c r="P14" s="127">
        <f t="shared" si="3"/>
        <v>77.875</v>
      </c>
      <c r="Q14" s="131">
        <f t="shared" si="2"/>
        <v>30</v>
      </c>
      <c r="R14"/>
      <c r="S14"/>
      <c r="T14"/>
      <c r="U14"/>
      <c r="V14"/>
    </row>
    <row r="15" s="123" customFormat="1" ht="15.6" spans="2:22">
      <c r="B15" s="116">
        <v>11</v>
      </c>
      <c r="C15" s="117" t="str">
        <f>'INPUT DATA'!B22</f>
        <v>MERINO, SEDRIK R.</v>
      </c>
      <c r="D15" s="118">
        <v>70</v>
      </c>
      <c r="E15" s="118">
        <f>ENGLISH!F22</f>
        <v>65</v>
      </c>
      <c r="F15" s="118">
        <f>MATHEMATICS!F22</f>
        <v>0</v>
      </c>
      <c r="G15" s="118">
        <f>SCIENCE!J22</f>
        <v>76</v>
      </c>
      <c r="H15" s="118">
        <f>AP!F22</f>
        <v>70</v>
      </c>
      <c r="I15" s="119">
        <f>VALED!F22</f>
        <v>80</v>
      </c>
      <c r="J15" s="119">
        <v>76</v>
      </c>
      <c r="K15" s="119">
        <v>80</v>
      </c>
      <c r="L15" s="119">
        <v>85</v>
      </c>
      <c r="M15" s="118"/>
      <c r="N15" s="118"/>
      <c r="O15" s="118">
        <f t="shared" si="1"/>
        <v>82.5</v>
      </c>
      <c r="P15" s="127">
        <f t="shared" si="3"/>
        <v>64.9375</v>
      </c>
      <c r="Q15" s="131">
        <f t="shared" si="2"/>
        <v>38</v>
      </c>
      <c r="R15"/>
      <c r="S15" t="s">
        <v>117</v>
      </c>
      <c r="T15" t="s">
        <v>118</v>
      </c>
      <c r="U15" s="160">
        <v>87.81</v>
      </c>
      <c r="V15" s="142" t="s">
        <v>33</v>
      </c>
    </row>
    <row r="16" s="123" customFormat="1" ht="15.6" spans="2:23">
      <c r="B16" s="116">
        <v>12</v>
      </c>
      <c r="C16" s="117" t="str">
        <f>'INPUT DATA'!B23</f>
        <v>MONTERAS, VINCENT S.</v>
      </c>
      <c r="D16" s="118">
        <v>85</v>
      </c>
      <c r="E16" s="118">
        <v>81</v>
      </c>
      <c r="F16" s="118">
        <f>MATHEMATICS!F23</f>
        <v>77</v>
      </c>
      <c r="G16" s="118">
        <v>85</v>
      </c>
      <c r="H16" s="118">
        <f>AP!F23</f>
        <v>79</v>
      </c>
      <c r="I16" s="119">
        <v>80</v>
      </c>
      <c r="J16" s="119">
        <v>84</v>
      </c>
      <c r="K16" s="119">
        <v>84</v>
      </c>
      <c r="L16" s="119">
        <v>89</v>
      </c>
      <c r="M16" s="118"/>
      <c r="N16" s="118"/>
      <c r="O16" s="118">
        <f t="shared" si="1"/>
        <v>86.5</v>
      </c>
      <c r="P16" s="127">
        <f t="shared" si="3"/>
        <v>82.1875</v>
      </c>
      <c r="Q16" s="131">
        <f t="shared" si="2"/>
        <v>22</v>
      </c>
      <c r="R16"/>
      <c r="S16"/>
      <c r="T16"/>
      <c r="U16" s="162">
        <v>87.19</v>
      </c>
      <c r="V16" s="165" t="s">
        <v>20</v>
      </c>
      <c r="W16" s="166"/>
    </row>
    <row r="17" s="123" customFormat="1" ht="15.6" spans="2:22">
      <c r="B17" s="116">
        <v>13</v>
      </c>
      <c r="C17" s="117" t="str">
        <f>'INPUT DATA'!B24</f>
        <v>NACAWILI, ANDRIE L.</v>
      </c>
      <c r="D17" s="118">
        <v>85</v>
      </c>
      <c r="E17" s="118">
        <v>80</v>
      </c>
      <c r="F17" s="118">
        <f>MATHEMATICS!F24</f>
        <v>86</v>
      </c>
      <c r="G17" s="118">
        <v>90</v>
      </c>
      <c r="H17" s="118">
        <f>AP!F24</f>
        <v>80</v>
      </c>
      <c r="I17" s="119">
        <v>81</v>
      </c>
      <c r="J17" s="119">
        <f>TLE!F24</f>
        <v>76</v>
      </c>
      <c r="K17" s="119">
        <v>82</v>
      </c>
      <c r="L17" s="119">
        <v>86</v>
      </c>
      <c r="M17" s="118"/>
      <c r="N17" s="118"/>
      <c r="O17" s="118">
        <f t="shared" si="1"/>
        <v>84</v>
      </c>
      <c r="P17" s="127">
        <f t="shared" si="3"/>
        <v>82.75</v>
      </c>
      <c r="Q17" s="131">
        <f t="shared" si="2"/>
        <v>20</v>
      </c>
      <c r="R17"/>
      <c r="S17"/>
      <c r="T17"/>
      <c r="U17" s="162">
        <v>86.69</v>
      </c>
      <c r="V17" s="119" t="s">
        <v>22</v>
      </c>
    </row>
    <row r="18" s="123" customFormat="1" ht="15.6" spans="2:22">
      <c r="B18" s="116">
        <v>14</v>
      </c>
      <c r="C18" s="117" t="str">
        <f>'INPUT DATA'!B25</f>
        <v>OLIVERIO, CYREL JAY G.</v>
      </c>
      <c r="D18" s="118">
        <v>70</v>
      </c>
      <c r="E18" s="118">
        <f>ENGLISH!F25</f>
        <v>72</v>
      </c>
      <c r="F18" s="118">
        <f>MATHEMATICS!F25</f>
        <v>70</v>
      </c>
      <c r="G18" s="118">
        <f>SCIENCE!J25</f>
        <v>73</v>
      </c>
      <c r="H18" s="118">
        <f>AP!F25</f>
        <v>70</v>
      </c>
      <c r="I18" s="119">
        <f>VALED!F25</f>
        <v>79</v>
      </c>
      <c r="J18" s="119">
        <f>TLE!F25</f>
        <v>70</v>
      </c>
      <c r="K18" s="119">
        <v>77</v>
      </c>
      <c r="L18" s="119">
        <v>79</v>
      </c>
      <c r="M18" s="118"/>
      <c r="N18" s="118"/>
      <c r="O18" s="118">
        <f t="shared" si="1"/>
        <v>78</v>
      </c>
      <c r="P18" s="127">
        <f t="shared" si="3"/>
        <v>72.75</v>
      </c>
      <c r="Q18" s="131">
        <f t="shared" si="2"/>
        <v>36</v>
      </c>
      <c r="R18"/>
      <c r="S18"/>
      <c r="T18"/>
      <c r="U18" s="162">
        <v>85.88</v>
      </c>
      <c r="V18" s="148" t="s">
        <v>23</v>
      </c>
    </row>
    <row r="19" s="123" customFormat="1" ht="15.6" spans="2:22">
      <c r="B19" s="116">
        <v>15</v>
      </c>
      <c r="C19" s="117" t="str">
        <f>'INPUT DATA'!B26</f>
        <v>ORBITA,BRENN JOHN A.</v>
      </c>
      <c r="D19" s="118">
        <v>84</v>
      </c>
      <c r="E19" s="118">
        <v>85</v>
      </c>
      <c r="F19" s="118">
        <f>MATHEMATICS!F26</f>
        <v>84</v>
      </c>
      <c r="G19" s="118">
        <v>89</v>
      </c>
      <c r="H19" s="118">
        <f>AP!F26</f>
        <v>88</v>
      </c>
      <c r="I19" s="119">
        <v>80</v>
      </c>
      <c r="J19" s="119">
        <f>TLE!F26</f>
        <v>76</v>
      </c>
      <c r="K19" s="119">
        <v>81</v>
      </c>
      <c r="L19" s="119">
        <v>85</v>
      </c>
      <c r="M19" s="118"/>
      <c r="N19" s="118"/>
      <c r="O19" s="118">
        <f t="shared" si="1"/>
        <v>83</v>
      </c>
      <c r="P19" s="127">
        <f t="shared" si="3"/>
        <v>83.625</v>
      </c>
      <c r="Q19" s="131">
        <f t="shared" si="2"/>
        <v>18</v>
      </c>
      <c r="R19"/>
      <c r="S19"/>
      <c r="T19"/>
      <c r="U19" s="162">
        <v>85.81</v>
      </c>
      <c r="V19" s="119" t="s">
        <v>44</v>
      </c>
    </row>
    <row r="20" s="123" customFormat="1" ht="15.6" spans="2:22">
      <c r="B20" s="116">
        <v>16</v>
      </c>
      <c r="C20" s="117" t="str">
        <f>'INPUT DATA'!B27</f>
        <v>PAINLO,SHERWIN V.</v>
      </c>
      <c r="D20" s="118">
        <v>90</v>
      </c>
      <c r="E20" s="118">
        <v>88</v>
      </c>
      <c r="F20" s="118">
        <f>MATHEMATICS!F27</f>
        <v>89</v>
      </c>
      <c r="G20" s="118">
        <v>90</v>
      </c>
      <c r="H20" s="118">
        <f>AP!F27</f>
        <v>88</v>
      </c>
      <c r="I20" s="119">
        <v>83</v>
      </c>
      <c r="J20" s="119">
        <f>TLE!F27</f>
        <v>84</v>
      </c>
      <c r="K20" s="119">
        <v>88</v>
      </c>
      <c r="L20" s="119">
        <v>93</v>
      </c>
      <c r="M20" s="118"/>
      <c r="N20" s="118"/>
      <c r="O20" s="118">
        <f t="shared" si="1"/>
        <v>90.5</v>
      </c>
      <c r="P20" s="127">
        <f t="shared" si="3"/>
        <v>87.8125</v>
      </c>
      <c r="Q20" s="131">
        <f t="shared" si="2"/>
        <v>4</v>
      </c>
      <c r="R20"/>
      <c r="S20"/>
      <c r="T20"/>
      <c r="U20" s="164">
        <v>85.63</v>
      </c>
      <c r="V20" s="119" t="s">
        <v>49</v>
      </c>
    </row>
    <row r="21" s="123" customFormat="1" ht="15.6" spans="2:21">
      <c r="B21" s="116">
        <v>17</v>
      </c>
      <c r="C21" s="117" t="str">
        <f>'INPUT DATA'!B28</f>
        <v>RAMIREZ, MATTEO JOHN DAVE D.</v>
      </c>
      <c r="D21" s="118">
        <v>70</v>
      </c>
      <c r="E21" s="118">
        <f>ENGLISH!F28</f>
        <v>0</v>
      </c>
      <c r="F21" s="118">
        <f>MATHEMATICS!F28</f>
        <v>0</v>
      </c>
      <c r="G21" s="118">
        <f>SCIENCE!J28</f>
        <v>0</v>
      </c>
      <c r="H21" s="118">
        <f>AP!F28</f>
        <v>0</v>
      </c>
      <c r="I21" s="119">
        <f>VALED!F28</f>
        <v>78</v>
      </c>
      <c r="J21" s="119">
        <f>TLE!F28</f>
        <v>0</v>
      </c>
      <c r="K21" s="119">
        <v>73</v>
      </c>
      <c r="L21" s="119">
        <v>60</v>
      </c>
      <c r="M21" s="118"/>
      <c r="N21" s="118"/>
      <c r="O21" s="118">
        <f t="shared" si="1"/>
        <v>66.5</v>
      </c>
      <c r="P21" s="127">
        <f t="shared" si="3"/>
        <v>26.8125</v>
      </c>
      <c r="Q21" s="131">
        <f t="shared" si="2"/>
        <v>41</v>
      </c>
      <c r="R21"/>
      <c r="S21"/>
      <c r="T21"/>
      <c r="U21" s="162">
        <v>85.63</v>
      </c>
    </row>
    <row r="22" s="123" customFormat="1" ht="15.6" spans="2:21">
      <c r="B22" s="116">
        <v>18</v>
      </c>
      <c r="C22" s="117" t="str">
        <f>'INPUT DATA'!B29</f>
        <v>SIGUIRA, JASTINE B.</v>
      </c>
      <c r="D22" s="118">
        <v>75</v>
      </c>
      <c r="E22" s="118">
        <f>ENGLISH!F29</f>
        <v>0</v>
      </c>
      <c r="F22" s="118">
        <f>MATHEMATICS!F29</f>
        <v>0</v>
      </c>
      <c r="G22" s="118">
        <f>SCIENCE!J29</f>
        <v>0</v>
      </c>
      <c r="H22" s="118">
        <f>AP!F29</f>
        <v>0</v>
      </c>
      <c r="I22" s="119">
        <f>VALED!F29</f>
        <v>78</v>
      </c>
      <c r="J22" s="119">
        <f>TLE!F29</f>
        <v>0</v>
      </c>
      <c r="K22" s="118">
        <v>73</v>
      </c>
      <c r="L22" s="118">
        <v>74</v>
      </c>
      <c r="M22" s="118"/>
      <c r="N22" s="118"/>
      <c r="O22" s="118">
        <f t="shared" si="1"/>
        <v>73.5</v>
      </c>
      <c r="P22" s="127">
        <f t="shared" si="3"/>
        <v>28.3125</v>
      </c>
      <c r="Q22" s="131">
        <f t="shared" si="2"/>
        <v>40</v>
      </c>
      <c r="R22"/>
      <c r="S22"/>
      <c r="T22"/>
      <c r="U22" s="162">
        <v>85.44</v>
      </c>
    </row>
    <row r="23" s="123" customFormat="1" ht="15.6" spans="2:21">
      <c r="B23" s="116">
        <v>19</v>
      </c>
      <c r="C23" s="117" t="str">
        <f>'INPUT DATA'!B30</f>
        <v>TAA, JHONVINZ Y.</v>
      </c>
      <c r="D23" s="118">
        <v>75</v>
      </c>
      <c r="E23" s="118">
        <f>ENGLISH!F30</f>
        <v>75</v>
      </c>
      <c r="F23" s="118">
        <f>MATHEMATICS!F30</f>
        <v>85</v>
      </c>
      <c r="G23" s="118">
        <f>SCIENCE!J30</f>
        <v>75</v>
      </c>
      <c r="H23" s="118">
        <f>AP!F30</f>
        <v>71</v>
      </c>
      <c r="I23" s="119">
        <f>VALED!F30</f>
        <v>80</v>
      </c>
      <c r="J23" s="119">
        <v>76</v>
      </c>
      <c r="K23" s="118">
        <v>77</v>
      </c>
      <c r="L23" s="118">
        <v>84</v>
      </c>
      <c r="M23" s="118"/>
      <c r="N23" s="118"/>
      <c r="O23" s="118">
        <f t="shared" si="1"/>
        <v>80.5</v>
      </c>
      <c r="P23" s="127">
        <f t="shared" si="3"/>
        <v>77.1875</v>
      </c>
      <c r="Q23" s="131">
        <f t="shared" si="2"/>
        <v>31</v>
      </c>
      <c r="R23"/>
      <c r="S23"/>
      <c r="T23"/>
      <c r="U23" s="162">
        <v>85.13</v>
      </c>
    </row>
    <row r="24" s="123" customFormat="1" ht="15.6" spans="2:22">
      <c r="B24" s="116">
        <v>20</v>
      </c>
      <c r="C24" s="117" t="str">
        <f>'INPUT DATA'!B31</f>
        <v>ZOILO, JOHN LORENCE M.</v>
      </c>
      <c r="D24" s="118">
        <v>84</v>
      </c>
      <c r="E24" s="118">
        <v>80</v>
      </c>
      <c r="F24" s="118">
        <f>MATHEMATICS!F31</f>
        <v>85</v>
      </c>
      <c r="G24" s="118">
        <v>85</v>
      </c>
      <c r="H24" s="118">
        <f>AP!F31</f>
        <v>81</v>
      </c>
      <c r="I24" s="119">
        <v>80</v>
      </c>
      <c r="J24" s="119">
        <f>TLE!F31</f>
        <v>79</v>
      </c>
      <c r="K24" s="118">
        <v>84</v>
      </c>
      <c r="L24" s="118">
        <v>82</v>
      </c>
      <c r="M24" s="118"/>
      <c r="N24" s="118"/>
      <c r="O24" s="118">
        <f t="shared" si="1"/>
        <v>83</v>
      </c>
      <c r="P24" s="127">
        <f t="shared" si="3"/>
        <v>82.125</v>
      </c>
      <c r="Q24" s="131">
        <f t="shared" si="2"/>
        <v>23</v>
      </c>
      <c r="R24"/>
      <c r="S24"/>
      <c r="T24"/>
      <c r="U24"/>
      <c r="V24"/>
    </row>
    <row r="25" s="123" customFormat="1" ht="15.6" hidden="1" spans="2:22">
      <c r="B25" s="116">
        <v>21</v>
      </c>
      <c r="C25" s="117">
        <f>'INPUT DATA'!B32</f>
        <v>0</v>
      </c>
      <c r="D25" s="118"/>
      <c r="E25" s="118"/>
      <c r="F25" s="118"/>
      <c r="G25" s="118"/>
      <c r="H25" s="118"/>
      <c r="I25" s="118"/>
      <c r="J25" s="118"/>
      <c r="K25" s="118"/>
      <c r="L25" s="118"/>
      <c r="M25" s="118"/>
      <c r="N25" s="118"/>
      <c r="O25" s="118">
        <f t="shared" ref="O25:O31" si="4">(K25+L25+M25+N25)/4</f>
        <v>0</v>
      </c>
      <c r="P25" s="127">
        <f t="shared" si="3"/>
        <v>0</v>
      </c>
      <c r="Q25" s="131">
        <f t="shared" si="2"/>
        <v>43</v>
      </c>
      <c r="R25"/>
      <c r="S25"/>
      <c r="T25"/>
      <c r="U25"/>
      <c r="V25"/>
    </row>
    <row r="26" s="123" customFormat="1" ht="15.6" hidden="1" spans="2:22">
      <c r="B26" s="116">
        <v>22</v>
      </c>
      <c r="C26" s="117">
        <f>'INPUT DATA'!B33</f>
        <v>0</v>
      </c>
      <c r="D26" s="118"/>
      <c r="E26" s="118"/>
      <c r="F26" s="118"/>
      <c r="G26" s="118"/>
      <c r="H26" s="118"/>
      <c r="I26" s="118"/>
      <c r="J26" s="118"/>
      <c r="K26" s="118"/>
      <c r="L26" s="118"/>
      <c r="M26" s="118"/>
      <c r="N26" s="118"/>
      <c r="O26" s="118">
        <f t="shared" si="4"/>
        <v>0</v>
      </c>
      <c r="P26" s="127">
        <f t="shared" si="3"/>
        <v>0</v>
      </c>
      <c r="Q26" s="131">
        <f t="shared" si="2"/>
        <v>43</v>
      </c>
      <c r="R26"/>
      <c r="S26"/>
      <c r="T26"/>
      <c r="U26"/>
      <c r="V26" s="130"/>
    </row>
    <row r="27" s="123" customFormat="1" ht="15.6" hidden="1" spans="2:22">
      <c r="B27" s="116">
        <v>23</v>
      </c>
      <c r="C27" s="117">
        <f>'INPUT DATA'!B34</f>
        <v>0</v>
      </c>
      <c r="D27" s="118"/>
      <c r="E27" s="118"/>
      <c r="F27" s="118"/>
      <c r="G27" s="118"/>
      <c r="H27" s="118"/>
      <c r="I27" s="118"/>
      <c r="J27" s="118"/>
      <c r="K27" s="118"/>
      <c r="L27" s="118"/>
      <c r="M27" s="118"/>
      <c r="N27" s="118"/>
      <c r="O27" s="118">
        <f t="shared" si="4"/>
        <v>0</v>
      </c>
      <c r="P27" s="127">
        <f t="shared" si="3"/>
        <v>0</v>
      </c>
      <c r="Q27" s="131">
        <f t="shared" si="2"/>
        <v>43</v>
      </c>
      <c r="R27"/>
      <c r="S27"/>
      <c r="T27"/>
      <c r="U27"/>
      <c r="V27" s="130"/>
    </row>
    <row r="28" s="123" customFormat="1" ht="15.6" hidden="1" spans="2:22">
      <c r="B28" s="116">
        <v>24</v>
      </c>
      <c r="C28" s="119"/>
      <c r="D28" s="118"/>
      <c r="E28" s="118"/>
      <c r="F28" s="118"/>
      <c r="G28" s="118"/>
      <c r="H28" s="118"/>
      <c r="I28" s="118"/>
      <c r="J28" s="118"/>
      <c r="K28" s="118"/>
      <c r="L28" s="118"/>
      <c r="M28" s="118"/>
      <c r="N28" s="118"/>
      <c r="O28" s="118">
        <f t="shared" si="4"/>
        <v>0</v>
      </c>
      <c r="P28" s="127">
        <f t="shared" si="3"/>
        <v>0</v>
      </c>
      <c r="Q28" s="131">
        <f t="shared" si="2"/>
        <v>43</v>
      </c>
      <c r="R28"/>
      <c r="S28"/>
      <c r="T28"/>
      <c r="U28"/>
      <c r="V28" s="130"/>
    </row>
    <row r="29" s="123" customFormat="1" ht="15.6" hidden="1" spans="2:22">
      <c r="B29" s="116">
        <v>25</v>
      </c>
      <c r="C29" s="119"/>
      <c r="D29" s="118"/>
      <c r="E29" s="118"/>
      <c r="F29" s="118"/>
      <c r="G29" s="118"/>
      <c r="H29" s="118"/>
      <c r="I29" s="118"/>
      <c r="J29" s="118"/>
      <c r="K29" s="118"/>
      <c r="L29" s="118"/>
      <c r="M29" s="118"/>
      <c r="N29" s="118"/>
      <c r="O29" s="118">
        <f t="shared" si="4"/>
        <v>0</v>
      </c>
      <c r="P29" s="127">
        <f t="shared" si="3"/>
        <v>0</v>
      </c>
      <c r="Q29" s="131">
        <f t="shared" si="2"/>
        <v>43</v>
      </c>
      <c r="R29"/>
      <c r="S29"/>
      <c r="T29"/>
      <c r="U29"/>
      <c r="V29"/>
    </row>
    <row r="30" s="123" customFormat="1" ht="15.6" hidden="1" spans="2:22">
      <c r="B30" s="116">
        <v>26</v>
      </c>
      <c r="C30" s="119"/>
      <c r="D30" s="118"/>
      <c r="E30" s="118"/>
      <c r="F30" s="118"/>
      <c r="G30" s="118"/>
      <c r="H30" s="118"/>
      <c r="I30" s="118"/>
      <c r="J30" s="118"/>
      <c r="K30" s="118"/>
      <c r="L30" s="118"/>
      <c r="M30" s="118"/>
      <c r="N30" s="118"/>
      <c r="O30" s="118">
        <f t="shared" si="4"/>
        <v>0</v>
      </c>
      <c r="P30" s="127">
        <f t="shared" si="3"/>
        <v>0</v>
      </c>
      <c r="Q30" s="131">
        <f t="shared" si="2"/>
        <v>43</v>
      </c>
      <c r="R30"/>
      <c r="S30"/>
      <c r="T30"/>
      <c r="U30"/>
      <c r="V30"/>
    </row>
    <row r="31" s="123" customFormat="1" ht="15.6" hidden="1" spans="2:22">
      <c r="B31" s="116">
        <v>27</v>
      </c>
      <c r="C31" s="119"/>
      <c r="D31" s="118"/>
      <c r="E31" s="118"/>
      <c r="F31" s="118"/>
      <c r="G31" s="118"/>
      <c r="H31" s="118"/>
      <c r="I31" s="118"/>
      <c r="J31" s="118"/>
      <c r="K31" s="118"/>
      <c r="L31" s="118"/>
      <c r="M31" s="118"/>
      <c r="N31" s="118"/>
      <c r="O31" s="118">
        <f t="shared" si="4"/>
        <v>0</v>
      </c>
      <c r="P31" s="127">
        <f t="shared" si="3"/>
        <v>0</v>
      </c>
      <c r="Q31" s="131">
        <f t="shared" si="2"/>
        <v>43</v>
      </c>
      <c r="R31"/>
      <c r="S31"/>
      <c r="T31"/>
      <c r="U31"/>
      <c r="V31"/>
    </row>
    <row r="32" ht="15.6" spans="2:22">
      <c r="B32" s="114"/>
      <c r="C32" s="120" t="s">
        <v>39</v>
      </c>
      <c r="D32" s="120"/>
      <c r="E32" s="120"/>
      <c r="F32" s="120"/>
      <c r="G32" s="120"/>
      <c r="H32" s="120"/>
      <c r="I32" s="120"/>
      <c r="J32" s="120"/>
      <c r="K32" s="120"/>
      <c r="L32" s="120"/>
      <c r="M32" s="120"/>
      <c r="N32" s="120"/>
      <c r="O32" s="120"/>
      <c r="P32" s="120"/>
      <c r="Q32" s="131"/>
      <c r="R32"/>
      <c r="S32"/>
      <c r="T32"/>
      <c r="U32"/>
      <c r="V32"/>
    </row>
    <row r="33" s="123" customFormat="1" ht="15.6" spans="2:22">
      <c r="B33" s="116">
        <v>1</v>
      </c>
      <c r="C33" s="117" t="str">
        <f>'INPUT DATA'!B53</f>
        <v>ANGCOY, PRINCESS NAILLE T.</v>
      </c>
      <c r="D33" s="119">
        <v>75</v>
      </c>
      <c r="E33" s="119">
        <f>ENGLISH!F52</f>
        <v>77</v>
      </c>
      <c r="F33" s="119">
        <f>MATHEMATICS!F52</f>
        <v>87</v>
      </c>
      <c r="G33" s="119">
        <f>SCIENCE!F52</f>
        <v>82</v>
      </c>
      <c r="H33" s="119">
        <f>AP!F52</f>
        <v>77</v>
      </c>
      <c r="I33" s="119">
        <f>VALED!F52</f>
        <v>84</v>
      </c>
      <c r="J33" s="119">
        <v>87</v>
      </c>
      <c r="K33" s="119">
        <v>85</v>
      </c>
      <c r="L33" s="119">
        <v>90</v>
      </c>
      <c r="M33" s="119"/>
      <c r="N33" s="119"/>
      <c r="O33" s="118">
        <f t="shared" ref="O33:O56" si="5">(K33+L33+M33+N33)/2</f>
        <v>87.5</v>
      </c>
      <c r="P33" s="127">
        <f t="shared" ref="P33:P54" si="6">(D33+E33+F33+G33+H33+I33+J33+O33)/8</f>
        <v>82.0625</v>
      </c>
      <c r="Q33" s="131">
        <f t="shared" si="2"/>
        <v>24</v>
      </c>
      <c r="R33"/>
      <c r="S33"/>
      <c r="T33"/>
      <c r="U33"/>
      <c r="V33"/>
    </row>
    <row r="34" s="123" customFormat="1" ht="15.6" spans="2:22">
      <c r="B34" s="116">
        <v>2</v>
      </c>
      <c r="C34" s="117" t="str">
        <f>'INPUT DATA'!B54</f>
        <v>BIMOS, SHEILLA KATE O.</v>
      </c>
      <c r="D34" s="119">
        <v>78</v>
      </c>
      <c r="E34" s="119">
        <v>85</v>
      </c>
      <c r="F34" s="119">
        <f>MATHEMATICS!F53</f>
        <v>85</v>
      </c>
      <c r="G34" s="119">
        <f>SCIENCE!F53</f>
        <v>89</v>
      </c>
      <c r="H34" s="119">
        <f>AP!F53</f>
        <v>83</v>
      </c>
      <c r="I34" s="119">
        <v>82</v>
      </c>
      <c r="J34" s="119">
        <f>TLE!F53</f>
        <v>85</v>
      </c>
      <c r="K34" s="119">
        <v>92</v>
      </c>
      <c r="L34" s="119">
        <v>88</v>
      </c>
      <c r="M34" s="119"/>
      <c r="N34" s="119"/>
      <c r="O34" s="118">
        <f t="shared" si="5"/>
        <v>90</v>
      </c>
      <c r="P34" s="127">
        <f t="shared" si="6"/>
        <v>84.625</v>
      </c>
      <c r="Q34" s="131">
        <f t="shared" si="2"/>
        <v>14</v>
      </c>
      <c r="R34"/>
      <c r="S34" t="s">
        <v>119</v>
      </c>
      <c r="T34"/>
      <c r="U34"/>
      <c r="V34"/>
    </row>
    <row r="35" s="123" customFormat="1" ht="15.6" spans="2:22">
      <c r="B35" s="137">
        <v>3</v>
      </c>
      <c r="C35" s="138" t="str">
        <f>'INPUT DATA'!B55</f>
        <v>BONGABONG, DWEYN ZHAIRA A.</v>
      </c>
      <c r="D35" s="142">
        <v>92</v>
      </c>
      <c r="E35" s="142">
        <v>89</v>
      </c>
      <c r="F35" s="142">
        <f>MATHEMATICS!F54</f>
        <v>86</v>
      </c>
      <c r="G35" s="142">
        <f>SCIENCE!F54</f>
        <v>91</v>
      </c>
      <c r="H35" s="142">
        <f>AP!F54</f>
        <v>87</v>
      </c>
      <c r="I35" s="142">
        <v>91</v>
      </c>
      <c r="J35" s="142">
        <f>TLE!F54</f>
        <v>92</v>
      </c>
      <c r="K35" s="142">
        <v>88</v>
      </c>
      <c r="L35" s="142">
        <v>96</v>
      </c>
      <c r="M35" s="142"/>
      <c r="N35" s="142"/>
      <c r="O35" s="139">
        <f t="shared" si="5"/>
        <v>92</v>
      </c>
      <c r="P35" s="147">
        <f t="shared" si="6"/>
        <v>90</v>
      </c>
      <c r="Q35" s="163">
        <f t="shared" si="2"/>
        <v>3</v>
      </c>
      <c r="R35"/>
      <c r="S35"/>
      <c r="T35"/>
      <c r="U35"/>
      <c r="V35"/>
    </row>
    <row r="36" s="123" customFormat="1" ht="15.6" spans="2:22">
      <c r="B36" s="137">
        <v>4</v>
      </c>
      <c r="C36" s="138" t="str">
        <f>'INPUT DATA'!B56</f>
        <v>CABEL, LOURENE A.</v>
      </c>
      <c r="D36" s="142">
        <v>93</v>
      </c>
      <c r="E36" s="142">
        <v>90</v>
      </c>
      <c r="F36" s="142">
        <f>MATHEMATICS!F55</f>
        <v>90</v>
      </c>
      <c r="G36" s="142">
        <f>SCIENCE!F55</f>
        <v>90</v>
      </c>
      <c r="H36" s="142">
        <f>AP!F55</f>
        <v>88</v>
      </c>
      <c r="I36" s="142">
        <v>88</v>
      </c>
      <c r="J36" s="142">
        <f>TLE!F55</f>
        <v>90</v>
      </c>
      <c r="K36" s="142">
        <v>91</v>
      </c>
      <c r="L36" s="142">
        <v>93</v>
      </c>
      <c r="M36" s="142"/>
      <c r="N36" s="142"/>
      <c r="O36" s="139">
        <f t="shared" si="5"/>
        <v>92</v>
      </c>
      <c r="P36" s="147">
        <f t="shared" si="6"/>
        <v>90.125</v>
      </c>
      <c r="Q36" s="163">
        <f t="shared" si="2"/>
        <v>2</v>
      </c>
      <c r="V36" s="148" t="s">
        <v>120</v>
      </c>
    </row>
    <row r="37" s="123" customFormat="1" ht="15.6" spans="2:17">
      <c r="B37" s="116">
        <v>5</v>
      </c>
      <c r="C37" s="117" t="str">
        <f>'INPUT DATA'!B57</f>
        <v>CAMIGAO, DHENISE CLARE V.</v>
      </c>
      <c r="D37" s="119">
        <v>87</v>
      </c>
      <c r="E37" s="119">
        <v>83</v>
      </c>
      <c r="F37" s="119">
        <f>MATHEMATICS!F56</f>
        <v>86</v>
      </c>
      <c r="G37" s="119">
        <f>SCIENCE!F56</f>
        <v>84</v>
      </c>
      <c r="H37" s="119">
        <f>AP!F56</f>
        <v>84</v>
      </c>
      <c r="I37" s="119">
        <v>88</v>
      </c>
      <c r="J37" s="119">
        <f>TLE!F56</f>
        <v>84</v>
      </c>
      <c r="K37" s="119">
        <v>87</v>
      </c>
      <c r="L37" s="119">
        <v>94</v>
      </c>
      <c r="M37" s="119"/>
      <c r="N37" s="119"/>
      <c r="O37" s="118">
        <f t="shared" si="5"/>
        <v>90.5</v>
      </c>
      <c r="P37" s="127">
        <f t="shared" si="6"/>
        <v>85.8125</v>
      </c>
      <c r="Q37" s="131">
        <f t="shared" si="2"/>
        <v>8</v>
      </c>
    </row>
    <row r="38" s="123" customFormat="1" ht="15.6" spans="2:22">
      <c r="B38" s="116">
        <v>6</v>
      </c>
      <c r="C38" s="117" t="str">
        <f>'INPUT DATA'!B58</f>
        <v>CARISMA, NATHALIA MAE M.</v>
      </c>
      <c r="D38" s="119">
        <v>88</v>
      </c>
      <c r="E38" s="119">
        <v>80</v>
      </c>
      <c r="F38" s="119">
        <f>MATHEMATICS!F57</f>
        <v>87</v>
      </c>
      <c r="G38" s="119">
        <f>SCIENCE!F57</f>
        <v>84</v>
      </c>
      <c r="H38" s="119">
        <f>AP!F57</f>
        <v>85</v>
      </c>
      <c r="I38" s="119">
        <v>83</v>
      </c>
      <c r="J38" s="119">
        <f>TLE!F57</f>
        <v>85</v>
      </c>
      <c r="K38" s="119">
        <v>88</v>
      </c>
      <c r="L38" s="119">
        <v>87</v>
      </c>
      <c r="M38" s="119"/>
      <c r="N38" s="119"/>
      <c r="O38" s="118">
        <f t="shared" si="5"/>
        <v>87.5</v>
      </c>
      <c r="P38" s="127">
        <f t="shared" si="6"/>
        <v>84.9375</v>
      </c>
      <c r="Q38" s="131">
        <f t="shared" ref="Q38:Q54" si="7">RANK(P38,$P$5:$P$54)</f>
        <v>13</v>
      </c>
      <c r="V38" s="148" t="s">
        <v>22</v>
      </c>
    </row>
    <row r="39" s="123" customFormat="1" ht="15.6" spans="2:22">
      <c r="B39" s="116">
        <v>7</v>
      </c>
      <c r="C39" s="117" t="str">
        <f>'INPUT DATA'!B59</f>
        <v>CLARO, REANZ P.</v>
      </c>
      <c r="D39" s="119">
        <v>84</v>
      </c>
      <c r="E39" s="119">
        <v>82</v>
      </c>
      <c r="F39" s="119">
        <f>MATHEMATICS!F58</f>
        <v>85</v>
      </c>
      <c r="G39" s="119">
        <v>88</v>
      </c>
      <c r="H39" s="119">
        <f>AP!F58</f>
        <v>79</v>
      </c>
      <c r="I39" s="119">
        <v>81</v>
      </c>
      <c r="J39" s="119">
        <f>TLE!F58</f>
        <v>84</v>
      </c>
      <c r="K39" s="119">
        <v>86</v>
      </c>
      <c r="L39" s="119">
        <v>89</v>
      </c>
      <c r="M39" s="119"/>
      <c r="N39" s="119"/>
      <c r="O39" s="118">
        <f t="shared" si="5"/>
        <v>87.5</v>
      </c>
      <c r="P39" s="127">
        <f t="shared" si="6"/>
        <v>83.8125</v>
      </c>
      <c r="Q39" s="131">
        <f t="shared" si="7"/>
        <v>17</v>
      </c>
      <c r="V39" s="148" t="s">
        <v>20</v>
      </c>
    </row>
    <row r="40" s="123" customFormat="1" ht="15.6" spans="2:22">
      <c r="B40" s="137">
        <v>8</v>
      </c>
      <c r="C40" s="138" t="str">
        <f>'INPUT DATA'!B60</f>
        <v>FRANCISCO, YSABELLA BEATRICE B.</v>
      </c>
      <c r="D40" s="142">
        <v>92</v>
      </c>
      <c r="E40" s="142">
        <v>89</v>
      </c>
      <c r="F40" s="142">
        <f>MATHEMATICS!F59</f>
        <v>86</v>
      </c>
      <c r="G40" s="142">
        <f>SCIENCE!F59</f>
        <v>93</v>
      </c>
      <c r="H40" s="142">
        <f>AP!F59</f>
        <v>91</v>
      </c>
      <c r="I40" s="142">
        <v>89</v>
      </c>
      <c r="J40" s="142">
        <f>TLE!F59</f>
        <v>92</v>
      </c>
      <c r="K40" s="142">
        <v>91</v>
      </c>
      <c r="L40" s="142">
        <v>95</v>
      </c>
      <c r="M40" s="142"/>
      <c r="N40" s="142"/>
      <c r="O40" s="139">
        <f t="shared" si="5"/>
        <v>93</v>
      </c>
      <c r="P40" s="147">
        <f t="shared" si="6"/>
        <v>90.625</v>
      </c>
      <c r="Q40" s="163">
        <f t="shared" si="7"/>
        <v>1</v>
      </c>
      <c r="V40" s="148" t="s">
        <v>30</v>
      </c>
    </row>
    <row r="41" s="123" customFormat="1" ht="15.6" spans="2:22">
      <c r="B41" s="116">
        <v>9</v>
      </c>
      <c r="C41" s="117" t="str">
        <f>'INPUT DATA'!B61</f>
        <v>GALDO, ALYSSA RHIAN P.</v>
      </c>
      <c r="D41" s="119">
        <v>80</v>
      </c>
      <c r="E41" s="119">
        <f>ENGLISH!F60</f>
        <v>81</v>
      </c>
      <c r="F41" s="119">
        <f>MATHEMATICS!F60</f>
        <v>82</v>
      </c>
      <c r="G41" s="119">
        <v>85</v>
      </c>
      <c r="H41" s="119">
        <v>81</v>
      </c>
      <c r="I41" s="119">
        <v>80</v>
      </c>
      <c r="J41" s="119">
        <v>80</v>
      </c>
      <c r="K41" s="119">
        <v>90</v>
      </c>
      <c r="L41" s="119">
        <v>89</v>
      </c>
      <c r="M41" s="119"/>
      <c r="N41" s="119"/>
      <c r="O41" s="118">
        <f t="shared" si="5"/>
        <v>89.5</v>
      </c>
      <c r="P41" s="127">
        <f t="shared" si="6"/>
        <v>82.3125</v>
      </c>
      <c r="Q41" s="131">
        <f t="shared" si="7"/>
        <v>21</v>
      </c>
      <c r="V41" s="148" t="s">
        <v>49</v>
      </c>
    </row>
    <row r="42" s="123" customFormat="1" ht="15.6" spans="2:22">
      <c r="B42" s="116">
        <v>10</v>
      </c>
      <c r="C42" s="117" t="str">
        <f>'INPUT DATA'!B62</f>
        <v>HURAÑO, RIOMI M.</v>
      </c>
      <c r="D42" s="119">
        <v>88</v>
      </c>
      <c r="E42" s="119">
        <v>86</v>
      </c>
      <c r="F42" s="119">
        <f>MATHEMATICS!F61</f>
        <v>87</v>
      </c>
      <c r="G42" s="119">
        <f>SCIENCE!F61</f>
        <v>87</v>
      </c>
      <c r="H42" s="119">
        <f>AP!F61</f>
        <v>82</v>
      </c>
      <c r="I42" s="119">
        <v>83</v>
      </c>
      <c r="J42" s="119">
        <f>TLE!F61</f>
        <v>83</v>
      </c>
      <c r="K42" s="119">
        <v>87</v>
      </c>
      <c r="L42" s="119">
        <v>91</v>
      </c>
      <c r="M42" s="119"/>
      <c r="N42" s="119"/>
      <c r="O42" s="118">
        <f t="shared" si="5"/>
        <v>89</v>
      </c>
      <c r="P42" s="127">
        <f t="shared" si="6"/>
        <v>85.625</v>
      </c>
      <c r="Q42" s="131">
        <f t="shared" si="7"/>
        <v>9</v>
      </c>
      <c r="V42" s="148" t="s">
        <v>51</v>
      </c>
    </row>
    <row r="43" s="123" customFormat="1" ht="15.6" spans="2:22">
      <c r="B43" s="116">
        <v>11</v>
      </c>
      <c r="C43" s="117" t="str">
        <f>'INPUT DATA'!B63</f>
        <v>LAGUNA, WELLAIZA O.</v>
      </c>
      <c r="D43" s="119">
        <v>75</v>
      </c>
      <c r="E43" s="119">
        <f>ENGLISH!F62</f>
        <v>80</v>
      </c>
      <c r="F43" s="119">
        <f>MATHEMATICS!F62</f>
        <v>81</v>
      </c>
      <c r="G43" s="119">
        <v>80</v>
      </c>
      <c r="H43" s="119">
        <v>75</v>
      </c>
      <c r="I43" s="119">
        <v>80</v>
      </c>
      <c r="J43" s="119">
        <v>75</v>
      </c>
      <c r="K43" s="119">
        <v>86</v>
      </c>
      <c r="L43" s="119">
        <v>87</v>
      </c>
      <c r="M43" s="119"/>
      <c r="N43" s="119"/>
      <c r="O43" s="118">
        <f t="shared" si="5"/>
        <v>86.5</v>
      </c>
      <c r="P43" s="127">
        <f t="shared" si="6"/>
        <v>79.0625</v>
      </c>
      <c r="Q43" s="131">
        <f t="shared" si="7"/>
        <v>28</v>
      </c>
      <c r="V43" s="148" t="s">
        <v>121</v>
      </c>
    </row>
    <row r="44" s="123" customFormat="1" ht="15.6" spans="2:22">
      <c r="B44" s="116">
        <v>12</v>
      </c>
      <c r="C44" s="117" t="str">
        <f>'INPUT DATA'!B64</f>
        <v>LAZAGA, PRINCESS JEAN O.</v>
      </c>
      <c r="D44" s="119">
        <v>85</v>
      </c>
      <c r="E44" s="119">
        <v>85</v>
      </c>
      <c r="F44" s="119">
        <f>MATHEMATICS!F63</f>
        <v>82</v>
      </c>
      <c r="G44" s="119">
        <f>SCIENCE!F63</f>
        <v>86</v>
      </c>
      <c r="H44" s="119">
        <f>AP!F63</f>
        <v>80</v>
      </c>
      <c r="I44" s="119">
        <v>84</v>
      </c>
      <c r="J44" s="119">
        <f>TLE!F63</f>
        <v>83</v>
      </c>
      <c r="K44" s="119">
        <v>85</v>
      </c>
      <c r="L44" s="119">
        <v>90</v>
      </c>
      <c r="M44" s="119"/>
      <c r="N44" s="119"/>
      <c r="O44" s="118">
        <f t="shared" si="5"/>
        <v>87.5</v>
      </c>
      <c r="P44" s="127">
        <f t="shared" si="6"/>
        <v>84.0625</v>
      </c>
      <c r="Q44" s="131">
        <f t="shared" si="7"/>
        <v>16</v>
      </c>
      <c r="V44" s="148" t="s">
        <v>122</v>
      </c>
    </row>
    <row r="45" s="123" customFormat="1" ht="15.6" spans="2:17">
      <c r="B45" s="116">
        <v>13</v>
      </c>
      <c r="C45" s="117" t="str">
        <f>'INPUT DATA'!B65</f>
        <v>LIBRES, MIKYLLA B.</v>
      </c>
      <c r="D45" s="119">
        <v>75</v>
      </c>
      <c r="E45" s="119">
        <f>ENGLISH!F64</f>
        <v>75</v>
      </c>
      <c r="F45" s="119">
        <f>MATHEMATICS!F64</f>
        <v>84</v>
      </c>
      <c r="G45" s="119">
        <f>SCIENCE!F64</f>
        <v>82</v>
      </c>
      <c r="H45" s="119">
        <f>AP!F64</f>
        <v>72</v>
      </c>
      <c r="I45" s="119">
        <f>VALED!F64</f>
        <v>80</v>
      </c>
      <c r="J45" s="119">
        <v>81</v>
      </c>
      <c r="K45" s="119">
        <v>82</v>
      </c>
      <c r="L45" s="119">
        <v>83</v>
      </c>
      <c r="M45" s="119"/>
      <c r="N45" s="119"/>
      <c r="O45" s="118">
        <f t="shared" si="5"/>
        <v>82.5</v>
      </c>
      <c r="P45" s="127">
        <f t="shared" si="6"/>
        <v>78.9375</v>
      </c>
      <c r="Q45" s="131">
        <f t="shared" si="7"/>
        <v>29</v>
      </c>
    </row>
    <row r="46" s="123" customFormat="1" ht="15.6" spans="2:17">
      <c r="B46" s="116">
        <v>14</v>
      </c>
      <c r="C46" s="117" t="str">
        <f>'INPUT DATA'!B66</f>
        <v>LIM, LENNIE GRACE S.</v>
      </c>
      <c r="D46" s="119">
        <v>86</v>
      </c>
      <c r="E46" s="119">
        <v>83</v>
      </c>
      <c r="F46" s="119">
        <f>MATHEMATICS!F65</f>
        <v>86</v>
      </c>
      <c r="G46" s="119">
        <f>SCIENCE!F65</f>
        <v>84</v>
      </c>
      <c r="H46" s="119">
        <f>AP!F65</f>
        <v>79</v>
      </c>
      <c r="I46" s="119">
        <v>85</v>
      </c>
      <c r="J46" s="119">
        <f>TLE!F65</f>
        <v>86</v>
      </c>
      <c r="K46" s="119">
        <v>92</v>
      </c>
      <c r="L46" s="119">
        <v>92</v>
      </c>
      <c r="M46" s="119"/>
      <c r="N46" s="119"/>
      <c r="O46" s="118">
        <f t="shared" si="5"/>
        <v>92</v>
      </c>
      <c r="P46" s="127">
        <f t="shared" si="6"/>
        <v>85.125</v>
      </c>
      <c r="Q46" s="131">
        <f t="shared" si="7"/>
        <v>12</v>
      </c>
    </row>
    <row r="47" s="123" customFormat="1" ht="15.6" spans="2:17">
      <c r="B47" s="116">
        <v>15</v>
      </c>
      <c r="C47" s="117" t="str">
        <f>'INPUT DATA'!B67</f>
        <v>MASAYON, RHEA JANE L.</v>
      </c>
      <c r="D47" s="119">
        <v>70</v>
      </c>
      <c r="E47" s="119">
        <v>84</v>
      </c>
      <c r="F47" s="119">
        <f>MATHEMATICS!F66</f>
        <v>80</v>
      </c>
      <c r="G47" s="119">
        <f>SCIENCE!F66</f>
        <v>82</v>
      </c>
      <c r="H47" s="119">
        <f>AP!F66</f>
        <v>83</v>
      </c>
      <c r="I47" s="119">
        <f>VALED!F66</f>
        <v>80</v>
      </c>
      <c r="J47" s="119">
        <v>78</v>
      </c>
      <c r="K47" s="119">
        <v>80</v>
      </c>
      <c r="L47" s="119">
        <v>81</v>
      </c>
      <c r="M47" s="119"/>
      <c r="N47" s="119"/>
      <c r="O47" s="118">
        <f t="shared" si="5"/>
        <v>80.5</v>
      </c>
      <c r="P47" s="127">
        <f t="shared" si="6"/>
        <v>79.6875</v>
      </c>
      <c r="Q47" s="131">
        <f t="shared" si="7"/>
        <v>27</v>
      </c>
    </row>
    <row r="48" s="123" customFormat="1" ht="15.6" spans="2:17">
      <c r="B48" s="116">
        <v>16</v>
      </c>
      <c r="C48" s="117" t="str">
        <f>'INPUT DATA'!B68</f>
        <v>MORANCIL, JENEVI A.</v>
      </c>
      <c r="D48" s="119">
        <v>84</v>
      </c>
      <c r="E48" s="119">
        <f>ENGLISH!F67</f>
        <v>75</v>
      </c>
      <c r="F48" s="119">
        <f>MATHEMATICS!F67</f>
        <v>87</v>
      </c>
      <c r="G48" s="119">
        <f>SCIENCE!F67</f>
        <v>86</v>
      </c>
      <c r="H48" s="119">
        <f>AP!F67</f>
        <v>77</v>
      </c>
      <c r="I48" s="119">
        <f>VALED!F67</f>
        <v>85</v>
      </c>
      <c r="J48" s="119">
        <v>85</v>
      </c>
      <c r="K48" s="119">
        <v>90</v>
      </c>
      <c r="L48" s="119">
        <v>89</v>
      </c>
      <c r="M48" s="119"/>
      <c r="N48" s="119"/>
      <c r="O48" s="118">
        <f t="shared" si="5"/>
        <v>89.5</v>
      </c>
      <c r="P48" s="127">
        <f t="shared" si="6"/>
        <v>83.5625</v>
      </c>
      <c r="Q48" s="131">
        <f t="shared" si="7"/>
        <v>19</v>
      </c>
    </row>
    <row r="49" s="123" customFormat="1" ht="15.6" spans="2:17">
      <c r="B49" s="116">
        <v>17</v>
      </c>
      <c r="C49" s="117" t="str">
        <f>'INPUT DATA'!B69</f>
        <v>PATRICIO, MICHA ELLA P.</v>
      </c>
      <c r="D49" s="119">
        <v>72</v>
      </c>
      <c r="E49" s="119">
        <f>ENGLISH!F68</f>
        <v>75</v>
      </c>
      <c r="F49" s="119">
        <f>MATHEMATICS!F68</f>
        <v>77</v>
      </c>
      <c r="G49" s="119">
        <f>SCIENCE!F68</f>
        <v>80</v>
      </c>
      <c r="H49" s="119">
        <f>AP!F68</f>
        <v>71</v>
      </c>
      <c r="I49" s="119">
        <f>VALED!F68</f>
        <v>80</v>
      </c>
      <c r="J49" s="119">
        <f>TLE!F68</f>
        <v>74</v>
      </c>
      <c r="K49" s="119">
        <v>77</v>
      </c>
      <c r="L49" s="119">
        <v>81</v>
      </c>
      <c r="M49" s="119"/>
      <c r="N49" s="119"/>
      <c r="O49" s="118">
        <f t="shared" si="5"/>
        <v>79</v>
      </c>
      <c r="P49" s="127">
        <f t="shared" si="6"/>
        <v>76</v>
      </c>
      <c r="Q49" s="131">
        <f t="shared" si="7"/>
        <v>34</v>
      </c>
    </row>
    <row r="50" s="123" customFormat="1" ht="15.6" spans="2:17">
      <c r="B50" s="116">
        <v>18</v>
      </c>
      <c r="C50" s="117" t="str">
        <f>'INPUT DATA'!B70</f>
        <v>PELINGON , ASHLEY C.</v>
      </c>
      <c r="D50" s="119">
        <v>88</v>
      </c>
      <c r="E50" s="119">
        <v>80</v>
      </c>
      <c r="F50" s="119">
        <f>MATHEMATICS!F69</f>
        <v>82</v>
      </c>
      <c r="G50" s="119">
        <f>SCIENCE!F69</f>
        <v>88</v>
      </c>
      <c r="H50" s="119">
        <f>AP!F69</f>
        <v>82</v>
      </c>
      <c r="I50" s="119">
        <v>86</v>
      </c>
      <c r="J50" s="119">
        <f>TLE!F69</f>
        <v>81</v>
      </c>
      <c r="K50" s="119">
        <v>86</v>
      </c>
      <c r="L50" s="119">
        <v>88</v>
      </c>
      <c r="M50" s="119"/>
      <c r="N50" s="119"/>
      <c r="O50" s="118">
        <f t="shared" si="5"/>
        <v>87</v>
      </c>
      <c r="P50" s="127">
        <f t="shared" si="6"/>
        <v>84.25</v>
      </c>
      <c r="Q50" s="131">
        <f t="shared" si="7"/>
        <v>15</v>
      </c>
    </row>
    <row r="51" s="123" customFormat="1" ht="15.6" spans="2:17">
      <c r="B51" s="116">
        <v>19</v>
      </c>
      <c r="C51" s="117" t="str">
        <f>'INPUT DATA'!B71</f>
        <v>PEREZ, MERCY JEAN T.</v>
      </c>
      <c r="D51" s="119">
        <v>70</v>
      </c>
      <c r="E51" s="119">
        <f>ENGLISH!F70</f>
        <v>75</v>
      </c>
      <c r="F51" s="119">
        <f>MATHEMATICS!F70</f>
        <v>79</v>
      </c>
      <c r="G51" s="119">
        <f>SCIENCE!F70</f>
        <v>80</v>
      </c>
      <c r="H51" s="119">
        <f>AP!F70</f>
        <v>71</v>
      </c>
      <c r="I51" s="119">
        <f>VALED!F70</f>
        <v>80</v>
      </c>
      <c r="J51" s="119">
        <v>75</v>
      </c>
      <c r="K51" s="119">
        <v>81</v>
      </c>
      <c r="L51" s="119">
        <v>83</v>
      </c>
      <c r="M51" s="119"/>
      <c r="N51" s="119"/>
      <c r="O51" s="118">
        <f t="shared" si="5"/>
        <v>82</v>
      </c>
      <c r="P51" s="127">
        <f t="shared" si="6"/>
        <v>76.5</v>
      </c>
      <c r="Q51" s="131">
        <f t="shared" si="7"/>
        <v>33</v>
      </c>
    </row>
    <row r="52" s="123" customFormat="1" ht="15.6" spans="2:17">
      <c r="B52" s="116">
        <v>20</v>
      </c>
      <c r="C52" s="117" t="str">
        <f>'INPUT DATA'!B72</f>
        <v>PINGOT, RHEA L.</v>
      </c>
      <c r="D52" s="119">
        <f>FILIPINO!F67</f>
        <v>70</v>
      </c>
      <c r="E52" s="119">
        <f>ENGLISH!F71</f>
        <v>0</v>
      </c>
      <c r="F52" s="119">
        <f>MATHEMATICS!F71</f>
        <v>80</v>
      </c>
      <c r="G52" s="119">
        <f>SCIENCE!F71</f>
        <v>75</v>
      </c>
      <c r="H52" s="119">
        <f>AP!F71</f>
        <v>71</v>
      </c>
      <c r="I52" s="119">
        <f>VALED!F71</f>
        <v>75</v>
      </c>
      <c r="J52" s="119">
        <f>TLE!F71</f>
        <v>70</v>
      </c>
      <c r="K52" s="119">
        <v>81</v>
      </c>
      <c r="L52" s="119">
        <v>81</v>
      </c>
      <c r="M52" s="119"/>
      <c r="N52" s="119"/>
      <c r="O52" s="118">
        <f t="shared" si="5"/>
        <v>81</v>
      </c>
      <c r="P52" s="127">
        <f t="shared" si="6"/>
        <v>65.25</v>
      </c>
      <c r="Q52" s="131">
        <f t="shared" si="7"/>
        <v>37</v>
      </c>
    </row>
    <row r="53" s="123" customFormat="1" ht="15.6" spans="2:17">
      <c r="B53" s="116">
        <v>21</v>
      </c>
      <c r="C53" s="117" t="str">
        <f>'INPUT DATA'!B73</f>
        <v>QUILAT, FERRA MAE</v>
      </c>
      <c r="D53" s="119">
        <v>74</v>
      </c>
      <c r="E53" s="119">
        <v>75</v>
      </c>
      <c r="F53" s="119">
        <f>MATHEMATICS!F72</f>
        <v>77</v>
      </c>
      <c r="G53" s="119">
        <f>SCIENCE!F72</f>
        <v>75</v>
      </c>
      <c r="H53" s="119">
        <f>AP!F72</f>
        <v>71</v>
      </c>
      <c r="I53" s="119">
        <f>VALED!F72</f>
        <v>80</v>
      </c>
      <c r="J53" s="119">
        <f>TLE!F72</f>
        <v>74</v>
      </c>
      <c r="K53" s="119">
        <v>79</v>
      </c>
      <c r="L53" s="119">
        <v>78</v>
      </c>
      <c r="M53" s="119"/>
      <c r="N53" s="119"/>
      <c r="O53" s="118">
        <f t="shared" si="5"/>
        <v>78.5</v>
      </c>
      <c r="P53" s="127">
        <f t="shared" si="6"/>
        <v>75.5625</v>
      </c>
      <c r="Q53" s="131">
        <f t="shared" si="7"/>
        <v>35</v>
      </c>
    </row>
    <row r="54" s="123" customFormat="1" ht="15.6" spans="2:17">
      <c r="B54" s="116">
        <v>22</v>
      </c>
      <c r="C54" s="117" t="str">
        <f>'INPUT DATA'!B74</f>
        <v>ROSALES, RYZA MAE C.</v>
      </c>
      <c r="D54" s="119">
        <v>89</v>
      </c>
      <c r="E54" s="119">
        <v>86</v>
      </c>
      <c r="F54" s="119">
        <f>MATHEMATICS!F73</f>
        <v>85</v>
      </c>
      <c r="G54" s="119">
        <f>SCIENCE!F73</f>
        <v>88</v>
      </c>
      <c r="H54" s="119">
        <f>AP!F73</f>
        <v>80</v>
      </c>
      <c r="I54" s="119">
        <v>80</v>
      </c>
      <c r="J54" s="119">
        <f>TLE!F73</f>
        <v>88</v>
      </c>
      <c r="K54" s="119">
        <v>84</v>
      </c>
      <c r="L54" s="119">
        <v>91</v>
      </c>
      <c r="M54" s="119"/>
      <c r="N54" s="119"/>
      <c r="O54" s="118">
        <f t="shared" si="5"/>
        <v>87.5</v>
      </c>
      <c r="P54" s="127">
        <f t="shared" si="6"/>
        <v>85.4375</v>
      </c>
      <c r="Q54" s="131">
        <f t="shared" si="7"/>
        <v>11</v>
      </c>
    </row>
    <row r="55" s="123" customFormat="1" ht="15.6" spans="2:17">
      <c r="B55" s="116"/>
      <c r="C55" s="117">
        <f>'INPUT DATA'!B75</f>
        <v>0</v>
      </c>
      <c r="D55" s="119"/>
      <c r="E55" s="119">
        <f>ENGLISH!F74</f>
        <v>0</v>
      </c>
      <c r="F55" s="119">
        <f>MATHEMATICS!F74</f>
        <v>0</v>
      </c>
      <c r="G55" s="119">
        <f>SCIENCE!F74</f>
        <v>0</v>
      </c>
      <c r="H55" s="119">
        <f>AP!F74</f>
        <v>0</v>
      </c>
      <c r="I55" s="126">
        <f>VALED!F74</f>
        <v>0</v>
      </c>
      <c r="J55" s="126">
        <f>TLE!F74</f>
        <v>0</v>
      </c>
      <c r="K55" s="126"/>
      <c r="L55" s="126"/>
      <c r="M55" s="119"/>
      <c r="N55" s="119"/>
      <c r="O55" s="118">
        <f t="shared" si="5"/>
        <v>0</v>
      </c>
      <c r="P55" s="127"/>
      <c r="Q55" s="131"/>
    </row>
    <row r="56" s="123" customFormat="1" ht="15.6" spans="2:17">
      <c r="B56" s="116"/>
      <c r="C56" s="117">
        <f>'INPUT DATA'!B76</f>
        <v>0</v>
      </c>
      <c r="D56" s="119"/>
      <c r="E56" s="119"/>
      <c r="F56" s="119"/>
      <c r="G56" s="119"/>
      <c r="H56" s="119">
        <f>AP!F75</f>
        <v>0</v>
      </c>
      <c r="I56" s="126"/>
      <c r="J56" s="126">
        <f>TLE!F75</f>
        <v>0</v>
      </c>
      <c r="K56" s="126"/>
      <c r="L56" s="126"/>
      <c r="M56" s="119"/>
      <c r="N56" s="119"/>
      <c r="O56" s="118">
        <f t="shared" si="5"/>
        <v>0</v>
      </c>
      <c r="P56" s="127"/>
      <c r="Q56" s="131"/>
    </row>
    <row r="57" s="123" customFormat="1" ht="15.6" spans="2:17">
      <c r="B57" s="116"/>
      <c r="C57" s="117">
        <f>'INPUT DATA'!B77</f>
        <v>0</v>
      </c>
      <c r="D57" s="119"/>
      <c r="E57" s="119"/>
      <c r="F57" s="119"/>
      <c r="G57" s="119"/>
      <c r="H57" s="119"/>
      <c r="I57" s="119"/>
      <c r="J57" s="119"/>
      <c r="K57" s="119"/>
      <c r="L57" s="119"/>
      <c r="M57" s="119"/>
      <c r="N57" s="119"/>
      <c r="O57" s="118">
        <f>(K57+L57+M57+N57)/4</f>
        <v>0</v>
      </c>
      <c r="P57" s="127">
        <f>(D57+E57+F57+G57+H57+I57+J57+O57)/8</f>
        <v>0</v>
      </c>
      <c r="Q57" s="118">
        <f>P57</f>
        <v>0</v>
      </c>
    </row>
    <row r="58" s="123" customFormat="1"/>
    <row r="59" spans="2:12">
      <c r="B59" s="124" t="s">
        <v>123</v>
      </c>
      <c r="L59" s="124" t="s">
        <v>124</v>
      </c>
    </row>
    <row r="61" ht="15.6" spans="2:12">
      <c r="B61" s="125" t="s">
        <v>14</v>
      </c>
      <c r="L61" s="125" t="s">
        <v>125</v>
      </c>
    </row>
    <row r="62" spans="2:12">
      <c r="B62" s="124" t="s">
        <v>126</v>
      </c>
      <c r="L62" s="124" t="s">
        <v>127</v>
      </c>
    </row>
  </sheetData>
  <mergeCells count="3">
    <mergeCell ref="B1:Q1"/>
    <mergeCell ref="B2:Q2"/>
    <mergeCell ref="V16:W16"/>
  </mergeCells>
  <dataValidations count="4">
    <dataValidation allowBlank="1" showErrorMessage="1" sqref="K5:L5 K33:L33 I56 K56:L56 I5:I24 I33:I55 J5:J24 J33:J56 K54:L55 K6:L21 K34:L48 K49:L53"/>
    <dataValidation allowBlank="1" showInputMessage="1" showErrorMessage="1" prompt="Do not type name of learners here. Go to INPUT DATA sheet." sqref="V5 V6 V7 V15 V17 V18 V19 V20 V36 V38 V39 V41 V44 C5:C27 C33:C52 C53:C57"/>
    <dataValidation allowBlank="1" showInputMessage="1" showErrorMessage="1" prompt="Either manually encode learner's name here or copy learner's name from SF1 then paste here." sqref="V26 V27 M33:N33 M52:N52 M53:N53 E56 F56:G56 D57 E57 F57:J57 K57:N57 D33:D54 D55:D56 E33:E55 F33:F55 G33:G55 H33:H56 M50:N51 M34:N49 M54:N56"/>
    <dataValidation allowBlank="1" showInputMessage="1" prompt="Do not type name of learners here. Go to INPUT DATA sheet." sqref="V28 C28:C31"/>
  </dataValidations>
  <pageMargins left="0.393055555555556" right="0.25" top="0.66875" bottom="0.75" header="0.298611111111111" footer="0.298611111111111"/>
  <pageSetup paperSize="9" scale="75"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64"/>
  <sheetViews>
    <sheetView topLeftCell="B1" workbookViewId="0">
      <pane ySplit="4" topLeftCell="A5" activePane="bottomLeft" state="frozen"/>
      <selection/>
      <selection pane="bottomLeft" activeCell="B15" sqref="$A15:$XFD15"/>
    </sheetView>
  </sheetViews>
  <sheetFormatPr defaultColWidth="8.88888888888889" defaultRowHeight="13.2"/>
  <cols>
    <col min="1" max="1" width="2.18518518518518" customWidth="1"/>
    <col min="2" max="2" width="5.22222222222222" customWidth="1"/>
    <col min="3" max="3" width="33.4444444444444" style="111" customWidth="1"/>
    <col min="4" max="4" width="5.88888888888889" customWidth="1"/>
    <col min="5" max="5" width="5.55555555555556" customWidth="1"/>
    <col min="6" max="6" width="6.77777777777778" customWidth="1"/>
    <col min="7" max="7" width="5.11111111111111" customWidth="1"/>
    <col min="8" max="8" width="5.44444444444444" customWidth="1"/>
    <col min="9" max="9" width="5.88888888888889" customWidth="1"/>
    <col min="10" max="10" width="6.22222222222222" customWidth="1"/>
    <col min="11" max="11" width="7.33333333333333" customWidth="1"/>
    <col min="12" max="12" width="6.33333333333333" customWidth="1"/>
    <col min="13" max="13" width="5" hidden="1" customWidth="1"/>
    <col min="14" max="14" width="8.88888888888889" hidden="1" customWidth="1"/>
    <col min="15" max="15" width="7.66666666666667" customWidth="1"/>
    <col min="16" max="16" width="10.2222222222222" customWidth="1"/>
    <col min="17" max="17" width="5.88888888888889" customWidth="1"/>
    <col min="19" max="19" width="8.44444444444444" customWidth="1"/>
    <col min="20" max="20" width="13.3333333333333" customWidth="1"/>
    <col min="22" max="22" width="42.1111111111111" customWidth="1"/>
  </cols>
  <sheetData>
    <row r="1" ht="15.6" spans="2:17">
      <c r="B1" s="112" t="str">
        <f>'1ST QTR'!B1</f>
        <v>8 - ARIES</v>
      </c>
      <c r="C1" s="112"/>
      <c r="D1" s="112"/>
      <c r="E1" s="112"/>
      <c r="F1" s="112"/>
      <c r="G1" s="112"/>
      <c r="H1" s="112"/>
      <c r="I1" s="112"/>
      <c r="J1" s="112"/>
      <c r="K1" s="112"/>
      <c r="L1" s="112"/>
      <c r="M1" s="112"/>
      <c r="N1" s="112"/>
      <c r="O1" s="112"/>
      <c r="P1" s="112"/>
      <c r="Q1" s="112"/>
    </row>
    <row r="2" spans="2:17">
      <c r="B2" s="113" t="s">
        <v>128</v>
      </c>
      <c r="C2" s="113"/>
      <c r="D2" s="113"/>
      <c r="E2" s="113"/>
      <c r="F2" s="113"/>
      <c r="G2" s="113"/>
      <c r="H2" s="113"/>
      <c r="I2" s="113"/>
      <c r="J2" s="113"/>
      <c r="K2" s="113"/>
      <c r="L2" s="113"/>
      <c r="M2" s="113"/>
      <c r="N2" s="113"/>
      <c r="O2" s="113"/>
      <c r="P2" s="113"/>
      <c r="Q2" s="113"/>
    </row>
    <row r="4" ht="15.6" spans="2:17">
      <c r="B4" s="114"/>
      <c r="C4" s="115" t="s">
        <v>17</v>
      </c>
      <c r="D4" s="115" t="s">
        <v>108</v>
      </c>
      <c r="E4" s="115" t="s">
        <v>109</v>
      </c>
      <c r="F4" s="115" t="s">
        <v>110</v>
      </c>
      <c r="G4" s="115" t="s">
        <v>111</v>
      </c>
      <c r="H4" s="115" t="s">
        <v>83</v>
      </c>
      <c r="I4" s="115" t="s">
        <v>86</v>
      </c>
      <c r="J4" s="115" t="s">
        <v>89</v>
      </c>
      <c r="K4" s="115" t="s">
        <v>112</v>
      </c>
      <c r="L4" s="115" t="s">
        <v>113</v>
      </c>
      <c r="M4" s="115" t="s">
        <v>114</v>
      </c>
      <c r="N4" s="115" t="s">
        <v>96</v>
      </c>
      <c r="O4" s="115" t="s">
        <v>98</v>
      </c>
      <c r="P4" s="115" t="s">
        <v>92</v>
      </c>
      <c r="Q4" s="115" t="s">
        <v>104</v>
      </c>
    </row>
    <row r="5" ht="15.6" spans="2:23">
      <c r="B5" s="116">
        <v>1</v>
      </c>
      <c r="C5" s="117" t="str">
        <f>'INPUT DATA'!B12</f>
        <v>ANUBLING, REGIE C.</v>
      </c>
      <c r="D5" s="118">
        <v>75</v>
      </c>
      <c r="E5" s="118">
        <v>73</v>
      </c>
      <c r="F5" s="118">
        <v>79</v>
      </c>
      <c r="G5" s="118">
        <v>80</v>
      </c>
      <c r="H5" s="118">
        <v>75</v>
      </c>
      <c r="I5" s="126">
        <v>80</v>
      </c>
      <c r="J5" s="126"/>
      <c r="K5" s="126">
        <v>75</v>
      </c>
      <c r="L5" s="126">
        <v>75</v>
      </c>
      <c r="M5" s="118"/>
      <c r="N5" s="118"/>
      <c r="O5" s="118">
        <f t="shared" ref="O5:O24" si="0">(K5+L5+M5+N5)/2</f>
        <v>75</v>
      </c>
      <c r="P5" s="127">
        <f t="shared" ref="P5:P31" si="1">(D5+E5+F5+G5+H5+I5+J5+O5)/8</f>
        <v>67.125</v>
      </c>
      <c r="Q5" s="131">
        <f>RANK(P5,$P$5:$P$53)</f>
        <v>27</v>
      </c>
      <c r="S5" t="s">
        <v>115</v>
      </c>
      <c r="T5" t="s">
        <v>116</v>
      </c>
      <c r="U5" s="160">
        <v>91.75</v>
      </c>
      <c r="V5" s="142" t="s">
        <v>43</v>
      </c>
      <c r="W5">
        <v>1</v>
      </c>
    </row>
    <row r="6" ht="15.6" spans="2:23">
      <c r="B6" s="116">
        <v>2</v>
      </c>
      <c r="C6" s="117" t="str">
        <f>'INPUT DATA'!B13</f>
        <v>BANGCOY, JOHN PAUL P.</v>
      </c>
      <c r="D6" s="118">
        <f>FILIPINO!F13</f>
        <v>60</v>
      </c>
      <c r="E6" s="118"/>
      <c r="F6" s="118"/>
      <c r="G6" s="118"/>
      <c r="H6" s="118"/>
      <c r="I6" s="126">
        <v>70</v>
      </c>
      <c r="J6" s="126"/>
      <c r="K6" s="126">
        <v>72</v>
      </c>
      <c r="L6" s="126">
        <v>72</v>
      </c>
      <c r="M6" s="118"/>
      <c r="N6" s="118"/>
      <c r="O6" s="118">
        <f t="shared" si="0"/>
        <v>72</v>
      </c>
      <c r="P6" s="127">
        <f t="shared" si="1"/>
        <v>25.25</v>
      </c>
      <c r="Q6" s="131">
        <f>RANK(P6,$P$5:$P$53)</f>
        <v>37</v>
      </c>
      <c r="U6" s="160">
        <v>91.25</v>
      </c>
      <c r="V6" s="142" t="s">
        <v>47</v>
      </c>
      <c r="W6">
        <v>2</v>
      </c>
    </row>
    <row r="7" ht="15.6" spans="2:22">
      <c r="B7" s="155">
        <v>3</v>
      </c>
      <c r="C7" s="156" t="str">
        <f>'INPUT DATA'!B14</f>
        <v>BARRIENTOS, JOHN PAUL M.</v>
      </c>
      <c r="D7" s="157">
        <v>85</v>
      </c>
      <c r="E7" s="157">
        <v>86</v>
      </c>
      <c r="F7" s="157">
        <v>89</v>
      </c>
      <c r="G7" s="157">
        <v>89</v>
      </c>
      <c r="H7" s="157">
        <v>86</v>
      </c>
      <c r="I7" s="158">
        <v>88</v>
      </c>
      <c r="J7" s="158">
        <v>86</v>
      </c>
      <c r="K7" s="158">
        <v>85</v>
      </c>
      <c r="L7" s="158">
        <v>87</v>
      </c>
      <c r="M7" s="157"/>
      <c r="N7" s="157"/>
      <c r="O7" s="157">
        <f t="shared" si="0"/>
        <v>86</v>
      </c>
      <c r="P7" s="159">
        <f t="shared" si="1"/>
        <v>86.875</v>
      </c>
      <c r="Q7" s="161">
        <f>RANK(P7,$P$5:$P$53)</f>
        <v>7</v>
      </c>
      <c r="U7" s="160">
        <v>90</v>
      </c>
      <c r="V7" s="142" t="s">
        <v>33</v>
      </c>
    </row>
    <row r="8" ht="15.6" spans="2:17">
      <c r="B8" s="116">
        <v>4</v>
      </c>
      <c r="C8" s="117" t="str">
        <f>'INPUT DATA'!B15</f>
        <v>BRIGOLE, ROMEL</v>
      </c>
      <c r="D8" s="118">
        <v>75</v>
      </c>
      <c r="E8" s="118"/>
      <c r="F8" s="118"/>
      <c r="G8" s="118">
        <v>74</v>
      </c>
      <c r="H8" s="118"/>
      <c r="I8" s="126">
        <v>70</v>
      </c>
      <c r="J8" s="126"/>
      <c r="K8" s="126">
        <v>65</v>
      </c>
      <c r="L8" s="126">
        <v>65</v>
      </c>
      <c r="M8" s="118"/>
      <c r="N8" s="118"/>
      <c r="O8" s="118">
        <f t="shared" si="0"/>
        <v>65</v>
      </c>
      <c r="P8" s="127">
        <f t="shared" si="1"/>
        <v>35.5</v>
      </c>
      <c r="Q8" s="131">
        <f>RANK(P8,$P$5:$P$53)</f>
        <v>36</v>
      </c>
    </row>
    <row r="9" ht="15.6" spans="2:17">
      <c r="B9" s="155">
        <v>5</v>
      </c>
      <c r="C9" s="156" t="str">
        <f>'INPUT DATA'!B16</f>
        <v>BULAHAN,ROVIC L.</v>
      </c>
      <c r="D9" s="157">
        <v>92</v>
      </c>
      <c r="E9" s="157">
        <v>83</v>
      </c>
      <c r="F9" s="157">
        <v>84</v>
      </c>
      <c r="G9" s="157">
        <v>92</v>
      </c>
      <c r="H9" s="157">
        <v>87</v>
      </c>
      <c r="I9" s="158">
        <v>87</v>
      </c>
      <c r="J9" s="158">
        <v>86</v>
      </c>
      <c r="K9" s="158">
        <v>86</v>
      </c>
      <c r="L9" s="158">
        <v>87</v>
      </c>
      <c r="M9" s="157"/>
      <c r="N9" s="157"/>
      <c r="O9" s="157">
        <f t="shared" si="0"/>
        <v>86.5</v>
      </c>
      <c r="P9" s="159">
        <f t="shared" si="1"/>
        <v>87.1875</v>
      </c>
      <c r="Q9" s="161">
        <f>RANK(P9,$P$5:$P$53)</f>
        <v>6</v>
      </c>
    </row>
    <row r="10" ht="15.6" spans="2:17">
      <c r="B10" s="155">
        <v>6</v>
      </c>
      <c r="C10" s="156" t="str">
        <f>'INPUT DATA'!B17</f>
        <v>CIJAS, ROLIE JR. A.</v>
      </c>
      <c r="D10" s="157">
        <v>84</v>
      </c>
      <c r="E10" s="157">
        <v>84</v>
      </c>
      <c r="F10" s="157">
        <v>91</v>
      </c>
      <c r="G10" s="157">
        <v>92</v>
      </c>
      <c r="H10" s="157">
        <v>84</v>
      </c>
      <c r="I10" s="158">
        <v>87</v>
      </c>
      <c r="J10" s="158">
        <v>89</v>
      </c>
      <c r="K10" s="158">
        <v>87</v>
      </c>
      <c r="L10" s="158">
        <v>89</v>
      </c>
      <c r="M10" s="157"/>
      <c r="N10" s="157"/>
      <c r="O10" s="157">
        <f t="shared" si="0"/>
        <v>88</v>
      </c>
      <c r="P10" s="159">
        <f t="shared" si="1"/>
        <v>87.375</v>
      </c>
      <c r="Q10" s="161">
        <f>RANK(P10,$P$5:$P$53)</f>
        <v>5</v>
      </c>
    </row>
    <row r="11" ht="15.6" spans="2:17">
      <c r="B11" s="116">
        <v>7</v>
      </c>
      <c r="C11" s="117" t="str">
        <f>'INPUT DATA'!B18</f>
        <v>GARCIA, DAVE P.</v>
      </c>
      <c r="D11" s="118">
        <v>78</v>
      </c>
      <c r="E11" s="118">
        <v>81</v>
      </c>
      <c r="F11" s="118">
        <v>85</v>
      </c>
      <c r="G11" s="118">
        <v>83</v>
      </c>
      <c r="H11" s="118">
        <v>78</v>
      </c>
      <c r="I11" s="126">
        <v>83</v>
      </c>
      <c r="J11" s="126">
        <v>76</v>
      </c>
      <c r="K11" s="126">
        <v>79</v>
      </c>
      <c r="L11" s="126">
        <v>84</v>
      </c>
      <c r="M11" s="118"/>
      <c r="N11" s="118"/>
      <c r="O11" s="118">
        <f t="shared" si="0"/>
        <v>81.5</v>
      </c>
      <c r="P11" s="127">
        <f t="shared" si="1"/>
        <v>80.6875</v>
      </c>
      <c r="Q11" s="131">
        <f>RANK(P11,$P$5:$P$53)</f>
        <v>17</v>
      </c>
    </row>
    <row r="12" ht="15.6" spans="2:17">
      <c r="B12" s="116">
        <v>8</v>
      </c>
      <c r="C12" s="117" t="str">
        <f>'INPUT DATA'!B19</f>
        <v>GONZALES, JAMES A.</v>
      </c>
      <c r="D12" s="118">
        <v>78</v>
      </c>
      <c r="E12" s="118"/>
      <c r="F12" s="118">
        <v>90</v>
      </c>
      <c r="G12" s="118">
        <v>85</v>
      </c>
      <c r="H12" s="118">
        <v>80</v>
      </c>
      <c r="I12" s="126">
        <v>81</v>
      </c>
      <c r="J12" s="126">
        <v>86</v>
      </c>
      <c r="K12" s="126">
        <v>83</v>
      </c>
      <c r="L12" s="126">
        <v>85</v>
      </c>
      <c r="M12" s="118"/>
      <c r="N12" s="118"/>
      <c r="O12" s="118">
        <f t="shared" si="0"/>
        <v>84</v>
      </c>
      <c r="P12" s="127">
        <f t="shared" si="1"/>
        <v>73</v>
      </c>
      <c r="Q12" s="131">
        <f>RANK(P12,$P$5:$P$53)</f>
        <v>23</v>
      </c>
    </row>
    <row r="13" ht="15.6" spans="2:17">
      <c r="B13" s="155">
        <v>9</v>
      </c>
      <c r="C13" s="156" t="str">
        <f>'INPUT DATA'!B20</f>
        <v>LAGUNA, J.B. B.</v>
      </c>
      <c r="D13" s="157">
        <v>88</v>
      </c>
      <c r="E13" s="157">
        <v>84</v>
      </c>
      <c r="F13" s="157">
        <v>86</v>
      </c>
      <c r="G13" s="157">
        <v>89</v>
      </c>
      <c r="H13" s="157">
        <v>85</v>
      </c>
      <c r="I13" s="158">
        <v>87</v>
      </c>
      <c r="J13" s="158">
        <v>79</v>
      </c>
      <c r="K13" s="158">
        <v>84</v>
      </c>
      <c r="L13" s="158">
        <v>87</v>
      </c>
      <c r="M13" s="157"/>
      <c r="N13" s="157"/>
      <c r="O13" s="157">
        <f t="shared" si="0"/>
        <v>85.5</v>
      </c>
      <c r="P13" s="159">
        <f t="shared" si="1"/>
        <v>85.4375</v>
      </c>
      <c r="Q13" s="161">
        <f>RANK(P13,$P$5:$P$53)</f>
        <v>11</v>
      </c>
    </row>
    <row r="14" ht="15.6" spans="2:17">
      <c r="B14" s="116">
        <v>10</v>
      </c>
      <c r="C14" s="117" t="str">
        <f>'INPUT DATA'!B21</f>
        <v>LARODA, STEVEN S.</v>
      </c>
      <c r="D14" s="118">
        <v>79</v>
      </c>
      <c r="E14" s="118">
        <v>77</v>
      </c>
      <c r="F14" s="118">
        <v>79</v>
      </c>
      <c r="G14" s="118">
        <v>84</v>
      </c>
      <c r="H14" s="118">
        <v>75</v>
      </c>
      <c r="I14" s="126">
        <v>81</v>
      </c>
      <c r="J14" s="126">
        <v>77</v>
      </c>
      <c r="K14" s="126">
        <v>78</v>
      </c>
      <c r="L14" s="126">
        <v>84</v>
      </c>
      <c r="M14" s="118"/>
      <c r="N14" s="118"/>
      <c r="O14" s="118">
        <f t="shared" si="0"/>
        <v>81</v>
      </c>
      <c r="P14" s="127">
        <f t="shared" si="1"/>
        <v>79.125</v>
      </c>
      <c r="Q14" s="131">
        <f>RANK(P14,$P$5:$P$53)</f>
        <v>18</v>
      </c>
    </row>
    <row r="15" ht="15.6" spans="2:23">
      <c r="B15" s="116">
        <v>11</v>
      </c>
      <c r="C15" s="117" t="str">
        <f>'INPUT DATA'!B22</f>
        <v>MERINO, SEDRIK R.</v>
      </c>
      <c r="D15" s="118">
        <v>75</v>
      </c>
      <c r="E15" s="118"/>
      <c r="F15" s="118"/>
      <c r="G15" s="118">
        <v>76</v>
      </c>
      <c r="H15" s="118">
        <v>70</v>
      </c>
      <c r="I15" s="126"/>
      <c r="J15" s="126"/>
      <c r="K15" s="126">
        <v>70</v>
      </c>
      <c r="L15" s="126">
        <v>72</v>
      </c>
      <c r="M15" s="118"/>
      <c r="N15" s="118"/>
      <c r="O15" s="118">
        <f t="shared" si="0"/>
        <v>71</v>
      </c>
      <c r="P15" s="127">
        <f t="shared" si="1"/>
        <v>36.5</v>
      </c>
      <c r="Q15" s="131">
        <f>RANK(P15,$P$5:$P$53)</f>
        <v>35</v>
      </c>
      <c r="S15" t="s">
        <v>117</v>
      </c>
      <c r="T15" t="s">
        <v>118</v>
      </c>
      <c r="U15" s="162">
        <v>88.94</v>
      </c>
      <c r="V15" s="148" t="s">
        <v>42</v>
      </c>
      <c r="W15">
        <v>3</v>
      </c>
    </row>
    <row r="16" ht="15.6" spans="2:23">
      <c r="B16" s="116">
        <v>12</v>
      </c>
      <c r="C16" s="117" t="str">
        <f>'INPUT DATA'!B23</f>
        <v>MONTERAS, VINCENT S.</v>
      </c>
      <c r="D16" s="118">
        <v>77</v>
      </c>
      <c r="E16" s="118">
        <v>78</v>
      </c>
      <c r="F16" s="118">
        <v>79</v>
      </c>
      <c r="G16" s="118">
        <v>82</v>
      </c>
      <c r="H16" s="118">
        <v>77</v>
      </c>
      <c r="I16" s="126">
        <v>80</v>
      </c>
      <c r="J16" s="126"/>
      <c r="K16" s="126">
        <v>77</v>
      </c>
      <c r="L16" s="126">
        <v>80</v>
      </c>
      <c r="M16" s="118"/>
      <c r="N16" s="118"/>
      <c r="O16" s="118">
        <f t="shared" si="0"/>
        <v>78.5</v>
      </c>
      <c r="P16" s="127">
        <f t="shared" si="1"/>
        <v>68.9375</v>
      </c>
      <c r="Q16" s="131">
        <f>RANK(P16,$P$5:$P$53)</f>
        <v>26</v>
      </c>
      <c r="U16" s="162">
        <v>87.38</v>
      </c>
      <c r="V16" s="148" t="s">
        <v>23</v>
      </c>
      <c r="W16">
        <v>4</v>
      </c>
    </row>
    <row r="17" ht="15.6" spans="2:23">
      <c r="B17" s="155">
        <v>13</v>
      </c>
      <c r="C17" s="156" t="str">
        <f>'INPUT DATA'!B24</f>
        <v>NACAWILI, ANDRIE L.</v>
      </c>
      <c r="D17" s="157">
        <v>85</v>
      </c>
      <c r="E17" s="157">
        <v>82</v>
      </c>
      <c r="F17" s="157">
        <v>89</v>
      </c>
      <c r="G17" s="157">
        <v>91</v>
      </c>
      <c r="H17" s="157">
        <v>86</v>
      </c>
      <c r="I17" s="158">
        <v>88</v>
      </c>
      <c r="J17" s="158">
        <v>87</v>
      </c>
      <c r="K17" s="158">
        <v>83</v>
      </c>
      <c r="L17" s="158">
        <v>87</v>
      </c>
      <c r="M17" s="157"/>
      <c r="N17" s="157"/>
      <c r="O17" s="157">
        <f t="shared" si="0"/>
        <v>85</v>
      </c>
      <c r="P17" s="159">
        <f t="shared" si="1"/>
        <v>86.625</v>
      </c>
      <c r="Q17" s="161">
        <f>RANK(P17,$P$5:$P$53)</f>
        <v>8</v>
      </c>
      <c r="U17" s="162">
        <v>87.19</v>
      </c>
      <c r="V17" s="148" t="s">
        <v>22</v>
      </c>
      <c r="W17">
        <v>5</v>
      </c>
    </row>
    <row r="18" ht="15.6" spans="2:23">
      <c r="B18" s="116">
        <v>14</v>
      </c>
      <c r="C18" s="117" t="str">
        <f>'INPUT DATA'!B25</f>
        <v>OLIVERIO, CYREL JAY G.</v>
      </c>
      <c r="D18" s="118">
        <v>74</v>
      </c>
      <c r="E18" s="118"/>
      <c r="F18" s="118"/>
      <c r="G18" s="118">
        <v>73</v>
      </c>
      <c r="H18" s="118">
        <v>75</v>
      </c>
      <c r="I18" s="126"/>
      <c r="J18" s="126"/>
      <c r="K18" s="126">
        <v>71</v>
      </c>
      <c r="L18" s="126">
        <v>73</v>
      </c>
      <c r="M18" s="118"/>
      <c r="N18" s="118"/>
      <c r="O18" s="118">
        <f t="shared" si="0"/>
        <v>72</v>
      </c>
      <c r="P18" s="127">
        <f t="shared" si="1"/>
        <v>36.75</v>
      </c>
      <c r="Q18" s="131">
        <f>RANK(P18,$P$5:$P$53)</f>
        <v>34</v>
      </c>
      <c r="U18" s="162">
        <v>86.88</v>
      </c>
      <c r="V18" s="148" t="s">
        <v>20</v>
      </c>
      <c r="W18">
        <v>6</v>
      </c>
    </row>
    <row r="19" ht="15.6" spans="2:23">
      <c r="B19" s="116">
        <v>15</v>
      </c>
      <c r="C19" s="117" t="str">
        <f>'INPUT DATA'!B26</f>
        <v>ORBITA,BRENN JOHN A.</v>
      </c>
      <c r="D19" s="118">
        <v>78</v>
      </c>
      <c r="E19" s="118">
        <v>83</v>
      </c>
      <c r="F19" s="118">
        <v>85</v>
      </c>
      <c r="G19" s="118">
        <v>88</v>
      </c>
      <c r="H19" s="118">
        <v>84</v>
      </c>
      <c r="I19" s="126">
        <v>81</v>
      </c>
      <c r="J19" s="126">
        <v>82</v>
      </c>
      <c r="K19" s="126">
        <v>80</v>
      </c>
      <c r="L19" s="126">
        <v>85</v>
      </c>
      <c r="M19" s="118"/>
      <c r="N19" s="118"/>
      <c r="O19" s="118">
        <f t="shared" si="0"/>
        <v>82.5</v>
      </c>
      <c r="P19" s="127">
        <f t="shared" si="1"/>
        <v>82.9375</v>
      </c>
      <c r="Q19" s="131">
        <f>RANK(P19,$P$5:$P$53)</f>
        <v>15</v>
      </c>
      <c r="U19" s="162">
        <v>86.63</v>
      </c>
      <c r="V19" s="148" t="s">
        <v>30</v>
      </c>
      <c r="W19">
        <v>7</v>
      </c>
    </row>
    <row r="20" ht="15.6" spans="2:23">
      <c r="B20" s="137">
        <v>16</v>
      </c>
      <c r="C20" s="138" t="str">
        <f>'INPUT DATA'!B27</f>
        <v>PAINLO,SHERWIN V.</v>
      </c>
      <c r="D20" s="136">
        <v>92</v>
      </c>
      <c r="E20" s="136">
        <v>87</v>
      </c>
      <c r="F20" s="139">
        <v>91</v>
      </c>
      <c r="G20" s="139">
        <v>92</v>
      </c>
      <c r="H20" s="139">
        <v>91</v>
      </c>
      <c r="I20" s="144">
        <v>89</v>
      </c>
      <c r="J20" s="144">
        <v>89</v>
      </c>
      <c r="K20" s="144">
        <v>89</v>
      </c>
      <c r="L20" s="146">
        <v>89</v>
      </c>
      <c r="M20" s="139"/>
      <c r="N20" s="139"/>
      <c r="O20" s="139">
        <f t="shared" si="0"/>
        <v>89</v>
      </c>
      <c r="P20" s="147">
        <f t="shared" si="1"/>
        <v>90</v>
      </c>
      <c r="Q20" s="163">
        <f>RANK(P20,$P$5:$P$53)</f>
        <v>3</v>
      </c>
      <c r="U20" s="164">
        <v>86</v>
      </c>
      <c r="V20" s="148" t="s">
        <v>49</v>
      </c>
      <c r="W20">
        <v>8</v>
      </c>
    </row>
    <row r="21" ht="15.6" spans="2:23">
      <c r="B21" s="116">
        <v>17</v>
      </c>
      <c r="C21" s="117" t="str">
        <f>'INPUT DATA'!B28</f>
        <v>RAMIREZ, MATTEO JOHN DAVE D.</v>
      </c>
      <c r="D21" s="118">
        <f>FILIPINO!F28</f>
        <v>70</v>
      </c>
      <c r="E21" s="118"/>
      <c r="F21" s="118"/>
      <c r="G21" s="118"/>
      <c r="H21" s="118"/>
      <c r="I21" s="126"/>
      <c r="J21" s="126"/>
      <c r="K21" s="126">
        <v>70</v>
      </c>
      <c r="L21" s="126">
        <v>70</v>
      </c>
      <c r="M21" s="118"/>
      <c r="N21" s="118"/>
      <c r="O21" s="118">
        <f t="shared" si="0"/>
        <v>70</v>
      </c>
      <c r="P21" s="127">
        <f t="shared" si="1"/>
        <v>17.5</v>
      </c>
      <c r="Q21" s="131">
        <f>RANK(P21,$P$5:$P$53)</f>
        <v>41</v>
      </c>
      <c r="U21" s="162">
        <v>85.63</v>
      </c>
      <c r="V21" s="148" t="s">
        <v>51</v>
      </c>
      <c r="W21">
        <v>9</v>
      </c>
    </row>
    <row r="22" ht="15.6" spans="2:23">
      <c r="B22" s="116">
        <v>18</v>
      </c>
      <c r="C22" s="117" t="str">
        <f>'INPUT DATA'!B29</f>
        <v>SIGUIRA, JASTINE B.</v>
      </c>
      <c r="D22" s="118">
        <f>FILIPINO!F29</f>
        <v>75</v>
      </c>
      <c r="E22" s="118"/>
      <c r="F22" s="118"/>
      <c r="G22" s="118"/>
      <c r="H22" s="118"/>
      <c r="I22" s="126"/>
      <c r="J22" s="126"/>
      <c r="K22" s="118">
        <v>70</v>
      </c>
      <c r="L22" s="118">
        <v>70</v>
      </c>
      <c r="M22" s="118"/>
      <c r="N22" s="118"/>
      <c r="O22" s="118">
        <f t="shared" si="0"/>
        <v>70</v>
      </c>
      <c r="P22" s="127">
        <f t="shared" si="1"/>
        <v>18.125</v>
      </c>
      <c r="Q22" s="131">
        <f>RANK(P22,$P$5:$P$53)</f>
        <v>40</v>
      </c>
      <c r="U22" s="162">
        <v>85.44</v>
      </c>
      <c r="V22" s="148" t="s">
        <v>121</v>
      </c>
      <c r="W22">
        <v>10</v>
      </c>
    </row>
    <row r="23" ht="15.6" spans="2:23">
      <c r="B23" s="116">
        <v>19</v>
      </c>
      <c r="C23" s="117" t="str">
        <f>'INPUT DATA'!B30</f>
        <v>TAA, JHONVINZ Y.</v>
      </c>
      <c r="D23" s="118">
        <v>74</v>
      </c>
      <c r="E23" s="118"/>
      <c r="F23" s="118">
        <v>87</v>
      </c>
      <c r="G23" s="118">
        <v>75</v>
      </c>
      <c r="H23" s="118">
        <v>76</v>
      </c>
      <c r="I23" s="126"/>
      <c r="J23" s="126"/>
      <c r="K23" s="118">
        <v>75</v>
      </c>
      <c r="L23" s="118">
        <v>77</v>
      </c>
      <c r="M23" s="118"/>
      <c r="N23" s="118"/>
      <c r="O23" s="118">
        <f t="shared" si="0"/>
        <v>76</v>
      </c>
      <c r="P23" s="127">
        <f t="shared" si="1"/>
        <v>48.5</v>
      </c>
      <c r="Q23" s="131">
        <f>RANK(P23,$P$5:$P$53)</f>
        <v>31</v>
      </c>
      <c r="U23" s="162">
        <v>85.13</v>
      </c>
      <c r="V23" s="148" t="s">
        <v>122</v>
      </c>
      <c r="W23">
        <v>11</v>
      </c>
    </row>
    <row r="24" ht="15.6" spans="2:23">
      <c r="B24" s="116">
        <v>20</v>
      </c>
      <c r="C24" s="117" t="str">
        <f>'INPUT DATA'!B31</f>
        <v>ZOILO, JOHN LORENCE M.</v>
      </c>
      <c r="D24" s="118">
        <v>79</v>
      </c>
      <c r="E24" s="118">
        <v>79</v>
      </c>
      <c r="F24" s="118">
        <v>87</v>
      </c>
      <c r="G24" s="118">
        <v>84</v>
      </c>
      <c r="H24" s="118">
        <v>79</v>
      </c>
      <c r="I24" s="126">
        <v>83</v>
      </c>
      <c r="J24" s="126">
        <v>80</v>
      </c>
      <c r="K24" s="118">
        <v>85</v>
      </c>
      <c r="L24" s="118">
        <v>85</v>
      </c>
      <c r="M24" s="118"/>
      <c r="N24" s="118"/>
      <c r="O24" s="118">
        <f t="shared" si="0"/>
        <v>85</v>
      </c>
      <c r="P24" s="127">
        <f t="shared" si="1"/>
        <v>82</v>
      </c>
      <c r="Q24" s="131">
        <f>RANK(P24,$P$5:$P$53)</f>
        <v>16</v>
      </c>
      <c r="W24">
        <v>12</v>
      </c>
    </row>
    <row r="25" ht="15.6" hidden="1" spans="2:17">
      <c r="B25" s="116">
        <v>21</v>
      </c>
      <c r="C25" s="117">
        <f>'INPUT DATA'!B32</f>
        <v>0</v>
      </c>
      <c r="D25" s="118"/>
      <c r="E25" s="118"/>
      <c r="F25" s="118"/>
      <c r="G25" s="118"/>
      <c r="H25" s="118"/>
      <c r="I25" s="118"/>
      <c r="J25" s="118"/>
      <c r="K25" s="118"/>
      <c r="L25" s="118"/>
      <c r="M25" s="118"/>
      <c r="N25" s="118"/>
      <c r="O25" s="118">
        <f t="shared" ref="O25:O31" si="2">(K25+L25+M25+N25)/4</f>
        <v>0</v>
      </c>
      <c r="P25" s="127">
        <f t="shared" si="1"/>
        <v>0</v>
      </c>
      <c r="Q25" s="131">
        <f>RANK(P25,$P$5:$P$53)</f>
        <v>42</v>
      </c>
    </row>
    <row r="26" ht="15.6" hidden="1" spans="2:22">
      <c r="B26" s="116">
        <v>22</v>
      </c>
      <c r="C26" s="117">
        <f>'INPUT DATA'!B33</f>
        <v>0</v>
      </c>
      <c r="D26" s="118"/>
      <c r="E26" s="118"/>
      <c r="F26" s="118"/>
      <c r="G26" s="118"/>
      <c r="H26" s="118"/>
      <c r="I26" s="118"/>
      <c r="J26" s="118"/>
      <c r="K26" s="118"/>
      <c r="L26" s="118"/>
      <c r="M26" s="118"/>
      <c r="N26" s="118"/>
      <c r="O26" s="118">
        <f t="shared" si="2"/>
        <v>0</v>
      </c>
      <c r="P26" s="127">
        <f t="shared" si="1"/>
        <v>0</v>
      </c>
      <c r="Q26" s="131">
        <f>RANK(P26,$P$5:$P$53)</f>
        <v>42</v>
      </c>
      <c r="V26" s="130"/>
    </row>
    <row r="27" ht="15.6" hidden="1" spans="2:22">
      <c r="B27" s="116">
        <v>23</v>
      </c>
      <c r="C27" s="117">
        <f>'INPUT DATA'!B34</f>
        <v>0</v>
      </c>
      <c r="D27" s="118"/>
      <c r="E27" s="118"/>
      <c r="F27" s="118"/>
      <c r="G27" s="118"/>
      <c r="H27" s="118"/>
      <c r="I27" s="118"/>
      <c r="J27" s="118"/>
      <c r="K27" s="118"/>
      <c r="L27" s="118"/>
      <c r="M27" s="118"/>
      <c r="N27" s="118"/>
      <c r="O27" s="118">
        <f t="shared" si="2"/>
        <v>0</v>
      </c>
      <c r="P27" s="127">
        <f t="shared" si="1"/>
        <v>0</v>
      </c>
      <c r="Q27" s="131">
        <f>RANK(P27,$P$5:$P$53)</f>
        <v>42</v>
      </c>
      <c r="V27" s="130"/>
    </row>
    <row r="28" ht="15.6" hidden="1" spans="2:22">
      <c r="B28" s="116">
        <v>24</v>
      </c>
      <c r="C28" s="119"/>
      <c r="D28" s="118"/>
      <c r="E28" s="118"/>
      <c r="F28" s="118"/>
      <c r="G28" s="118"/>
      <c r="H28" s="118"/>
      <c r="I28" s="118"/>
      <c r="J28" s="118"/>
      <c r="K28" s="118"/>
      <c r="L28" s="118"/>
      <c r="M28" s="118"/>
      <c r="N28" s="118"/>
      <c r="O28" s="118">
        <f t="shared" si="2"/>
        <v>0</v>
      </c>
      <c r="P28" s="127">
        <f t="shared" si="1"/>
        <v>0</v>
      </c>
      <c r="Q28" s="131">
        <f>RANK(P28,$P$5:$P$53)</f>
        <v>42</v>
      </c>
      <c r="V28" s="130"/>
    </row>
    <row r="29" ht="15.6" hidden="1" spans="2:17">
      <c r="B29" s="116">
        <v>25</v>
      </c>
      <c r="C29" s="119"/>
      <c r="D29" s="118"/>
      <c r="E29" s="118"/>
      <c r="F29" s="118"/>
      <c r="G29" s="118"/>
      <c r="H29" s="118"/>
      <c r="I29" s="118"/>
      <c r="J29" s="118"/>
      <c r="K29" s="118"/>
      <c r="L29" s="118"/>
      <c r="M29" s="118"/>
      <c r="N29" s="118"/>
      <c r="O29" s="118">
        <f t="shared" si="2"/>
        <v>0</v>
      </c>
      <c r="P29" s="127">
        <f t="shared" si="1"/>
        <v>0</v>
      </c>
      <c r="Q29" s="131">
        <f>RANK(P29,$P$5:$P$53)</f>
        <v>42</v>
      </c>
    </row>
    <row r="30" ht="15.6" hidden="1" spans="2:17">
      <c r="B30" s="116">
        <v>26</v>
      </c>
      <c r="C30" s="119"/>
      <c r="D30" s="118"/>
      <c r="E30" s="118"/>
      <c r="F30" s="118"/>
      <c r="G30" s="118"/>
      <c r="H30" s="118"/>
      <c r="I30" s="118"/>
      <c r="J30" s="118"/>
      <c r="K30" s="118"/>
      <c r="L30" s="118"/>
      <c r="M30" s="118"/>
      <c r="N30" s="118"/>
      <c r="O30" s="118">
        <f t="shared" si="2"/>
        <v>0</v>
      </c>
      <c r="P30" s="127">
        <f t="shared" si="1"/>
        <v>0</v>
      </c>
      <c r="Q30" s="131">
        <f>RANK(P30,$P$5:$P$53)</f>
        <v>42</v>
      </c>
    </row>
    <row r="31" ht="15.6" hidden="1" spans="2:17">
      <c r="B31" s="116">
        <v>27</v>
      </c>
      <c r="C31" s="119"/>
      <c r="D31" s="118"/>
      <c r="E31" s="118"/>
      <c r="F31" s="118"/>
      <c r="G31" s="118"/>
      <c r="H31" s="118"/>
      <c r="I31" s="118"/>
      <c r="J31" s="118"/>
      <c r="K31" s="118"/>
      <c r="L31" s="118"/>
      <c r="M31" s="118"/>
      <c r="N31" s="118"/>
      <c r="O31" s="118">
        <f t="shared" si="2"/>
        <v>0</v>
      </c>
      <c r="P31" s="127">
        <f t="shared" si="1"/>
        <v>0</v>
      </c>
      <c r="Q31" s="131">
        <f>RANK(P31,$P$5:$P$53)</f>
        <v>42</v>
      </c>
    </row>
    <row r="32" ht="15.6" spans="2:17">
      <c r="B32" s="114"/>
      <c r="C32" s="120" t="s">
        <v>39</v>
      </c>
      <c r="D32" s="120"/>
      <c r="E32" s="120"/>
      <c r="F32" s="120"/>
      <c r="G32" s="120"/>
      <c r="H32" s="120"/>
      <c r="I32" s="120"/>
      <c r="J32" s="120"/>
      <c r="K32" s="120"/>
      <c r="L32" s="120"/>
      <c r="M32" s="120"/>
      <c r="N32" s="120"/>
      <c r="O32" s="120"/>
      <c r="P32" s="120"/>
      <c r="Q32" s="131"/>
    </row>
    <row r="33" ht="15.6" spans="2:17">
      <c r="B33" s="116">
        <v>1</v>
      </c>
      <c r="C33" s="117" t="str">
        <f>'INPUT DATA'!B53</f>
        <v>ANGCOY, PRINCESS NAILLE T.</v>
      </c>
      <c r="D33" s="119">
        <v>83</v>
      </c>
      <c r="E33" s="119"/>
      <c r="F33" s="119">
        <v>89</v>
      </c>
      <c r="G33" s="119">
        <v>84</v>
      </c>
      <c r="H33" s="119">
        <v>80</v>
      </c>
      <c r="I33" s="126">
        <v>81</v>
      </c>
      <c r="J33" s="126">
        <v>80</v>
      </c>
      <c r="K33" s="126">
        <v>86</v>
      </c>
      <c r="L33" s="126">
        <v>86</v>
      </c>
      <c r="M33" s="119"/>
      <c r="N33" s="119"/>
      <c r="O33" s="118">
        <f t="shared" ref="O33:O56" si="3">(K33+L33+M33+N33)/2</f>
        <v>86</v>
      </c>
      <c r="P33" s="127">
        <f t="shared" ref="P33:P53" si="4">(D33+E33+F33+G33+H33+I33+J33+O33)/8</f>
        <v>72.875</v>
      </c>
      <c r="Q33" s="131">
        <f>RANK(P33,$P$5:$P$53)</f>
        <v>24</v>
      </c>
    </row>
    <row r="34" ht="15.6" spans="2:19">
      <c r="B34" s="155">
        <v>2</v>
      </c>
      <c r="C34" s="156" t="str">
        <f>'INPUT DATA'!B54</f>
        <v>BIMOS, SHEILLA KATE O.</v>
      </c>
      <c r="D34" s="148">
        <v>77</v>
      </c>
      <c r="E34" s="148">
        <v>85</v>
      </c>
      <c r="F34" s="148">
        <v>88</v>
      </c>
      <c r="G34" s="148">
        <v>90</v>
      </c>
      <c r="H34" s="148">
        <v>83</v>
      </c>
      <c r="I34" s="158">
        <v>86</v>
      </c>
      <c r="J34" s="158">
        <v>86</v>
      </c>
      <c r="K34" s="158">
        <v>85</v>
      </c>
      <c r="L34" s="158">
        <v>87</v>
      </c>
      <c r="M34" s="148"/>
      <c r="N34" s="148"/>
      <c r="O34" s="157">
        <f t="shared" si="3"/>
        <v>86</v>
      </c>
      <c r="P34" s="159">
        <f t="shared" si="4"/>
        <v>85.125</v>
      </c>
      <c r="Q34" s="161">
        <f>RANK(P34,$P$5:$P$53)</f>
        <v>12</v>
      </c>
      <c r="S34" t="s">
        <v>119</v>
      </c>
    </row>
    <row r="35" ht="15.6" spans="2:17">
      <c r="B35" s="155">
        <v>3</v>
      </c>
      <c r="C35" s="156" t="str">
        <f>'INPUT DATA'!B55</f>
        <v>BONGABONG, DWEYN ZHAIRA A.</v>
      </c>
      <c r="D35" s="148">
        <v>85</v>
      </c>
      <c r="E35" s="148">
        <v>87</v>
      </c>
      <c r="F35" s="148">
        <v>89</v>
      </c>
      <c r="G35" s="148">
        <v>92</v>
      </c>
      <c r="H35" s="148">
        <v>87</v>
      </c>
      <c r="I35" s="158">
        <v>91</v>
      </c>
      <c r="J35" s="158">
        <v>92</v>
      </c>
      <c r="K35" s="158">
        <v>88</v>
      </c>
      <c r="L35" s="158">
        <v>89</v>
      </c>
      <c r="M35" s="148"/>
      <c r="N35" s="148"/>
      <c r="O35" s="157">
        <f t="shared" si="3"/>
        <v>88.5</v>
      </c>
      <c r="P35" s="159">
        <f t="shared" si="4"/>
        <v>88.9375</v>
      </c>
      <c r="Q35" s="161">
        <f>RANK(P35,$P$5:$P$53)</f>
        <v>4</v>
      </c>
    </row>
    <row r="36" ht="15.6" spans="2:17">
      <c r="B36" s="137">
        <v>4</v>
      </c>
      <c r="C36" s="138" t="str">
        <f>'INPUT DATA'!B56</f>
        <v>CABEL, LOURENE A.</v>
      </c>
      <c r="D36" s="142">
        <v>95</v>
      </c>
      <c r="E36" s="142">
        <v>91</v>
      </c>
      <c r="F36" s="142">
        <v>92</v>
      </c>
      <c r="G36" s="142">
        <v>92</v>
      </c>
      <c r="H36" s="142">
        <v>88</v>
      </c>
      <c r="I36" s="146">
        <v>91</v>
      </c>
      <c r="J36" s="146">
        <v>93</v>
      </c>
      <c r="K36" s="146">
        <v>91</v>
      </c>
      <c r="L36" s="146">
        <v>93</v>
      </c>
      <c r="M36" s="142"/>
      <c r="N36" s="142"/>
      <c r="O36" s="139">
        <f t="shared" si="3"/>
        <v>92</v>
      </c>
      <c r="P36" s="147">
        <f t="shared" si="4"/>
        <v>91.75</v>
      </c>
      <c r="Q36" s="163">
        <f>RANK(P36,$P$5:$P$53)</f>
        <v>1</v>
      </c>
    </row>
    <row r="37" ht="15.6" spans="2:17">
      <c r="B37" s="116">
        <v>5</v>
      </c>
      <c r="C37" s="117" t="str">
        <f>'INPUT DATA'!B57</f>
        <v>CAMIGAO, DHENISE CLARE V.</v>
      </c>
      <c r="D37" s="119">
        <v>79</v>
      </c>
      <c r="E37" s="119">
        <v>84</v>
      </c>
      <c r="F37" s="119">
        <v>88</v>
      </c>
      <c r="G37" s="119">
        <v>86</v>
      </c>
      <c r="H37" s="119">
        <v>83</v>
      </c>
      <c r="I37" s="126">
        <v>81</v>
      </c>
      <c r="J37" s="126">
        <v>78</v>
      </c>
      <c r="K37" s="126">
        <v>87</v>
      </c>
      <c r="L37" s="126">
        <v>89</v>
      </c>
      <c r="M37" s="119"/>
      <c r="N37" s="119"/>
      <c r="O37" s="118">
        <f t="shared" si="3"/>
        <v>88</v>
      </c>
      <c r="P37" s="127">
        <f t="shared" si="4"/>
        <v>83.375</v>
      </c>
      <c r="Q37" s="131">
        <f>RANK(P37,$P$5:$P$53)</f>
        <v>14</v>
      </c>
    </row>
    <row r="38" s="154" customFormat="1" ht="15.6" spans="2:17">
      <c r="B38" s="116">
        <v>6</v>
      </c>
      <c r="C38" s="117" t="str">
        <f>'INPUT DATA'!B58</f>
        <v>CARISMA, NATHALIA MAE M.</v>
      </c>
      <c r="D38" s="119">
        <v>89</v>
      </c>
      <c r="E38" s="119"/>
      <c r="F38" s="119">
        <v>89</v>
      </c>
      <c r="G38" s="119">
        <v>87</v>
      </c>
      <c r="H38" s="119">
        <v>84</v>
      </c>
      <c r="I38" s="126">
        <v>90</v>
      </c>
      <c r="J38" s="126">
        <v>87</v>
      </c>
      <c r="K38" s="126">
        <v>86</v>
      </c>
      <c r="L38" s="126">
        <v>90</v>
      </c>
      <c r="M38" s="119"/>
      <c r="N38" s="119"/>
      <c r="O38" s="118">
        <f t="shared" si="3"/>
        <v>88</v>
      </c>
      <c r="P38" s="127">
        <f t="shared" si="4"/>
        <v>76.75</v>
      </c>
      <c r="Q38" s="131">
        <f>RANK(P38,$P$5:$P$53)</f>
        <v>20</v>
      </c>
    </row>
    <row r="39" ht="15.6" spans="2:17">
      <c r="B39" s="116">
        <v>7</v>
      </c>
      <c r="C39" s="117" t="str">
        <f>'INPUT DATA'!B59</f>
        <v>CLARO, REANZ P.</v>
      </c>
      <c r="D39" s="119">
        <v>91</v>
      </c>
      <c r="E39" s="119">
        <v>82</v>
      </c>
      <c r="F39" s="119"/>
      <c r="G39" s="119">
        <v>86</v>
      </c>
      <c r="H39" s="119">
        <v>83</v>
      </c>
      <c r="I39" s="126">
        <v>87</v>
      </c>
      <c r="J39" s="126">
        <v>78</v>
      </c>
      <c r="K39" s="126">
        <v>84</v>
      </c>
      <c r="L39" s="126">
        <v>87</v>
      </c>
      <c r="M39" s="119"/>
      <c r="N39" s="119"/>
      <c r="O39" s="118">
        <f t="shared" si="3"/>
        <v>85.5</v>
      </c>
      <c r="P39" s="127">
        <f t="shared" si="4"/>
        <v>74.0625</v>
      </c>
      <c r="Q39" s="131">
        <f>RANK(P39,$P$5:$P$53)</f>
        <v>22</v>
      </c>
    </row>
    <row r="40" ht="15.6" spans="2:17">
      <c r="B40" s="137">
        <v>8</v>
      </c>
      <c r="C40" s="138" t="str">
        <f>'INPUT DATA'!B60</f>
        <v>FRANCISCO, YSABELLA BEATRICE B.</v>
      </c>
      <c r="D40" s="142">
        <v>92</v>
      </c>
      <c r="E40" s="142">
        <v>90</v>
      </c>
      <c r="F40" s="142">
        <v>88</v>
      </c>
      <c r="G40" s="142">
        <v>93</v>
      </c>
      <c r="H40" s="142">
        <v>89</v>
      </c>
      <c r="I40" s="146">
        <v>92</v>
      </c>
      <c r="J40" s="146">
        <v>93</v>
      </c>
      <c r="K40" s="146">
        <v>93</v>
      </c>
      <c r="L40" s="146">
        <v>93</v>
      </c>
      <c r="M40" s="142"/>
      <c r="N40" s="142"/>
      <c r="O40" s="139">
        <f t="shared" si="3"/>
        <v>93</v>
      </c>
      <c r="P40" s="147">
        <f t="shared" si="4"/>
        <v>91.25</v>
      </c>
      <c r="Q40" s="163">
        <f>RANK(P40,$P$5:$P$53)</f>
        <v>2</v>
      </c>
    </row>
    <row r="41" ht="15.6" spans="2:17">
      <c r="B41" s="116">
        <v>9</v>
      </c>
      <c r="C41" s="117" t="str">
        <f>'INPUT DATA'!B61</f>
        <v>GALDO, ALYSSA RHIAN P.</v>
      </c>
      <c r="D41" s="119">
        <f>FILIPINO!F56</f>
        <v>80</v>
      </c>
      <c r="E41" s="119"/>
      <c r="F41" s="119"/>
      <c r="G41" s="119"/>
      <c r="H41" s="119"/>
      <c r="I41" s="126"/>
      <c r="J41" s="126"/>
      <c r="K41" s="126">
        <v>88</v>
      </c>
      <c r="L41" s="126">
        <v>88</v>
      </c>
      <c r="M41" s="119"/>
      <c r="N41" s="119"/>
      <c r="O41" s="118">
        <f t="shared" si="3"/>
        <v>88</v>
      </c>
      <c r="P41" s="127">
        <f t="shared" si="4"/>
        <v>21</v>
      </c>
      <c r="Q41" s="131">
        <f>RANK(P41,$P$5:$P$53)</f>
        <v>38</v>
      </c>
    </row>
    <row r="42" ht="15.6" spans="2:17">
      <c r="B42" s="155">
        <v>10</v>
      </c>
      <c r="C42" s="156" t="str">
        <f>'INPUT DATA'!B62</f>
        <v>HURAÑO, RIOMI M.</v>
      </c>
      <c r="D42" s="148">
        <v>89</v>
      </c>
      <c r="E42" s="148">
        <v>84</v>
      </c>
      <c r="F42" s="148">
        <v>88</v>
      </c>
      <c r="G42" s="148">
        <v>89</v>
      </c>
      <c r="H42" s="148">
        <v>83</v>
      </c>
      <c r="I42" s="158">
        <v>85</v>
      </c>
      <c r="J42" s="158">
        <v>81</v>
      </c>
      <c r="K42" s="158">
        <v>88</v>
      </c>
      <c r="L42" s="158">
        <v>90</v>
      </c>
      <c r="M42" s="148"/>
      <c r="N42" s="148"/>
      <c r="O42" s="157">
        <f t="shared" si="3"/>
        <v>89</v>
      </c>
      <c r="P42" s="159">
        <f t="shared" si="4"/>
        <v>86</v>
      </c>
      <c r="Q42" s="161">
        <f>RANK(P42,$P$5:$P$53)</f>
        <v>9</v>
      </c>
    </row>
    <row r="43" s="154" customFormat="1" ht="15.6" spans="2:17">
      <c r="B43" s="116">
        <v>11</v>
      </c>
      <c r="C43" s="117" t="str">
        <f>'INPUT DATA'!B63</f>
        <v>LAGUNA, WELLAIZA O.</v>
      </c>
      <c r="D43" s="119">
        <f>FILIPINO!F58</f>
        <v>75</v>
      </c>
      <c r="E43" s="119"/>
      <c r="F43" s="119"/>
      <c r="G43" s="119"/>
      <c r="H43" s="119"/>
      <c r="I43" s="126"/>
      <c r="J43" s="126"/>
      <c r="K43" s="126">
        <v>88</v>
      </c>
      <c r="L43" s="126">
        <v>88</v>
      </c>
      <c r="M43" s="119"/>
      <c r="N43" s="119"/>
      <c r="O43" s="118">
        <f t="shared" si="3"/>
        <v>88</v>
      </c>
      <c r="P43" s="127">
        <f t="shared" si="4"/>
        <v>20.375</v>
      </c>
      <c r="Q43" s="131">
        <f>RANK(P43,$P$5:$P$53)</f>
        <v>39</v>
      </c>
    </row>
    <row r="44" ht="15.6" spans="2:17">
      <c r="B44" s="155">
        <v>12</v>
      </c>
      <c r="C44" s="156" t="str">
        <f>'INPUT DATA'!B64</f>
        <v>LAZAGA, PRINCESS JEAN O.</v>
      </c>
      <c r="D44" s="148">
        <v>88</v>
      </c>
      <c r="E44" s="148">
        <v>84</v>
      </c>
      <c r="F44" s="148">
        <v>85</v>
      </c>
      <c r="G44" s="148">
        <v>88</v>
      </c>
      <c r="H44" s="148">
        <v>84</v>
      </c>
      <c r="I44" s="158">
        <v>84</v>
      </c>
      <c r="J44" s="158">
        <v>84</v>
      </c>
      <c r="K44" s="158">
        <v>87</v>
      </c>
      <c r="L44" s="158">
        <v>89</v>
      </c>
      <c r="M44" s="148"/>
      <c r="N44" s="148"/>
      <c r="O44" s="157">
        <f t="shared" si="3"/>
        <v>88</v>
      </c>
      <c r="P44" s="159">
        <f t="shared" si="4"/>
        <v>85.625</v>
      </c>
      <c r="Q44" s="161">
        <f>RANK(P44,$P$5:$P$53)</f>
        <v>10</v>
      </c>
    </row>
    <row r="45" s="154" customFormat="1" ht="15.6" spans="2:17">
      <c r="B45" s="116">
        <v>13</v>
      </c>
      <c r="C45" s="117" t="str">
        <f>'INPUT DATA'!B65</f>
        <v>LIBRES, MIKYLLA B.</v>
      </c>
      <c r="D45" s="119">
        <v>76</v>
      </c>
      <c r="E45" s="119"/>
      <c r="F45" s="119">
        <v>86</v>
      </c>
      <c r="G45" s="119">
        <v>84</v>
      </c>
      <c r="H45" s="119">
        <v>75</v>
      </c>
      <c r="I45" s="126">
        <v>81</v>
      </c>
      <c r="J45" s="126">
        <v>77</v>
      </c>
      <c r="K45" s="126">
        <v>78</v>
      </c>
      <c r="L45" s="126">
        <v>78</v>
      </c>
      <c r="M45" s="119"/>
      <c r="N45" s="119"/>
      <c r="O45" s="118">
        <f t="shared" si="3"/>
        <v>78</v>
      </c>
      <c r="P45" s="127">
        <f t="shared" si="4"/>
        <v>69.625</v>
      </c>
      <c r="Q45" s="131">
        <f>RANK(P45,$P$5:$P$53)</f>
        <v>25</v>
      </c>
    </row>
    <row r="46" s="154" customFormat="1" ht="15.6" spans="2:17">
      <c r="B46" s="116">
        <v>14</v>
      </c>
      <c r="C46" s="117" t="str">
        <f>'INPUT DATA'!B66</f>
        <v>LIM, LENNIE GRACE S.</v>
      </c>
      <c r="D46" s="119">
        <v>78</v>
      </c>
      <c r="E46" s="119"/>
      <c r="F46" s="119">
        <v>89</v>
      </c>
      <c r="G46" s="119">
        <v>87</v>
      </c>
      <c r="H46" s="119">
        <v>85</v>
      </c>
      <c r="I46" s="126">
        <v>87</v>
      </c>
      <c r="J46" s="126">
        <v>82</v>
      </c>
      <c r="K46" s="126">
        <v>86</v>
      </c>
      <c r="L46" s="126">
        <v>86</v>
      </c>
      <c r="M46" s="119"/>
      <c r="N46" s="119"/>
      <c r="O46" s="118">
        <f t="shared" si="3"/>
        <v>86</v>
      </c>
      <c r="P46" s="127">
        <f t="shared" si="4"/>
        <v>74.25</v>
      </c>
      <c r="Q46" s="131">
        <f>RANK(P46,$P$5:$P$53)</f>
        <v>21</v>
      </c>
    </row>
    <row r="47" s="154" customFormat="1" ht="15.6" spans="2:17">
      <c r="B47" s="116">
        <v>15</v>
      </c>
      <c r="C47" s="117" t="str">
        <f>'INPUT DATA'!B67</f>
        <v>MASAYON, RHEA JANE L.</v>
      </c>
      <c r="D47" s="119">
        <v>75</v>
      </c>
      <c r="E47" s="119"/>
      <c r="F47" s="119">
        <v>83</v>
      </c>
      <c r="G47" s="119">
        <v>81</v>
      </c>
      <c r="H47" s="119">
        <v>79</v>
      </c>
      <c r="I47" s="126"/>
      <c r="J47" s="126"/>
      <c r="K47" s="126">
        <v>76</v>
      </c>
      <c r="L47" s="126">
        <v>76</v>
      </c>
      <c r="M47" s="119"/>
      <c r="N47" s="119"/>
      <c r="O47" s="118">
        <f t="shared" si="3"/>
        <v>76</v>
      </c>
      <c r="P47" s="127">
        <f t="shared" si="4"/>
        <v>49.25</v>
      </c>
      <c r="Q47" s="131">
        <f>RANK(P47,$P$5:$P$53)</f>
        <v>30</v>
      </c>
    </row>
    <row r="48" s="154" customFormat="1" ht="15.6" spans="2:17">
      <c r="B48" s="116">
        <v>16</v>
      </c>
      <c r="C48" s="117" t="str">
        <f>'INPUT DATA'!B68</f>
        <v>MORANCIL, JENEVI A.</v>
      </c>
      <c r="D48" s="119">
        <v>86</v>
      </c>
      <c r="E48" s="119"/>
      <c r="F48" s="119">
        <v>89</v>
      </c>
      <c r="G48" s="119">
        <v>90</v>
      </c>
      <c r="H48" s="119">
        <v>85</v>
      </c>
      <c r="I48" s="126">
        <v>87</v>
      </c>
      <c r="J48" s="126">
        <v>89</v>
      </c>
      <c r="K48" s="126">
        <v>88</v>
      </c>
      <c r="L48" s="126">
        <v>90</v>
      </c>
      <c r="M48" s="119"/>
      <c r="N48" s="119"/>
      <c r="O48" s="118">
        <f t="shared" si="3"/>
        <v>89</v>
      </c>
      <c r="P48" s="127">
        <f t="shared" si="4"/>
        <v>76.875</v>
      </c>
      <c r="Q48" s="131">
        <f>RANK(P48,$P$5:$P$53)</f>
        <v>19</v>
      </c>
    </row>
    <row r="49" s="154" customFormat="1" ht="15.6" spans="2:17">
      <c r="B49" s="116">
        <v>17</v>
      </c>
      <c r="C49" s="117" t="str">
        <f>'INPUT DATA'!B69</f>
        <v>PATRICIO, MICHA ELLA P.</v>
      </c>
      <c r="D49" s="119">
        <v>75</v>
      </c>
      <c r="E49" s="119"/>
      <c r="F49" s="119">
        <v>79</v>
      </c>
      <c r="G49" s="119">
        <v>81</v>
      </c>
      <c r="H49" s="119">
        <v>75</v>
      </c>
      <c r="I49" s="126">
        <v>80</v>
      </c>
      <c r="J49" s="126"/>
      <c r="K49" s="126">
        <v>71</v>
      </c>
      <c r="L49" s="126">
        <v>73</v>
      </c>
      <c r="M49" s="119"/>
      <c r="N49" s="119"/>
      <c r="O49" s="118">
        <f t="shared" si="3"/>
        <v>72</v>
      </c>
      <c r="P49" s="127">
        <f t="shared" si="4"/>
        <v>57.75</v>
      </c>
      <c r="Q49" s="131">
        <f>RANK(P49,$P$5:$P$53)</f>
        <v>28</v>
      </c>
    </row>
    <row r="50" s="154" customFormat="1" ht="15.6" spans="2:17">
      <c r="B50" s="116">
        <v>18</v>
      </c>
      <c r="C50" s="117" t="str">
        <f>'INPUT DATA'!B70</f>
        <v>PELINGON , ASHLEY C.</v>
      </c>
      <c r="D50" s="119">
        <v>83</v>
      </c>
      <c r="E50" s="119">
        <v>84</v>
      </c>
      <c r="F50" s="119">
        <v>85</v>
      </c>
      <c r="G50" s="119">
        <v>87</v>
      </c>
      <c r="H50" s="119">
        <v>83</v>
      </c>
      <c r="I50" s="126">
        <v>87</v>
      </c>
      <c r="J50" s="126">
        <v>80</v>
      </c>
      <c r="K50" s="126">
        <v>83</v>
      </c>
      <c r="L50" s="126">
        <v>84</v>
      </c>
      <c r="M50" s="119"/>
      <c r="N50" s="119"/>
      <c r="O50" s="118">
        <f t="shared" si="3"/>
        <v>83.5</v>
      </c>
      <c r="P50" s="127">
        <f t="shared" si="4"/>
        <v>84.0625</v>
      </c>
      <c r="Q50" s="131">
        <f>RANK(P50,$P$5:$P$53)</f>
        <v>13</v>
      </c>
    </row>
    <row r="51" s="154" customFormat="1" ht="15.6" spans="2:17">
      <c r="B51" s="116">
        <v>19</v>
      </c>
      <c r="C51" s="117" t="str">
        <f>'INPUT DATA'!B71</f>
        <v>PEREZ, MERCY JEAN T.</v>
      </c>
      <c r="D51" s="119">
        <v>75</v>
      </c>
      <c r="E51" s="119"/>
      <c r="F51" s="119">
        <v>81</v>
      </c>
      <c r="G51" s="119">
        <v>75</v>
      </c>
      <c r="H51" s="119">
        <v>75</v>
      </c>
      <c r="I51" s="126">
        <v>80</v>
      </c>
      <c r="J51" s="126"/>
      <c r="K51" s="126">
        <v>75</v>
      </c>
      <c r="L51" s="126">
        <v>77</v>
      </c>
      <c r="M51" s="119"/>
      <c r="N51" s="119"/>
      <c r="O51" s="118">
        <f t="shared" si="3"/>
        <v>76</v>
      </c>
      <c r="P51" s="127">
        <f t="shared" si="4"/>
        <v>57.75</v>
      </c>
      <c r="Q51" s="131">
        <f>RANK(P51,$P$5:$P$53)</f>
        <v>28</v>
      </c>
    </row>
    <row r="52" s="154" customFormat="1" ht="15.6" spans="2:17">
      <c r="B52" s="116">
        <v>20</v>
      </c>
      <c r="C52" s="117" t="str">
        <f>'INPUT DATA'!B72</f>
        <v>PINGOT, RHEA L.</v>
      </c>
      <c r="D52" s="119">
        <v>74</v>
      </c>
      <c r="E52" s="119"/>
      <c r="F52" s="119">
        <v>83</v>
      </c>
      <c r="G52" s="119">
        <v>79</v>
      </c>
      <c r="H52" s="119">
        <v>75</v>
      </c>
      <c r="I52" s="126"/>
      <c r="J52" s="126"/>
      <c r="K52" s="126">
        <v>73</v>
      </c>
      <c r="L52" s="126">
        <v>73</v>
      </c>
      <c r="M52" s="119"/>
      <c r="N52" s="119"/>
      <c r="O52" s="118">
        <f t="shared" si="3"/>
        <v>73</v>
      </c>
      <c r="P52" s="127">
        <f t="shared" si="4"/>
        <v>48</v>
      </c>
      <c r="Q52" s="131">
        <f>RANK(P52,$P$5:$P$53)</f>
        <v>32</v>
      </c>
    </row>
    <row r="53" s="154" customFormat="1" ht="15.6" spans="2:17">
      <c r="B53" s="116">
        <v>21</v>
      </c>
      <c r="C53" s="117" t="str">
        <f>'INPUT DATA'!B73</f>
        <v>QUILAT, FERRA MAE</v>
      </c>
      <c r="D53" s="119">
        <v>75</v>
      </c>
      <c r="E53" s="119"/>
      <c r="F53" s="119">
        <v>77</v>
      </c>
      <c r="G53" s="119">
        <v>74</v>
      </c>
      <c r="H53" s="119">
        <v>75</v>
      </c>
      <c r="I53" s="126"/>
      <c r="J53" s="126"/>
      <c r="K53" s="126">
        <v>70</v>
      </c>
      <c r="L53" s="126">
        <v>70</v>
      </c>
      <c r="M53" s="119"/>
      <c r="N53" s="119"/>
      <c r="O53" s="118">
        <f t="shared" si="3"/>
        <v>70</v>
      </c>
      <c r="P53" s="127">
        <f t="shared" si="4"/>
        <v>46.375</v>
      </c>
      <c r="Q53" s="131">
        <f>RANK(P53,$P$5:$P$53)</f>
        <v>33</v>
      </c>
    </row>
    <row r="54" s="154" customFormat="1" ht="15.6" spans="2:17">
      <c r="B54" s="116">
        <v>22</v>
      </c>
      <c r="C54" s="117" t="str">
        <f>'INPUT DATA'!B74</f>
        <v>ROSALES, RYZA MAE C.</v>
      </c>
      <c r="D54" s="119">
        <v>88</v>
      </c>
      <c r="E54" s="119">
        <v>84</v>
      </c>
      <c r="F54" s="119">
        <v>88</v>
      </c>
      <c r="G54" s="119">
        <v>90</v>
      </c>
      <c r="H54" s="119">
        <v>86</v>
      </c>
      <c r="I54" s="126">
        <v>92</v>
      </c>
      <c r="J54" s="126">
        <v>91</v>
      </c>
      <c r="K54" s="126">
        <v>80</v>
      </c>
      <c r="L54" s="126">
        <v>84</v>
      </c>
      <c r="M54" s="119"/>
      <c r="N54" s="119"/>
      <c r="O54" s="118">
        <f t="shared" si="3"/>
        <v>82</v>
      </c>
      <c r="P54" s="127"/>
      <c r="Q54" s="131"/>
    </row>
    <row r="55" s="154" customFormat="1" ht="15.6" spans="2:17">
      <c r="B55" s="116"/>
      <c r="C55" s="117">
        <f>'INPUT DATA'!B75</f>
        <v>0</v>
      </c>
      <c r="D55" s="119"/>
      <c r="E55" s="119"/>
      <c r="F55" s="119"/>
      <c r="G55" s="119"/>
      <c r="H55" s="119"/>
      <c r="I55" s="126"/>
      <c r="J55" s="126"/>
      <c r="K55" s="126"/>
      <c r="L55" s="126"/>
      <c r="M55" s="119"/>
      <c r="N55" s="119"/>
      <c r="O55" s="118">
        <f t="shared" si="3"/>
        <v>0</v>
      </c>
      <c r="P55" s="127"/>
      <c r="Q55" s="131"/>
    </row>
    <row r="56" s="154" customFormat="1" ht="15.6" spans="2:17">
      <c r="B56" s="116"/>
      <c r="C56" s="117">
        <f>'INPUT DATA'!B76</f>
        <v>0</v>
      </c>
      <c r="D56" s="119"/>
      <c r="E56" s="119"/>
      <c r="F56" s="119"/>
      <c r="G56" s="119"/>
      <c r="H56" s="119"/>
      <c r="I56" s="126"/>
      <c r="J56" s="126"/>
      <c r="K56" s="126"/>
      <c r="L56" s="126"/>
      <c r="M56" s="119"/>
      <c r="N56" s="119"/>
      <c r="O56" s="118">
        <f t="shared" si="3"/>
        <v>0</v>
      </c>
      <c r="P56" s="127"/>
      <c r="Q56" s="131"/>
    </row>
    <row r="57" s="154" customFormat="1" ht="15.6" spans="2:17">
      <c r="B57" s="116"/>
      <c r="C57" s="117">
        <f>'INPUT DATA'!B77</f>
        <v>0</v>
      </c>
      <c r="D57" s="119"/>
      <c r="E57" s="119"/>
      <c r="F57" s="119"/>
      <c r="G57" s="119"/>
      <c r="H57" s="119"/>
      <c r="I57" s="119"/>
      <c r="J57" s="119"/>
      <c r="K57" s="119"/>
      <c r="L57" s="119"/>
      <c r="M57" s="119"/>
      <c r="N57" s="119"/>
      <c r="O57" s="118">
        <f>(K57+L57+M57+N57)/4</f>
        <v>0</v>
      </c>
      <c r="P57" s="127">
        <f>(D57+E57+F57+G57+H57+I57+J57+O57)/8</f>
        <v>0</v>
      </c>
      <c r="Q57" s="118">
        <f>P57</f>
        <v>0</v>
      </c>
    </row>
    <row r="58" ht="15" spans="2:19">
      <c r="B58" s="123"/>
      <c r="C58" s="123"/>
      <c r="D58" s="123"/>
      <c r="E58" s="123"/>
      <c r="F58" s="123"/>
      <c r="G58" s="123"/>
      <c r="H58" s="123"/>
      <c r="I58" s="123"/>
      <c r="J58" s="123"/>
      <c r="K58" s="123"/>
      <c r="L58" s="123"/>
      <c r="M58" s="123"/>
      <c r="N58" s="123"/>
      <c r="O58" s="123"/>
      <c r="P58" s="123"/>
      <c r="Q58" s="123"/>
      <c r="S58" t="s">
        <v>129</v>
      </c>
    </row>
    <row r="59" customFormat="1" ht="15" spans="2:17">
      <c r="B59" s="124" t="s">
        <v>123</v>
      </c>
      <c r="C59" s="124"/>
      <c r="D59" s="124"/>
      <c r="E59" s="124"/>
      <c r="F59" s="124"/>
      <c r="G59" s="124"/>
      <c r="H59" s="124"/>
      <c r="I59" s="124"/>
      <c r="J59" s="124"/>
      <c r="K59" s="124"/>
      <c r="L59" s="124" t="s">
        <v>124</v>
      </c>
      <c r="M59" s="124"/>
      <c r="N59" s="124"/>
      <c r="O59" s="124"/>
      <c r="P59" s="124"/>
      <c r="Q59" s="124"/>
    </row>
    <row r="60" ht="15" spans="2:20">
      <c r="B60" s="124"/>
      <c r="C60" s="124"/>
      <c r="D60" s="124"/>
      <c r="E60" s="124"/>
      <c r="F60" s="124"/>
      <c r="G60" s="124"/>
      <c r="H60" s="124"/>
      <c r="I60" s="124"/>
      <c r="J60" s="124"/>
      <c r="K60" s="124"/>
      <c r="L60" s="124"/>
      <c r="M60" s="124"/>
      <c r="N60" s="124"/>
      <c r="O60" s="124"/>
      <c r="P60" s="124"/>
      <c r="Q60" s="124"/>
      <c r="T60" t="s">
        <v>130</v>
      </c>
    </row>
    <row r="61" customFormat="1" ht="15.6" spans="2:20">
      <c r="B61" s="125" t="s">
        <v>14</v>
      </c>
      <c r="C61" s="124"/>
      <c r="D61" s="124"/>
      <c r="E61" s="124"/>
      <c r="F61" s="124"/>
      <c r="G61" s="124"/>
      <c r="H61" s="124"/>
      <c r="I61" s="124"/>
      <c r="J61" s="124"/>
      <c r="K61" s="124"/>
      <c r="L61" s="125" t="s">
        <v>125</v>
      </c>
      <c r="M61" s="124"/>
      <c r="N61" s="124"/>
      <c r="O61" s="124"/>
      <c r="P61" s="124"/>
      <c r="Q61" s="124"/>
      <c r="T61" t="s">
        <v>131</v>
      </c>
    </row>
    <row r="62" customFormat="1" ht="15" spans="2:20">
      <c r="B62" s="124" t="s">
        <v>126</v>
      </c>
      <c r="C62" s="124"/>
      <c r="D62" s="124"/>
      <c r="E62" s="124"/>
      <c r="F62" s="124"/>
      <c r="G62" s="124"/>
      <c r="H62" s="124"/>
      <c r="I62" s="124"/>
      <c r="J62" s="124"/>
      <c r="K62" s="124"/>
      <c r="L62" s="124" t="s">
        <v>127</v>
      </c>
      <c r="M62" s="124"/>
      <c r="N62" s="124"/>
      <c r="O62" s="124"/>
      <c r="P62" s="124"/>
      <c r="Q62" s="124"/>
      <c r="T62" t="s">
        <v>132</v>
      </c>
    </row>
    <row r="63" ht="15" spans="2:17">
      <c r="B63" s="124"/>
      <c r="C63" s="124"/>
      <c r="D63" s="124"/>
      <c r="E63" s="124"/>
      <c r="F63" s="124"/>
      <c r="G63" s="124"/>
      <c r="H63" s="124"/>
      <c r="I63" s="124"/>
      <c r="J63" s="124"/>
      <c r="K63" s="124"/>
      <c r="L63" s="124"/>
      <c r="M63" s="124"/>
      <c r="N63" s="124"/>
      <c r="O63" s="124"/>
      <c r="P63" s="124"/>
      <c r="Q63" s="124"/>
    </row>
    <row r="64" ht="15" spans="2:17">
      <c r="B64" s="124"/>
      <c r="C64" s="124"/>
      <c r="D64" s="124"/>
      <c r="E64" s="124"/>
      <c r="F64" s="124"/>
      <c r="G64" s="124"/>
      <c r="H64" s="124"/>
      <c r="I64" s="124"/>
      <c r="J64" s="124"/>
      <c r="K64" s="124"/>
      <c r="L64" s="124"/>
      <c r="M64" s="124"/>
      <c r="N64" s="124"/>
      <c r="O64" s="124"/>
      <c r="P64" s="124"/>
      <c r="Q64" s="124"/>
    </row>
  </sheetData>
  <mergeCells count="2">
    <mergeCell ref="B1:Q1"/>
    <mergeCell ref="B2:Q2"/>
  </mergeCells>
  <dataValidations count="4">
    <dataValidation allowBlank="1" showErrorMessage="1" sqref="K5:L5 K33:L33 I56 K56:L56 I5:I24 I33:I55 J5:J24 J33:J56 K54:L55 K34:L48 K49:L53 K6:L21"/>
    <dataValidation allowBlank="1" showInputMessage="1" showErrorMessage="1" prompt="Do not type name of learners here. Go to INPUT DATA sheet." sqref="V5 V6 V7 V15 V16 V17 V18 V20 V23 C5:C27 C33:C52 C53:C57"/>
    <dataValidation allowBlank="1" showInputMessage="1" showErrorMessage="1" prompt="Either manually encode learner's name here or copy learner's name from SF1 then paste here." sqref="V26 V27 M33:N33 M52:N52 M53:N53 E56 F56:G56 D57 E57 F57:J57 K57:N57 D33:D54 D55:D56 E33:E55 F33:F55 G33:G55 H33:H56 M50:N51 M34:N49 M54:N56"/>
    <dataValidation allowBlank="1" showInputMessage="1" prompt="Do not type name of learners here. Go to INPUT DATA sheet." sqref="V28 C28:C31"/>
  </dataValidations>
  <pageMargins left="0.432638888888889" right="0.236111111111111" top="0.432638888888889" bottom="0.314583333333333" header="0.275" footer="0.156944444444444"/>
  <pageSetup paperSize="9" scale="83"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64"/>
  <sheetViews>
    <sheetView workbookViewId="0">
      <selection activeCell="A15" sqref="$A15:$XFD15"/>
    </sheetView>
  </sheetViews>
  <sheetFormatPr defaultColWidth="8.88888888888889" defaultRowHeight="13.2"/>
  <cols>
    <col min="1" max="1" width="3.48148148148148" customWidth="1"/>
    <col min="2" max="2" width="5.22222222222222" customWidth="1"/>
    <col min="3" max="3" width="28.1481481481481" style="111" customWidth="1"/>
    <col min="4" max="4" width="5.88888888888889" customWidth="1"/>
    <col min="5" max="5" width="5.55555555555556" customWidth="1"/>
    <col min="6" max="6" width="6.77777777777778" customWidth="1"/>
    <col min="7" max="7" width="5.11111111111111" customWidth="1"/>
    <col min="8" max="8" width="5.44444444444444" customWidth="1"/>
    <col min="9" max="9" width="5.88888888888889" customWidth="1"/>
    <col min="10" max="10" width="6.22222222222222" customWidth="1"/>
    <col min="11" max="11" width="7.33333333333333" customWidth="1"/>
    <col min="12" max="12" width="6.33333333333333" customWidth="1"/>
    <col min="13" max="13" width="5" hidden="1" customWidth="1"/>
    <col min="14" max="14" width="8.88888888888889" hidden="1" customWidth="1"/>
    <col min="15" max="15" width="7.66666666666667" customWidth="1"/>
    <col min="16" max="16" width="10.2222222222222" customWidth="1"/>
    <col min="17" max="17" width="5.88888888888889" customWidth="1"/>
    <col min="19" max="19" width="7.88888888888889" customWidth="1"/>
    <col min="20" max="20" width="14.8888888888889" customWidth="1"/>
    <col min="21" max="21" width="9.11111111111111" customWidth="1"/>
    <col min="22" max="22" width="40.5555555555556" customWidth="1"/>
  </cols>
  <sheetData>
    <row r="1" ht="15.6" spans="2:17">
      <c r="B1" s="112" t="str">
        <f>'2ND QTR'!B1</f>
        <v>8 - ARIES</v>
      </c>
      <c r="C1" s="112"/>
      <c r="D1" s="112"/>
      <c r="E1" s="112"/>
      <c r="F1" s="112"/>
      <c r="G1" s="112"/>
      <c r="H1" s="112"/>
      <c r="I1" s="112"/>
      <c r="J1" s="112"/>
      <c r="K1" s="112"/>
      <c r="L1" s="112"/>
      <c r="M1" s="112"/>
      <c r="N1" s="112"/>
      <c r="O1" s="112"/>
      <c r="P1" s="112"/>
      <c r="Q1" s="112"/>
    </row>
    <row r="2" spans="2:17">
      <c r="B2" s="113" t="s">
        <v>133</v>
      </c>
      <c r="C2" s="113"/>
      <c r="D2" s="113"/>
      <c r="E2" s="113"/>
      <c r="F2" s="113"/>
      <c r="G2" s="113"/>
      <c r="H2" s="113"/>
      <c r="I2" s="113"/>
      <c r="J2" s="113"/>
      <c r="K2" s="113"/>
      <c r="L2" s="113"/>
      <c r="M2" s="113"/>
      <c r="N2" s="113"/>
      <c r="O2" s="113"/>
      <c r="P2" s="113"/>
      <c r="Q2" s="113"/>
    </row>
    <row r="4" ht="15.6" spans="2:17">
      <c r="B4" s="114"/>
      <c r="C4" s="115" t="s">
        <v>17</v>
      </c>
      <c r="D4" s="115" t="s">
        <v>108</v>
      </c>
      <c r="E4" s="115" t="s">
        <v>109</v>
      </c>
      <c r="F4" s="115" t="s">
        <v>110</v>
      </c>
      <c r="G4" s="115" t="s">
        <v>111</v>
      </c>
      <c r="H4" s="115" t="s">
        <v>83</v>
      </c>
      <c r="I4" s="115" t="s">
        <v>86</v>
      </c>
      <c r="J4" s="115" t="s">
        <v>89</v>
      </c>
      <c r="K4" s="115" t="s">
        <v>112</v>
      </c>
      <c r="L4" s="115" t="s">
        <v>113</v>
      </c>
      <c r="M4" s="115" t="s">
        <v>114</v>
      </c>
      <c r="N4" s="115" t="s">
        <v>96</v>
      </c>
      <c r="O4" s="115" t="s">
        <v>98</v>
      </c>
      <c r="P4" s="115" t="s">
        <v>92</v>
      </c>
      <c r="Q4" s="115" t="s">
        <v>104</v>
      </c>
    </row>
    <row r="5" ht="15.6" spans="2:23">
      <c r="B5" s="116">
        <v>1</v>
      </c>
      <c r="C5" s="117" t="str">
        <f>'INPUT DATA'!B12</f>
        <v>ANUBLING, REGIE C.</v>
      </c>
      <c r="D5" s="118">
        <v>78</v>
      </c>
      <c r="E5" s="118">
        <v>76</v>
      </c>
      <c r="F5" s="118">
        <v>79</v>
      </c>
      <c r="G5" s="118">
        <v>82</v>
      </c>
      <c r="H5" s="118">
        <v>77</v>
      </c>
      <c r="I5" s="126"/>
      <c r="J5" s="126"/>
      <c r="K5" s="126">
        <v>76</v>
      </c>
      <c r="L5" s="126">
        <v>78</v>
      </c>
      <c r="M5" s="118"/>
      <c r="N5" s="118"/>
      <c r="O5" s="118">
        <f t="shared" ref="O5:O24" si="0">(K5+L5+M5+N5)/2</f>
        <v>77</v>
      </c>
      <c r="P5" s="127">
        <f t="shared" ref="P5:P31" si="1">(D5+E5+F5+G5+H5+I5+J5+O5)/8</f>
        <v>58.625</v>
      </c>
      <c r="Q5" s="131">
        <f>RANK(P5,$P$5:$P$54)</f>
        <v>29</v>
      </c>
      <c r="S5" t="s">
        <v>115</v>
      </c>
      <c r="T5" t="s">
        <v>116</v>
      </c>
      <c r="U5">
        <v>91.69</v>
      </c>
      <c r="V5" s="142" t="s">
        <v>47</v>
      </c>
      <c r="W5">
        <v>1</v>
      </c>
    </row>
    <row r="6" ht="15.6" spans="2:23">
      <c r="B6" s="116">
        <v>2</v>
      </c>
      <c r="C6" s="117" t="str">
        <f>'INPUT DATA'!B13</f>
        <v>BANGCOY, JOHN PAUL P.</v>
      </c>
      <c r="D6" s="118">
        <f>FILIPINO!F13</f>
        <v>60</v>
      </c>
      <c r="E6" s="118"/>
      <c r="F6" s="118"/>
      <c r="G6" s="118"/>
      <c r="H6" s="118"/>
      <c r="I6" s="126"/>
      <c r="J6" s="126"/>
      <c r="K6" s="126"/>
      <c r="L6" s="126"/>
      <c r="M6" s="118"/>
      <c r="N6" s="118"/>
      <c r="O6" s="118">
        <f t="shared" si="0"/>
        <v>0</v>
      </c>
      <c r="P6" s="127">
        <f t="shared" si="1"/>
        <v>7.5</v>
      </c>
      <c r="Q6" s="131">
        <f t="shared" ref="Q6:Q37" si="2">RANK(P6,$P$5:$P$54)</f>
        <v>41</v>
      </c>
      <c r="U6">
        <v>91</v>
      </c>
      <c r="V6" s="142" t="s">
        <v>43</v>
      </c>
      <c r="W6">
        <v>2</v>
      </c>
    </row>
    <row r="7" ht="15.6" spans="2:23">
      <c r="B7" s="133">
        <v>3</v>
      </c>
      <c r="C7" s="134" t="str">
        <f>'INPUT DATA'!B14</f>
        <v>BARRIENTOS, JOHN PAUL M.</v>
      </c>
      <c r="D7" s="135">
        <v>93</v>
      </c>
      <c r="E7" s="135">
        <v>89</v>
      </c>
      <c r="F7" s="135">
        <v>90</v>
      </c>
      <c r="G7" s="135">
        <v>91</v>
      </c>
      <c r="H7" s="136">
        <v>87</v>
      </c>
      <c r="I7" s="143">
        <v>92</v>
      </c>
      <c r="J7" s="143">
        <v>90</v>
      </c>
      <c r="K7" s="144">
        <v>88</v>
      </c>
      <c r="L7" s="144">
        <v>88</v>
      </c>
      <c r="M7" s="135"/>
      <c r="N7" s="135"/>
      <c r="O7" s="135">
        <f t="shared" si="0"/>
        <v>88</v>
      </c>
      <c r="P7" s="145">
        <f t="shared" si="1"/>
        <v>90</v>
      </c>
      <c r="Q7" s="131">
        <f t="shared" si="2"/>
        <v>5</v>
      </c>
      <c r="U7">
        <v>90.63</v>
      </c>
      <c r="V7" s="142" t="s">
        <v>33</v>
      </c>
      <c r="W7">
        <v>3</v>
      </c>
    </row>
    <row r="8" ht="15.6" spans="2:22">
      <c r="B8" s="116">
        <v>4</v>
      </c>
      <c r="C8" s="117" t="str">
        <f>'INPUT DATA'!B15</f>
        <v>BRIGOLE, ROMEL</v>
      </c>
      <c r="D8" s="118">
        <v>75</v>
      </c>
      <c r="E8" s="118"/>
      <c r="F8" s="118"/>
      <c r="G8" s="118"/>
      <c r="H8" s="118"/>
      <c r="I8" s="126"/>
      <c r="J8" s="126"/>
      <c r="K8" s="126">
        <v>65</v>
      </c>
      <c r="L8" s="126">
        <v>65</v>
      </c>
      <c r="M8" s="118"/>
      <c r="N8" s="118"/>
      <c r="O8" s="118">
        <f t="shared" si="0"/>
        <v>65</v>
      </c>
      <c r="P8" s="127">
        <f t="shared" si="1"/>
        <v>17.5</v>
      </c>
      <c r="Q8" s="131">
        <f t="shared" si="2"/>
        <v>37</v>
      </c>
      <c r="U8">
        <v>90.06</v>
      </c>
      <c r="V8" s="148" t="s">
        <v>23</v>
      </c>
    </row>
    <row r="9" ht="15.6" spans="2:22">
      <c r="B9" s="116">
        <v>5</v>
      </c>
      <c r="C9" s="117" t="str">
        <f>'INPUT DATA'!B16</f>
        <v>BULAHAN,ROVIC L.</v>
      </c>
      <c r="D9" s="118">
        <v>89</v>
      </c>
      <c r="E9" s="118">
        <v>92</v>
      </c>
      <c r="F9" s="118">
        <v>86</v>
      </c>
      <c r="G9" s="118">
        <v>92</v>
      </c>
      <c r="H9" s="118">
        <v>90</v>
      </c>
      <c r="I9" s="126"/>
      <c r="J9" s="126">
        <v>90</v>
      </c>
      <c r="K9" s="126">
        <v>88</v>
      </c>
      <c r="L9" s="126">
        <v>88</v>
      </c>
      <c r="M9" s="118"/>
      <c r="N9" s="118"/>
      <c r="O9" s="118">
        <f t="shared" si="0"/>
        <v>88</v>
      </c>
      <c r="P9" s="127">
        <f t="shared" si="1"/>
        <v>78.375</v>
      </c>
      <c r="Q9" s="131">
        <f t="shared" si="2"/>
        <v>21</v>
      </c>
      <c r="U9">
        <v>90</v>
      </c>
      <c r="V9" s="148" t="s">
        <v>20</v>
      </c>
    </row>
    <row r="10" ht="15.6" spans="2:22">
      <c r="B10" s="133">
        <v>6</v>
      </c>
      <c r="C10" s="134" t="str">
        <f>'INPUT DATA'!B17</f>
        <v>CIJAS, ROLIE JR. A.</v>
      </c>
      <c r="D10" s="136">
        <v>87</v>
      </c>
      <c r="E10" s="135">
        <v>93</v>
      </c>
      <c r="F10" s="135">
        <v>91</v>
      </c>
      <c r="G10" s="135">
        <v>92</v>
      </c>
      <c r="H10" s="135">
        <v>87</v>
      </c>
      <c r="I10" s="143">
        <v>91</v>
      </c>
      <c r="J10" s="143">
        <v>90</v>
      </c>
      <c r="K10" s="143">
        <v>89</v>
      </c>
      <c r="L10" s="143">
        <v>90</v>
      </c>
      <c r="M10" s="135"/>
      <c r="N10" s="135"/>
      <c r="O10" s="135">
        <f t="shared" si="0"/>
        <v>89.5</v>
      </c>
      <c r="P10" s="145">
        <f t="shared" si="1"/>
        <v>90.0625</v>
      </c>
      <c r="Q10" s="131">
        <f t="shared" si="2"/>
        <v>4</v>
      </c>
      <c r="U10">
        <v>90</v>
      </c>
      <c r="V10" s="148" t="s">
        <v>42</v>
      </c>
    </row>
    <row r="11" ht="15.6" spans="2:17">
      <c r="B11" s="116">
        <v>7</v>
      </c>
      <c r="C11" s="117" t="str">
        <f>'INPUT DATA'!B18</f>
        <v>GARCIA, DAVE P.</v>
      </c>
      <c r="D11" s="118">
        <v>74</v>
      </c>
      <c r="E11" s="118">
        <v>85</v>
      </c>
      <c r="F11" s="118">
        <v>84</v>
      </c>
      <c r="G11" s="118">
        <v>82</v>
      </c>
      <c r="H11" s="118">
        <v>80</v>
      </c>
      <c r="I11" s="126">
        <v>82</v>
      </c>
      <c r="J11" s="126">
        <v>81</v>
      </c>
      <c r="K11" s="126">
        <v>80</v>
      </c>
      <c r="L11" s="126">
        <v>83</v>
      </c>
      <c r="M11" s="118"/>
      <c r="N11" s="118"/>
      <c r="O11" s="118">
        <f t="shared" si="0"/>
        <v>81.5</v>
      </c>
      <c r="P11" s="127">
        <f t="shared" si="1"/>
        <v>81.1875</v>
      </c>
      <c r="Q11" s="131">
        <f t="shared" si="2"/>
        <v>19</v>
      </c>
    </row>
    <row r="12" ht="15.6" spans="2:17">
      <c r="B12" s="116">
        <v>8</v>
      </c>
      <c r="C12" s="117" t="str">
        <f>'INPUT DATA'!B19</f>
        <v>GONZALES, JAMES A.</v>
      </c>
      <c r="D12" s="118">
        <v>85</v>
      </c>
      <c r="E12" s="118">
        <v>84</v>
      </c>
      <c r="F12" s="118">
        <v>90</v>
      </c>
      <c r="G12" s="118">
        <v>86</v>
      </c>
      <c r="H12" s="118">
        <v>80</v>
      </c>
      <c r="I12" s="126">
        <v>83</v>
      </c>
      <c r="J12" s="126">
        <v>81</v>
      </c>
      <c r="K12" s="126">
        <v>84</v>
      </c>
      <c r="L12" s="126">
        <v>85</v>
      </c>
      <c r="M12" s="118"/>
      <c r="N12" s="118"/>
      <c r="O12" s="118">
        <f t="shared" si="0"/>
        <v>84.5</v>
      </c>
      <c r="P12" s="127">
        <f t="shared" si="1"/>
        <v>84.1875</v>
      </c>
      <c r="Q12" s="131">
        <f t="shared" si="2"/>
        <v>15</v>
      </c>
    </row>
    <row r="13" ht="15.6" spans="2:17">
      <c r="B13" s="116">
        <v>9</v>
      </c>
      <c r="C13" s="117" t="str">
        <f>'INPUT DATA'!B20</f>
        <v>LAGUNA, J.B. B.</v>
      </c>
      <c r="D13" s="118">
        <v>80</v>
      </c>
      <c r="E13" s="118">
        <v>86</v>
      </c>
      <c r="F13" s="118">
        <v>86</v>
      </c>
      <c r="G13" s="118">
        <v>90</v>
      </c>
      <c r="H13" s="118">
        <v>82</v>
      </c>
      <c r="I13" s="126">
        <v>88</v>
      </c>
      <c r="J13" s="126">
        <v>87</v>
      </c>
      <c r="K13" s="126">
        <v>85</v>
      </c>
      <c r="L13" s="126">
        <v>85</v>
      </c>
      <c r="M13" s="118"/>
      <c r="N13" s="118"/>
      <c r="O13" s="118">
        <f t="shared" si="0"/>
        <v>85</v>
      </c>
      <c r="P13" s="127">
        <f t="shared" si="1"/>
        <v>85.5</v>
      </c>
      <c r="Q13" s="131">
        <f t="shared" si="2"/>
        <v>14</v>
      </c>
    </row>
    <row r="14" ht="15.6" spans="2:23">
      <c r="B14" s="116">
        <v>10</v>
      </c>
      <c r="C14" s="117" t="str">
        <f>'INPUT DATA'!B21</f>
        <v>LARODA, STEVEN S.</v>
      </c>
      <c r="D14" s="118">
        <v>82</v>
      </c>
      <c r="E14" s="118">
        <v>82</v>
      </c>
      <c r="F14" s="118">
        <v>79</v>
      </c>
      <c r="G14" s="118">
        <v>83</v>
      </c>
      <c r="H14" s="118">
        <v>75</v>
      </c>
      <c r="I14" s="126"/>
      <c r="J14" s="126">
        <v>75</v>
      </c>
      <c r="K14" s="126">
        <v>79</v>
      </c>
      <c r="L14" s="126">
        <v>80</v>
      </c>
      <c r="M14" s="118"/>
      <c r="N14" s="118"/>
      <c r="O14" s="118">
        <f t="shared" si="0"/>
        <v>79.5</v>
      </c>
      <c r="P14" s="127">
        <f t="shared" si="1"/>
        <v>69.4375</v>
      </c>
      <c r="Q14" s="131">
        <f t="shared" si="2"/>
        <v>23</v>
      </c>
      <c r="S14" t="s">
        <v>117</v>
      </c>
      <c r="T14" t="s">
        <v>118</v>
      </c>
      <c r="U14" s="149">
        <v>89.94</v>
      </c>
      <c r="V14" s="141" t="s">
        <v>23</v>
      </c>
      <c r="W14">
        <v>4</v>
      </c>
    </row>
    <row r="15" ht="15.6" spans="2:23">
      <c r="B15" s="116">
        <v>11</v>
      </c>
      <c r="C15" s="117" t="str">
        <f>'INPUT DATA'!B22</f>
        <v>MERINO, SEDRIK R.</v>
      </c>
      <c r="D15" s="118">
        <v>70</v>
      </c>
      <c r="E15" s="118"/>
      <c r="F15" s="118"/>
      <c r="G15" s="118">
        <v>75</v>
      </c>
      <c r="H15" s="118">
        <v>75</v>
      </c>
      <c r="I15" s="126"/>
      <c r="J15" s="126"/>
      <c r="K15" s="126">
        <v>70</v>
      </c>
      <c r="L15" s="126">
        <v>70</v>
      </c>
      <c r="M15" s="118"/>
      <c r="N15" s="118"/>
      <c r="O15" s="118">
        <f t="shared" si="0"/>
        <v>70</v>
      </c>
      <c r="P15" s="127">
        <f t="shared" si="1"/>
        <v>36.25</v>
      </c>
      <c r="Q15" s="131">
        <f t="shared" si="2"/>
        <v>36</v>
      </c>
      <c r="U15" s="149">
        <v>89.5</v>
      </c>
      <c r="V15" s="141" t="s">
        <v>20</v>
      </c>
      <c r="W15">
        <v>5</v>
      </c>
    </row>
    <row r="16" ht="15.6" spans="2:23">
      <c r="B16" s="116">
        <v>12</v>
      </c>
      <c r="C16" s="117" t="str">
        <f>'INPUT DATA'!B23</f>
        <v>MONTERAS, VINCENT S.</v>
      </c>
      <c r="D16" s="118">
        <v>76</v>
      </c>
      <c r="E16" s="118">
        <v>75</v>
      </c>
      <c r="F16" s="118">
        <v>79</v>
      </c>
      <c r="G16" s="118">
        <v>77</v>
      </c>
      <c r="H16" s="118">
        <v>79</v>
      </c>
      <c r="I16" s="126"/>
      <c r="J16" s="126">
        <v>76</v>
      </c>
      <c r="K16" s="126">
        <v>80</v>
      </c>
      <c r="L16" s="126">
        <v>80</v>
      </c>
      <c r="M16" s="118"/>
      <c r="N16" s="118"/>
      <c r="O16" s="118">
        <f t="shared" si="0"/>
        <v>80</v>
      </c>
      <c r="P16" s="127">
        <f t="shared" si="1"/>
        <v>67.75</v>
      </c>
      <c r="Q16" s="131">
        <f t="shared" si="2"/>
        <v>25</v>
      </c>
      <c r="U16" s="150">
        <v>89.38</v>
      </c>
      <c r="V16" s="141" t="s">
        <v>120</v>
      </c>
      <c r="W16">
        <v>6</v>
      </c>
    </row>
    <row r="17" ht="15.6" spans="2:23">
      <c r="B17" s="116">
        <v>13</v>
      </c>
      <c r="C17" s="117" t="str">
        <f>'INPUT DATA'!B24</f>
        <v>NACAWILI, ANDRIE L.</v>
      </c>
      <c r="D17" s="118">
        <v>82</v>
      </c>
      <c r="E17" s="118">
        <v>91</v>
      </c>
      <c r="F17" s="118">
        <v>89</v>
      </c>
      <c r="G17" s="118">
        <v>90</v>
      </c>
      <c r="H17" s="118">
        <v>83</v>
      </c>
      <c r="I17" s="126">
        <v>89</v>
      </c>
      <c r="J17" s="126">
        <v>79</v>
      </c>
      <c r="K17" s="126">
        <v>85</v>
      </c>
      <c r="L17" s="126">
        <v>87</v>
      </c>
      <c r="M17" s="118"/>
      <c r="N17" s="118"/>
      <c r="O17" s="118">
        <f t="shared" si="0"/>
        <v>86</v>
      </c>
      <c r="P17" s="127">
        <f t="shared" si="1"/>
        <v>86.125</v>
      </c>
      <c r="Q17" s="131">
        <f t="shared" si="2"/>
        <v>13</v>
      </c>
      <c r="U17">
        <v>88.5</v>
      </c>
      <c r="V17" s="148" t="s">
        <v>49</v>
      </c>
      <c r="W17">
        <v>7</v>
      </c>
    </row>
    <row r="18" ht="15.6" spans="2:23">
      <c r="B18" s="116">
        <v>14</v>
      </c>
      <c r="C18" s="117" t="str">
        <f>'INPUT DATA'!B25</f>
        <v>OLIVERIO, CYREL JAY G.</v>
      </c>
      <c r="D18" s="118">
        <v>72</v>
      </c>
      <c r="E18" s="118">
        <v>76</v>
      </c>
      <c r="F18" s="118">
        <v>87</v>
      </c>
      <c r="G18" s="118">
        <v>74</v>
      </c>
      <c r="H18" s="118"/>
      <c r="I18" s="126"/>
      <c r="J18" s="126"/>
      <c r="K18" s="126">
        <v>75</v>
      </c>
      <c r="L18" s="126">
        <v>77</v>
      </c>
      <c r="M18" s="118"/>
      <c r="N18" s="118"/>
      <c r="O18" s="118">
        <f t="shared" si="0"/>
        <v>76</v>
      </c>
      <c r="P18" s="127">
        <f t="shared" si="1"/>
        <v>48.125</v>
      </c>
      <c r="Q18" s="131">
        <f t="shared" si="2"/>
        <v>34</v>
      </c>
      <c r="U18">
        <v>88.06</v>
      </c>
      <c r="V18" s="151" t="s">
        <v>61</v>
      </c>
      <c r="W18">
        <v>8</v>
      </c>
    </row>
    <row r="19" ht="15.6" spans="2:23">
      <c r="B19" s="116">
        <v>15</v>
      </c>
      <c r="C19" s="117" t="str">
        <f>'INPUT DATA'!B26</f>
        <v>ORBITA,BRENN JOHN A.</v>
      </c>
      <c r="D19" s="118">
        <v>88</v>
      </c>
      <c r="E19" s="118">
        <v>80</v>
      </c>
      <c r="F19" s="118"/>
      <c r="G19" s="118">
        <v>90</v>
      </c>
      <c r="H19" s="118">
        <v>84</v>
      </c>
      <c r="I19" s="126"/>
      <c r="J19" s="126">
        <v>81</v>
      </c>
      <c r="K19" s="126">
        <v>83</v>
      </c>
      <c r="L19" s="126">
        <v>85</v>
      </c>
      <c r="M19" s="118"/>
      <c r="N19" s="118"/>
      <c r="O19" s="118">
        <f t="shared" si="0"/>
        <v>84</v>
      </c>
      <c r="P19" s="127">
        <f t="shared" si="1"/>
        <v>63.375</v>
      </c>
      <c r="Q19" s="131">
        <f t="shared" si="2"/>
        <v>27</v>
      </c>
      <c r="U19">
        <v>87.38</v>
      </c>
      <c r="V19" s="148" t="s">
        <v>51</v>
      </c>
      <c r="W19">
        <v>9</v>
      </c>
    </row>
    <row r="20" ht="15.6" spans="2:23">
      <c r="B20" s="137">
        <v>16</v>
      </c>
      <c r="C20" s="138" t="str">
        <f>'INPUT DATA'!B27</f>
        <v>PAINLO,SHERWIN V.</v>
      </c>
      <c r="D20" s="139">
        <v>94</v>
      </c>
      <c r="E20" s="139">
        <v>91</v>
      </c>
      <c r="F20" s="139">
        <v>91</v>
      </c>
      <c r="G20" s="139">
        <v>91</v>
      </c>
      <c r="H20" s="139">
        <v>90</v>
      </c>
      <c r="I20" s="146">
        <v>89</v>
      </c>
      <c r="J20" s="146">
        <v>89</v>
      </c>
      <c r="K20" s="146">
        <v>90</v>
      </c>
      <c r="L20" s="146">
        <v>90</v>
      </c>
      <c r="M20" s="139"/>
      <c r="N20" s="139"/>
      <c r="O20" s="139">
        <f t="shared" si="0"/>
        <v>90</v>
      </c>
      <c r="P20" s="147">
        <f t="shared" si="1"/>
        <v>90.625</v>
      </c>
      <c r="Q20" s="131">
        <f t="shared" si="2"/>
        <v>3</v>
      </c>
      <c r="U20">
        <v>87.13</v>
      </c>
      <c r="V20" s="152" t="s">
        <v>55</v>
      </c>
      <c r="W20">
        <v>10</v>
      </c>
    </row>
    <row r="21" ht="15.6" spans="2:23">
      <c r="B21" s="116">
        <v>17</v>
      </c>
      <c r="C21" s="117" t="str">
        <f>'INPUT DATA'!B28</f>
        <v>RAMIREZ, MATTEO JOHN DAVE D.</v>
      </c>
      <c r="D21" s="118">
        <f>FILIPINO!F28</f>
        <v>70</v>
      </c>
      <c r="E21" s="118"/>
      <c r="F21" s="118"/>
      <c r="G21" s="118"/>
      <c r="H21" s="118"/>
      <c r="I21" s="126"/>
      <c r="J21" s="126"/>
      <c r="K21" s="126"/>
      <c r="L21" s="126"/>
      <c r="M21" s="118"/>
      <c r="N21" s="118"/>
      <c r="O21" s="118">
        <f t="shared" si="0"/>
        <v>0</v>
      </c>
      <c r="P21" s="127">
        <f t="shared" si="1"/>
        <v>8.75</v>
      </c>
      <c r="Q21" s="131">
        <f t="shared" si="2"/>
        <v>40</v>
      </c>
      <c r="U21">
        <v>86.81</v>
      </c>
      <c r="V21" s="148" t="s">
        <v>122</v>
      </c>
      <c r="W21">
        <v>11</v>
      </c>
    </row>
    <row r="22" ht="15.6" spans="2:23">
      <c r="B22" s="116">
        <v>18</v>
      </c>
      <c r="C22" s="117" t="str">
        <f>'INPUT DATA'!B29</f>
        <v>SIGUIRA, JASTINE B.</v>
      </c>
      <c r="D22" s="118">
        <f>FILIPINO!F29</f>
        <v>75</v>
      </c>
      <c r="E22" s="118"/>
      <c r="F22" s="118"/>
      <c r="G22" s="118"/>
      <c r="H22" s="118"/>
      <c r="I22" s="126"/>
      <c r="J22" s="126"/>
      <c r="K22" s="118"/>
      <c r="L22" s="118"/>
      <c r="M22" s="118"/>
      <c r="N22" s="118"/>
      <c r="O22" s="118">
        <f t="shared" si="0"/>
        <v>0</v>
      </c>
      <c r="P22" s="127">
        <f t="shared" si="1"/>
        <v>9.375</v>
      </c>
      <c r="Q22" s="131">
        <f t="shared" si="2"/>
        <v>38</v>
      </c>
      <c r="V22" s="153"/>
      <c r="W22">
        <v>12</v>
      </c>
    </row>
    <row r="23" ht="15.6" spans="2:17">
      <c r="B23" s="116">
        <v>19</v>
      </c>
      <c r="C23" s="117" t="str">
        <f>'INPUT DATA'!B30</f>
        <v>TAA, JHONVINZ Y.</v>
      </c>
      <c r="D23" s="118">
        <v>73</v>
      </c>
      <c r="E23" s="118">
        <v>78</v>
      </c>
      <c r="F23" s="118">
        <v>87</v>
      </c>
      <c r="G23" s="118">
        <v>76</v>
      </c>
      <c r="H23" s="118">
        <v>76</v>
      </c>
      <c r="I23" s="126"/>
      <c r="J23" s="126"/>
      <c r="K23" s="118">
        <v>76</v>
      </c>
      <c r="L23" s="118">
        <v>79</v>
      </c>
      <c r="M23" s="118"/>
      <c r="N23" s="118"/>
      <c r="O23" s="118">
        <f t="shared" si="0"/>
        <v>77.5</v>
      </c>
      <c r="P23" s="127">
        <f t="shared" si="1"/>
        <v>58.4375</v>
      </c>
      <c r="Q23" s="131">
        <f t="shared" si="2"/>
        <v>30</v>
      </c>
    </row>
    <row r="24" ht="15.6" spans="2:19">
      <c r="B24" s="116">
        <v>20</v>
      </c>
      <c r="C24" s="117" t="str">
        <f>'INPUT DATA'!B31</f>
        <v>ZOILO, JOHN LORENCE M.</v>
      </c>
      <c r="D24" s="118">
        <v>88</v>
      </c>
      <c r="E24" s="118">
        <v>84</v>
      </c>
      <c r="F24" s="118">
        <v>87</v>
      </c>
      <c r="G24" s="118">
        <v>85</v>
      </c>
      <c r="H24" s="118">
        <v>79</v>
      </c>
      <c r="I24" s="126"/>
      <c r="J24" s="126">
        <v>82</v>
      </c>
      <c r="K24" s="118">
        <v>86</v>
      </c>
      <c r="L24" s="118">
        <v>86</v>
      </c>
      <c r="M24" s="118"/>
      <c r="N24" s="118"/>
      <c r="O24" s="118">
        <f t="shared" si="0"/>
        <v>86</v>
      </c>
      <c r="P24" s="127">
        <f t="shared" si="1"/>
        <v>73.875</v>
      </c>
      <c r="Q24" s="131">
        <f t="shared" si="2"/>
        <v>22</v>
      </c>
      <c r="S24" t="s">
        <v>119</v>
      </c>
    </row>
    <row r="25" ht="15.6" hidden="1" spans="2:17">
      <c r="B25" s="116">
        <v>21</v>
      </c>
      <c r="C25" s="117">
        <f>'INPUT DATA'!B32</f>
        <v>0</v>
      </c>
      <c r="D25" s="118"/>
      <c r="E25" s="118"/>
      <c r="F25" s="118"/>
      <c r="G25" s="118"/>
      <c r="H25" s="118"/>
      <c r="I25" s="118"/>
      <c r="J25" s="118"/>
      <c r="K25" s="118"/>
      <c r="L25" s="118"/>
      <c r="M25" s="118"/>
      <c r="N25" s="118"/>
      <c r="O25" s="118">
        <f t="shared" ref="O25:O31" si="3">(K25+L25+M25+N25)/4</f>
        <v>0</v>
      </c>
      <c r="P25" s="127">
        <f t="shared" si="1"/>
        <v>0</v>
      </c>
      <c r="Q25" s="131">
        <f t="shared" si="2"/>
        <v>42</v>
      </c>
    </row>
    <row r="26" ht="15.6" hidden="1" spans="2:17">
      <c r="B26" s="116">
        <v>22</v>
      </c>
      <c r="C26" s="117">
        <f>'INPUT DATA'!B33</f>
        <v>0</v>
      </c>
      <c r="D26" s="118"/>
      <c r="E26" s="118"/>
      <c r="F26" s="118"/>
      <c r="G26" s="118"/>
      <c r="H26" s="118"/>
      <c r="I26" s="118"/>
      <c r="J26" s="118"/>
      <c r="K26" s="118"/>
      <c r="L26" s="118"/>
      <c r="M26" s="118"/>
      <c r="N26" s="118"/>
      <c r="O26" s="118">
        <f t="shared" si="3"/>
        <v>0</v>
      </c>
      <c r="P26" s="127">
        <f t="shared" si="1"/>
        <v>0</v>
      </c>
      <c r="Q26" s="131">
        <f t="shared" si="2"/>
        <v>42</v>
      </c>
    </row>
    <row r="27" ht="15.6" hidden="1" spans="2:17">
      <c r="B27" s="116">
        <v>23</v>
      </c>
      <c r="C27" s="117">
        <f>'INPUT DATA'!B34</f>
        <v>0</v>
      </c>
      <c r="D27" s="118"/>
      <c r="E27" s="118"/>
      <c r="F27" s="118"/>
      <c r="G27" s="118"/>
      <c r="H27" s="118"/>
      <c r="I27" s="118"/>
      <c r="J27" s="118"/>
      <c r="K27" s="118"/>
      <c r="L27" s="118"/>
      <c r="M27" s="118"/>
      <c r="N27" s="118"/>
      <c r="O27" s="118">
        <f t="shared" si="3"/>
        <v>0</v>
      </c>
      <c r="P27" s="127">
        <f t="shared" si="1"/>
        <v>0</v>
      </c>
      <c r="Q27" s="131">
        <f t="shared" si="2"/>
        <v>42</v>
      </c>
    </row>
    <row r="28" ht="15.6" hidden="1" spans="2:17">
      <c r="B28" s="116">
        <v>24</v>
      </c>
      <c r="C28" s="119"/>
      <c r="D28" s="118"/>
      <c r="E28" s="118"/>
      <c r="F28" s="118"/>
      <c r="G28" s="118"/>
      <c r="H28" s="118"/>
      <c r="I28" s="118"/>
      <c r="J28" s="118"/>
      <c r="K28" s="118"/>
      <c r="L28" s="118"/>
      <c r="M28" s="118"/>
      <c r="N28" s="118"/>
      <c r="O28" s="118">
        <f t="shared" si="3"/>
        <v>0</v>
      </c>
      <c r="P28" s="127">
        <f t="shared" si="1"/>
        <v>0</v>
      </c>
      <c r="Q28" s="131">
        <f t="shared" si="2"/>
        <v>42</v>
      </c>
    </row>
    <row r="29" ht="15.6" hidden="1" spans="2:17">
      <c r="B29" s="116">
        <v>25</v>
      </c>
      <c r="C29" s="119"/>
      <c r="D29" s="118"/>
      <c r="E29" s="118"/>
      <c r="F29" s="118"/>
      <c r="G29" s="118"/>
      <c r="H29" s="118"/>
      <c r="I29" s="118"/>
      <c r="J29" s="118"/>
      <c r="K29" s="118"/>
      <c r="L29" s="118"/>
      <c r="M29" s="118"/>
      <c r="N29" s="118"/>
      <c r="O29" s="118">
        <f t="shared" si="3"/>
        <v>0</v>
      </c>
      <c r="P29" s="127">
        <f t="shared" si="1"/>
        <v>0</v>
      </c>
      <c r="Q29" s="131">
        <f t="shared" si="2"/>
        <v>42</v>
      </c>
    </row>
    <row r="30" ht="15.6" hidden="1" spans="2:17">
      <c r="B30" s="116">
        <v>26</v>
      </c>
      <c r="C30" s="119"/>
      <c r="D30" s="118"/>
      <c r="E30" s="118"/>
      <c r="F30" s="118"/>
      <c r="G30" s="118"/>
      <c r="H30" s="118"/>
      <c r="I30" s="118"/>
      <c r="J30" s="118"/>
      <c r="K30" s="118"/>
      <c r="L30" s="118"/>
      <c r="M30" s="118"/>
      <c r="N30" s="118"/>
      <c r="O30" s="118">
        <f t="shared" si="3"/>
        <v>0</v>
      </c>
      <c r="P30" s="127">
        <f t="shared" si="1"/>
        <v>0</v>
      </c>
      <c r="Q30" s="131">
        <f t="shared" si="2"/>
        <v>42</v>
      </c>
    </row>
    <row r="31" ht="15.6" hidden="1" spans="2:17">
      <c r="B31" s="116">
        <v>27</v>
      </c>
      <c r="C31" s="119"/>
      <c r="D31" s="118"/>
      <c r="E31" s="118"/>
      <c r="F31" s="118"/>
      <c r="G31" s="118"/>
      <c r="H31" s="118"/>
      <c r="I31" s="118"/>
      <c r="J31" s="118"/>
      <c r="K31" s="118"/>
      <c r="L31" s="118"/>
      <c r="M31" s="118"/>
      <c r="N31" s="118"/>
      <c r="O31" s="118">
        <f t="shared" si="3"/>
        <v>0</v>
      </c>
      <c r="P31" s="127">
        <f t="shared" si="1"/>
        <v>0</v>
      </c>
      <c r="Q31" s="131">
        <f t="shared" si="2"/>
        <v>42</v>
      </c>
    </row>
    <row r="32" ht="15.6" spans="2:17">
      <c r="B32" s="114"/>
      <c r="C32" s="120" t="s">
        <v>39</v>
      </c>
      <c r="D32" s="120"/>
      <c r="E32" s="120"/>
      <c r="F32" s="120"/>
      <c r="G32" s="120"/>
      <c r="H32" s="120"/>
      <c r="I32" s="120"/>
      <c r="J32" s="120"/>
      <c r="K32" s="120"/>
      <c r="L32" s="120"/>
      <c r="M32" s="120"/>
      <c r="N32" s="120"/>
      <c r="O32" s="120"/>
      <c r="P32" s="120"/>
      <c r="Q32" s="131">
        <f t="shared" si="2"/>
        <v>42</v>
      </c>
    </row>
    <row r="33" ht="15.6" spans="2:19">
      <c r="B33" s="116">
        <v>1</v>
      </c>
      <c r="C33" s="117" t="str">
        <f>'INPUT DATA'!B53</f>
        <v>ANGCOY, PRINCESS NAILLE T.</v>
      </c>
      <c r="D33" s="119">
        <v>84</v>
      </c>
      <c r="E33" s="119">
        <v>81</v>
      </c>
      <c r="F33" s="119">
        <v>90</v>
      </c>
      <c r="G33" s="119">
        <v>83</v>
      </c>
      <c r="H33" s="119">
        <v>80</v>
      </c>
      <c r="I33" s="126">
        <v>84</v>
      </c>
      <c r="J33" s="126">
        <v>85</v>
      </c>
      <c r="K33" s="126">
        <v>85</v>
      </c>
      <c r="L33" s="126">
        <v>85</v>
      </c>
      <c r="M33" s="119"/>
      <c r="N33" s="119"/>
      <c r="O33" s="118">
        <f t="shared" ref="O33:O56" si="4">(K33+L33+M33+N33)/2</f>
        <v>85</v>
      </c>
      <c r="P33" s="127">
        <f t="shared" ref="P33:P54" si="5">(D33+E33+F33+G33+H33+I33+J33+O33)/8</f>
        <v>84</v>
      </c>
      <c r="Q33" s="131">
        <f t="shared" si="2"/>
        <v>16</v>
      </c>
      <c r="S33" t="s">
        <v>129</v>
      </c>
    </row>
    <row r="34" ht="15.6" spans="2:17">
      <c r="B34" s="133">
        <v>2</v>
      </c>
      <c r="C34" s="134" t="str">
        <f>'INPUT DATA'!B54</f>
        <v>BIMOS, SHEILLA KATE O.</v>
      </c>
      <c r="D34" s="140">
        <v>83</v>
      </c>
      <c r="E34" s="140">
        <v>89</v>
      </c>
      <c r="F34" s="140">
        <v>87</v>
      </c>
      <c r="G34" s="140">
        <v>90</v>
      </c>
      <c r="H34" s="140">
        <v>83</v>
      </c>
      <c r="I34" s="143">
        <v>86</v>
      </c>
      <c r="J34" s="143">
        <v>90</v>
      </c>
      <c r="K34" s="143">
        <v>86</v>
      </c>
      <c r="L34" s="143">
        <v>87</v>
      </c>
      <c r="M34" s="140"/>
      <c r="N34" s="140"/>
      <c r="O34" s="135">
        <f t="shared" si="4"/>
        <v>86.5</v>
      </c>
      <c r="P34" s="145">
        <f t="shared" si="5"/>
        <v>86.8125</v>
      </c>
      <c r="Q34" s="131">
        <f t="shared" si="2"/>
        <v>11</v>
      </c>
    </row>
    <row r="35" ht="15.6" spans="2:17">
      <c r="B35" s="133">
        <v>3</v>
      </c>
      <c r="C35" s="134" t="str">
        <f>'INPUT DATA'!B55</f>
        <v>BONGABONG, DWEYN ZHAIRA A.</v>
      </c>
      <c r="D35" s="141">
        <v>87</v>
      </c>
      <c r="E35" s="140">
        <v>93</v>
      </c>
      <c r="F35" s="140">
        <v>89</v>
      </c>
      <c r="G35" s="140">
        <v>90</v>
      </c>
      <c r="H35" s="140">
        <v>87</v>
      </c>
      <c r="I35" s="143">
        <v>95</v>
      </c>
      <c r="J35" s="143">
        <v>89</v>
      </c>
      <c r="K35" s="143">
        <v>90</v>
      </c>
      <c r="L35" s="143">
        <v>90</v>
      </c>
      <c r="M35" s="140"/>
      <c r="N35" s="140"/>
      <c r="O35" s="135">
        <f t="shared" si="4"/>
        <v>90</v>
      </c>
      <c r="P35" s="145">
        <f t="shared" si="5"/>
        <v>90</v>
      </c>
      <c r="Q35" s="131">
        <f t="shared" si="2"/>
        <v>5</v>
      </c>
    </row>
    <row r="36" ht="15.6" spans="2:17">
      <c r="B36" s="137">
        <v>4</v>
      </c>
      <c r="C36" s="138" t="str">
        <f>'INPUT DATA'!B56</f>
        <v>CABEL, LOURENE A.</v>
      </c>
      <c r="D36" s="142">
        <v>87</v>
      </c>
      <c r="E36" s="142">
        <v>94</v>
      </c>
      <c r="F36" s="142">
        <v>94</v>
      </c>
      <c r="G36" s="142">
        <v>90</v>
      </c>
      <c r="H36" s="142">
        <v>88</v>
      </c>
      <c r="I36" s="146">
        <v>94</v>
      </c>
      <c r="J36" s="146">
        <v>89</v>
      </c>
      <c r="K36" s="146">
        <v>92</v>
      </c>
      <c r="L36" s="146">
        <v>92</v>
      </c>
      <c r="M36" s="142"/>
      <c r="N36" s="142"/>
      <c r="O36" s="139">
        <f t="shared" si="4"/>
        <v>92</v>
      </c>
      <c r="P36" s="147">
        <f t="shared" si="5"/>
        <v>91</v>
      </c>
      <c r="Q36" s="131">
        <f t="shared" si="2"/>
        <v>2</v>
      </c>
    </row>
    <row r="37" ht="15.6" spans="2:17">
      <c r="B37" s="116">
        <v>5</v>
      </c>
      <c r="C37" s="117" t="str">
        <f>'INPUT DATA'!B57</f>
        <v>CAMIGAO, DHENISE CLARE V.</v>
      </c>
      <c r="D37" s="119">
        <v>77</v>
      </c>
      <c r="E37" s="119">
        <v>83</v>
      </c>
      <c r="F37" s="119">
        <v>88</v>
      </c>
      <c r="G37" s="119">
        <v>86</v>
      </c>
      <c r="H37" s="119">
        <v>83</v>
      </c>
      <c r="I37" s="126">
        <v>86</v>
      </c>
      <c r="J37" s="126">
        <v>78</v>
      </c>
      <c r="K37" s="126">
        <v>85</v>
      </c>
      <c r="L37" s="126">
        <v>85</v>
      </c>
      <c r="M37" s="119"/>
      <c r="N37" s="119"/>
      <c r="O37" s="118">
        <f t="shared" si="4"/>
        <v>85</v>
      </c>
      <c r="P37" s="127">
        <f t="shared" si="5"/>
        <v>83.25</v>
      </c>
      <c r="Q37" s="131">
        <f t="shared" si="2"/>
        <v>18</v>
      </c>
    </row>
    <row r="38" ht="15.6" spans="2:17">
      <c r="B38" s="121">
        <v>6</v>
      </c>
      <c r="C38" s="117" t="str">
        <f>'INPUT DATA'!B58</f>
        <v>CARISMA, NATHALIA MAE M.</v>
      </c>
      <c r="D38" s="119">
        <v>89</v>
      </c>
      <c r="E38" s="119">
        <v>89</v>
      </c>
      <c r="F38" s="119">
        <v>89</v>
      </c>
      <c r="G38" s="119"/>
      <c r="H38" s="119">
        <v>84</v>
      </c>
      <c r="I38" s="126"/>
      <c r="J38" s="126">
        <v>84</v>
      </c>
      <c r="K38" s="128">
        <v>87</v>
      </c>
      <c r="L38" s="128">
        <v>88</v>
      </c>
      <c r="M38" s="122"/>
      <c r="N38" s="122"/>
      <c r="O38" s="118">
        <f t="shared" si="4"/>
        <v>87.5</v>
      </c>
      <c r="P38" s="129">
        <f t="shared" si="5"/>
        <v>65.3125</v>
      </c>
      <c r="Q38" s="131">
        <f t="shared" ref="Q38:Q54" si="6">RANK(P38,$P$5:$P$54)</f>
        <v>26</v>
      </c>
    </row>
    <row r="39" ht="15.6" spans="2:17">
      <c r="B39" s="116">
        <v>7</v>
      </c>
      <c r="C39" s="117" t="str">
        <f>'INPUT DATA'!B59</f>
        <v>CLARO, REANZ P.</v>
      </c>
      <c r="D39" s="119">
        <v>78</v>
      </c>
      <c r="E39" s="119">
        <v>86</v>
      </c>
      <c r="F39" s="119"/>
      <c r="G39" s="119">
        <v>86</v>
      </c>
      <c r="H39" s="119">
        <v>80</v>
      </c>
      <c r="I39" s="126"/>
      <c r="J39" s="126">
        <v>81</v>
      </c>
      <c r="K39" s="126">
        <v>85</v>
      </c>
      <c r="L39" s="126">
        <v>87</v>
      </c>
      <c r="M39" s="119"/>
      <c r="N39" s="119"/>
      <c r="O39" s="118">
        <f t="shared" si="4"/>
        <v>86</v>
      </c>
      <c r="P39" s="127">
        <f t="shared" si="5"/>
        <v>62.125</v>
      </c>
      <c r="Q39" s="131">
        <f t="shared" si="6"/>
        <v>28</v>
      </c>
    </row>
    <row r="40" ht="15.6" spans="2:17">
      <c r="B40" s="137">
        <v>8</v>
      </c>
      <c r="C40" s="138" t="str">
        <f>'INPUT DATA'!B60</f>
        <v>FRANCISCO, YSABELLA BEATRICE B.</v>
      </c>
      <c r="D40" s="142">
        <v>87</v>
      </c>
      <c r="E40" s="142">
        <v>94</v>
      </c>
      <c r="F40" s="142">
        <v>89</v>
      </c>
      <c r="G40" s="142">
        <v>92</v>
      </c>
      <c r="H40" s="142">
        <v>89</v>
      </c>
      <c r="I40" s="146">
        <v>97</v>
      </c>
      <c r="J40" s="146">
        <v>92</v>
      </c>
      <c r="K40" s="146">
        <v>94</v>
      </c>
      <c r="L40" s="146">
        <v>93</v>
      </c>
      <c r="M40" s="142"/>
      <c r="N40" s="142"/>
      <c r="O40" s="139">
        <f t="shared" si="4"/>
        <v>93.5</v>
      </c>
      <c r="P40" s="147">
        <f t="shared" si="5"/>
        <v>91.6875</v>
      </c>
      <c r="Q40" s="131">
        <f t="shared" si="6"/>
        <v>1</v>
      </c>
    </row>
    <row r="41" ht="15.6" spans="2:17">
      <c r="B41" s="116">
        <v>9</v>
      </c>
      <c r="C41" s="117" t="str">
        <f>'INPUT DATA'!B61</f>
        <v>GALDO, ALYSSA RHIAN P.</v>
      </c>
      <c r="D41" s="119"/>
      <c r="E41" s="119"/>
      <c r="F41" s="119"/>
      <c r="G41" s="119"/>
      <c r="H41" s="119"/>
      <c r="I41" s="126"/>
      <c r="J41" s="126"/>
      <c r="K41" s="126"/>
      <c r="L41" s="126"/>
      <c r="M41" s="119"/>
      <c r="N41" s="119"/>
      <c r="O41" s="118">
        <f t="shared" si="4"/>
        <v>0</v>
      </c>
      <c r="P41" s="127">
        <f t="shared" si="5"/>
        <v>0</v>
      </c>
      <c r="Q41" s="131">
        <f t="shared" si="6"/>
        <v>42</v>
      </c>
    </row>
    <row r="42" ht="15.6" spans="2:17">
      <c r="B42" s="133">
        <v>10</v>
      </c>
      <c r="C42" s="134" t="str">
        <f>'INPUT DATA'!B62</f>
        <v>HURAÑO, RIOMI M.</v>
      </c>
      <c r="D42" s="140">
        <v>87</v>
      </c>
      <c r="E42" s="140">
        <v>90</v>
      </c>
      <c r="F42" s="140">
        <v>89</v>
      </c>
      <c r="G42" s="140">
        <v>92</v>
      </c>
      <c r="H42" s="140">
        <v>84</v>
      </c>
      <c r="I42" s="143">
        <v>92</v>
      </c>
      <c r="J42" s="143">
        <v>84</v>
      </c>
      <c r="K42" s="143">
        <v>90</v>
      </c>
      <c r="L42" s="143">
        <v>90</v>
      </c>
      <c r="M42" s="140"/>
      <c r="N42" s="140"/>
      <c r="O42" s="135">
        <f t="shared" si="4"/>
        <v>90</v>
      </c>
      <c r="P42" s="145">
        <f t="shared" si="5"/>
        <v>88.5</v>
      </c>
      <c r="Q42" s="131">
        <f t="shared" si="6"/>
        <v>7</v>
      </c>
    </row>
    <row r="43" ht="15.6" spans="2:17">
      <c r="B43" s="121">
        <v>11</v>
      </c>
      <c r="C43" s="117" t="str">
        <f>'INPUT DATA'!B63</f>
        <v>LAGUNA, WELLAIZA O.</v>
      </c>
      <c r="D43" s="119">
        <f>FILIPINO!F58</f>
        <v>75</v>
      </c>
      <c r="E43" s="119"/>
      <c r="F43" s="119"/>
      <c r="G43" s="119"/>
      <c r="H43" s="119"/>
      <c r="I43" s="126"/>
      <c r="J43" s="126"/>
      <c r="K43" s="128"/>
      <c r="L43" s="128"/>
      <c r="M43" s="122"/>
      <c r="N43" s="122"/>
      <c r="O43" s="118">
        <f t="shared" si="4"/>
        <v>0</v>
      </c>
      <c r="P43" s="129">
        <f t="shared" si="5"/>
        <v>9.375</v>
      </c>
      <c r="Q43" s="131">
        <f t="shared" si="6"/>
        <v>38</v>
      </c>
    </row>
    <row r="44" ht="15.6" spans="2:17">
      <c r="B44" s="133">
        <v>12</v>
      </c>
      <c r="C44" s="134" t="str">
        <f>'INPUT DATA'!B64</f>
        <v>LAZAGA, PRINCESS JEAN O.</v>
      </c>
      <c r="D44" s="140">
        <v>88</v>
      </c>
      <c r="E44" s="140">
        <v>88</v>
      </c>
      <c r="F44" s="140">
        <v>85</v>
      </c>
      <c r="G44" s="140">
        <v>88</v>
      </c>
      <c r="H44" s="140">
        <v>83</v>
      </c>
      <c r="I44" s="143">
        <v>90</v>
      </c>
      <c r="J44" s="143">
        <v>88</v>
      </c>
      <c r="K44" s="143">
        <v>89</v>
      </c>
      <c r="L44" s="143">
        <v>89</v>
      </c>
      <c r="M44" s="140"/>
      <c r="N44" s="140"/>
      <c r="O44" s="135">
        <f t="shared" si="4"/>
        <v>89</v>
      </c>
      <c r="P44" s="145">
        <f t="shared" si="5"/>
        <v>87.375</v>
      </c>
      <c r="Q44" s="131">
        <f t="shared" si="6"/>
        <v>9</v>
      </c>
    </row>
    <row r="45" ht="15.6" spans="2:17">
      <c r="B45" s="121">
        <v>13</v>
      </c>
      <c r="C45" s="117" t="str">
        <f>'INPUT DATA'!B65</f>
        <v>LIBRES, MIKYLLA B.</v>
      </c>
      <c r="D45" s="119">
        <v>77</v>
      </c>
      <c r="E45" s="119">
        <v>79</v>
      </c>
      <c r="F45" s="119">
        <v>86</v>
      </c>
      <c r="G45" s="119">
        <v>84</v>
      </c>
      <c r="H45" s="119">
        <v>75</v>
      </c>
      <c r="I45" s="126">
        <v>84</v>
      </c>
      <c r="J45" s="126">
        <v>75</v>
      </c>
      <c r="K45" s="128">
        <v>80</v>
      </c>
      <c r="L45" s="128">
        <v>80</v>
      </c>
      <c r="M45" s="122"/>
      <c r="N45" s="122"/>
      <c r="O45" s="118">
        <f t="shared" si="4"/>
        <v>80</v>
      </c>
      <c r="P45" s="129">
        <f t="shared" si="5"/>
        <v>80</v>
      </c>
      <c r="Q45" s="131">
        <f t="shared" si="6"/>
        <v>20</v>
      </c>
    </row>
    <row r="46" ht="15.6" spans="2:17">
      <c r="B46" s="121">
        <v>14</v>
      </c>
      <c r="C46" s="117" t="str">
        <f>'INPUT DATA'!B66</f>
        <v>LIM, LENNIE GRACE S.</v>
      </c>
      <c r="D46" s="119">
        <v>85</v>
      </c>
      <c r="E46" s="119">
        <v>84</v>
      </c>
      <c r="F46" s="119">
        <v>89</v>
      </c>
      <c r="G46" s="119">
        <v>88</v>
      </c>
      <c r="H46" s="119">
        <v>80</v>
      </c>
      <c r="I46" s="126">
        <v>93</v>
      </c>
      <c r="J46" s="126">
        <v>87</v>
      </c>
      <c r="K46" s="128">
        <v>87</v>
      </c>
      <c r="L46" s="128">
        <v>88</v>
      </c>
      <c r="M46" s="122"/>
      <c r="N46" s="122"/>
      <c r="O46" s="118">
        <f t="shared" si="4"/>
        <v>87.5</v>
      </c>
      <c r="P46" s="129">
        <f t="shared" si="5"/>
        <v>86.6875</v>
      </c>
      <c r="Q46" s="131">
        <f t="shared" si="6"/>
        <v>12</v>
      </c>
    </row>
    <row r="47" ht="15.6" spans="2:17">
      <c r="B47" s="116">
        <v>15</v>
      </c>
      <c r="C47" s="117" t="str">
        <f>'INPUT DATA'!B67</f>
        <v>MASAYON, RHEA JANE L.</v>
      </c>
      <c r="D47" s="119">
        <v>75</v>
      </c>
      <c r="E47" s="119">
        <v>75</v>
      </c>
      <c r="F47" s="119">
        <v>84</v>
      </c>
      <c r="G47" s="119">
        <v>77</v>
      </c>
      <c r="H47" s="119">
        <v>77</v>
      </c>
      <c r="I47" s="126"/>
      <c r="J47" s="126"/>
      <c r="K47" s="126">
        <v>73</v>
      </c>
      <c r="L47" s="126">
        <v>75</v>
      </c>
      <c r="M47" s="119"/>
      <c r="N47" s="119"/>
      <c r="O47" s="118">
        <f t="shared" si="4"/>
        <v>74</v>
      </c>
      <c r="P47" s="127">
        <f t="shared" si="5"/>
        <v>57.75</v>
      </c>
      <c r="Q47" s="131">
        <f t="shared" si="6"/>
        <v>32</v>
      </c>
    </row>
    <row r="48" ht="15.6" spans="2:17">
      <c r="B48" s="133">
        <v>16</v>
      </c>
      <c r="C48" s="134" t="str">
        <f>'INPUT DATA'!B68</f>
        <v>MORANCIL, JENEVI A.</v>
      </c>
      <c r="D48" s="140">
        <v>84</v>
      </c>
      <c r="E48" s="140">
        <v>86</v>
      </c>
      <c r="F48" s="140">
        <v>89</v>
      </c>
      <c r="G48" s="140">
        <v>89</v>
      </c>
      <c r="H48" s="140">
        <v>81</v>
      </c>
      <c r="I48" s="143">
        <v>92</v>
      </c>
      <c r="J48" s="143">
        <v>86</v>
      </c>
      <c r="K48" s="143">
        <v>90</v>
      </c>
      <c r="L48" s="143">
        <v>90</v>
      </c>
      <c r="M48" s="140"/>
      <c r="N48" s="140"/>
      <c r="O48" s="135">
        <f t="shared" si="4"/>
        <v>90</v>
      </c>
      <c r="P48" s="145">
        <f t="shared" si="5"/>
        <v>87.125</v>
      </c>
      <c r="Q48" s="131">
        <f t="shared" si="6"/>
        <v>10</v>
      </c>
    </row>
    <row r="49" ht="15.6" spans="2:17">
      <c r="B49" s="116">
        <v>17</v>
      </c>
      <c r="C49" s="117" t="str">
        <f>'INPUT DATA'!B69</f>
        <v>PATRICIO, MICHA ELLA P.</v>
      </c>
      <c r="D49" s="119">
        <v>75</v>
      </c>
      <c r="E49" s="119">
        <v>75</v>
      </c>
      <c r="F49" s="119">
        <v>77</v>
      </c>
      <c r="G49" s="119">
        <v>81</v>
      </c>
      <c r="H49" s="119">
        <v>76</v>
      </c>
      <c r="I49" s="126">
        <v>81</v>
      </c>
      <c r="J49" s="126"/>
      <c r="K49" s="126">
        <v>77</v>
      </c>
      <c r="L49" s="126">
        <v>80</v>
      </c>
      <c r="M49" s="119"/>
      <c r="N49" s="119"/>
      <c r="O49" s="118">
        <f t="shared" si="4"/>
        <v>78.5</v>
      </c>
      <c r="P49" s="127">
        <f t="shared" si="5"/>
        <v>67.9375</v>
      </c>
      <c r="Q49" s="131">
        <f t="shared" si="6"/>
        <v>24</v>
      </c>
    </row>
    <row r="50" ht="15.6" spans="2:17">
      <c r="B50" s="121">
        <v>18</v>
      </c>
      <c r="C50" s="117" t="str">
        <f>'INPUT DATA'!B70</f>
        <v>PELINGON , ASHLEY C.</v>
      </c>
      <c r="D50" s="119">
        <v>81</v>
      </c>
      <c r="E50" s="119">
        <v>87</v>
      </c>
      <c r="F50" s="119">
        <v>85</v>
      </c>
      <c r="G50" s="119">
        <v>86</v>
      </c>
      <c r="H50" s="119">
        <v>82</v>
      </c>
      <c r="I50" s="126">
        <v>90</v>
      </c>
      <c r="J50" s="126">
        <v>76</v>
      </c>
      <c r="K50" s="128">
        <v>84</v>
      </c>
      <c r="L50" s="128">
        <v>85</v>
      </c>
      <c r="M50" s="122"/>
      <c r="N50" s="122"/>
      <c r="O50" s="118">
        <f t="shared" si="4"/>
        <v>84.5</v>
      </c>
      <c r="P50" s="129">
        <f t="shared" si="5"/>
        <v>83.9375</v>
      </c>
      <c r="Q50" s="131">
        <f t="shared" si="6"/>
        <v>17</v>
      </c>
    </row>
    <row r="51" ht="15.6" spans="2:17">
      <c r="B51" s="121">
        <v>19</v>
      </c>
      <c r="C51" s="117" t="str">
        <f>'INPUT DATA'!B71</f>
        <v>PEREZ, MERCY JEAN T.</v>
      </c>
      <c r="D51" s="119">
        <v>74</v>
      </c>
      <c r="E51" s="119"/>
      <c r="F51" s="119">
        <v>81</v>
      </c>
      <c r="G51" s="119">
        <v>75</v>
      </c>
      <c r="H51" s="119">
        <v>75</v>
      </c>
      <c r="I51" s="126">
        <v>83</v>
      </c>
      <c r="J51" s="126"/>
      <c r="K51" s="126">
        <v>77</v>
      </c>
      <c r="L51" s="126">
        <v>77</v>
      </c>
      <c r="M51" s="119"/>
      <c r="N51" s="119"/>
      <c r="O51" s="118">
        <f t="shared" si="4"/>
        <v>77</v>
      </c>
      <c r="P51" s="127">
        <f t="shared" si="5"/>
        <v>58.125</v>
      </c>
      <c r="Q51" s="131">
        <f t="shared" si="6"/>
        <v>31</v>
      </c>
    </row>
    <row r="52" ht="15.6" spans="2:17">
      <c r="B52" s="121">
        <v>20</v>
      </c>
      <c r="C52" s="117" t="str">
        <f>'INPUT DATA'!B72</f>
        <v>PINGOT, RHEA L.</v>
      </c>
      <c r="D52" s="119">
        <v>74</v>
      </c>
      <c r="E52" s="119"/>
      <c r="F52" s="119">
        <v>83</v>
      </c>
      <c r="G52" s="119">
        <v>75</v>
      </c>
      <c r="H52" s="119">
        <v>75</v>
      </c>
      <c r="I52" s="126"/>
      <c r="J52" s="126"/>
      <c r="K52" s="126">
        <v>70</v>
      </c>
      <c r="L52" s="126">
        <v>72</v>
      </c>
      <c r="M52" s="119"/>
      <c r="N52" s="119"/>
      <c r="O52" s="118">
        <f t="shared" si="4"/>
        <v>71</v>
      </c>
      <c r="P52" s="127">
        <f t="shared" si="5"/>
        <v>47.25</v>
      </c>
      <c r="Q52" s="131">
        <f t="shared" si="6"/>
        <v>35</v>
      </c>
    </row>
    <row r="53" ht="15.6" spans="2:17">
      <c r="B53" s="121">
        <v>21</v>
      </c>
      <c r="C53" s="117" t="str">
        <f>'INPUT DATA'!B73</f>
        <v>QUILAT, FERRA MAE</v>
      </c>
      <c r="D53" s="119">
        <v>75</v>
      </c>
      <c r="E53" s="119"/>
      <c r="F53" s="119">
        <v>74</v>
      </c>
      <c r="G53" s="119">
        <v>74</v>
      </c>
      <c r="H53" s="119">
        <v>73</v>
      </c>
      <c r="I53" s="126">
        <v>76</v>
      </c>
      <c r="J53" s="126"/>
      <c r="K53" s="128">
        <v>72</v>
      </c>
      <c r="L53" s="128">
        <v>73</v>
      </c>
      <c r="M53" s="122"/>
      <c r="N53" s="122"/>
      <c r="O53" s="118">
        <f t="shared" si="4"/>
        <v>72.5</v>
      </c>
      <c r="P53" s="129">
        <f t="shared" si="5"/>
        <v>55.5625</v>
      </c>
      <c r="Q53" s="131">
        <f t="shared" si="6"/>
        <v>33</v>
      </c>
    </row>
    <row r="54" ht="15.6" spans="2:17">
      <c r="B54" s="121">
        <v>22</v>
      </c>
      <c r="C54" s="117" t="str">
        <f>'INPUT DATA'!B74</f>
        <v>ROSALES, RYZA MAE C.</v>
      </c>
      <c r="D54" s="119">
        <v>89</v>
      </c>
      <c r="E54" s="119">
        <v>89</v>
      </c>
      <c r="F54" s="119">
        <v>89</v>
      </c>
      <c r="G54" s="119">
        <v>89</v>
      </c>
      <c r="H54" s="119">
        <v>84</v>
      </c>
      <c r="I54" s="126">
        <v>92</v>
      </c>
      <c r="J54" s="126">
        <v>87</v>
      </c>
      <c r="K54" s="128">
        <v>84</v>
      </c>
      <c r="L54" s="128">
        <v>87</v>
      </c>
      <c r="M54" s="122"/>
      <c r="N54" s="122"/>
      <c r="O54" s="118">
        <f t="shared" si="4"/>
        <v>85.5</v>
      </c>
      <c r="P54" s="129">
        <f t="shared" si="5"/>
        <v>88.0625</v>
      </c>
      <c r="Q54" s="131">
        <f t="shared" si="6"/>
        <v>8</v>
      </c>
    </row>
    <row r="55" ht="15.6" spans="2:17">
      <c r="B55" s="121">
        <v>23</v>
      </c>
      <c r="C55" s="117">
        <f>'INPUT DATA'!B75</f>
        <v>0</v>
      </c>
      <c r="D55" s="122"/>
      <c r="E55" s="119">
        <f>ENGLISH!F74</f>
        <v>0</v>
      </c>
      <c r="F55" s="119">
        <f>MATHEMATICS!F74</f>
        <v>0</v>
      </c>
      <c r="G55" s="119">
        <f>SCIENCE!F74</f>
        <v>0</v>
      </c>
      <c r="H55" s="119">
        <f>AP!F74</f>
        <v>0</v>
      </c>
      <c r="I55" s="126">
        <f>VALED!F74</f>
        <v>0</v>
      </c>
      <c r="J55" s="126">
        <f>TLE!F74</f>
        <v>0</v>
      </c>
      <c r="K55" s="128"/>
      <c r="L55" s="128"/>
      <c r="M55" s="122"/>
      <c r="N55" s="122"/>
      <c r="O55" s="118">
        <f t="shared" si="4"/>
        <v>0</v>
      </c>
      <c r="P55" s="129"/>
      <c r="Q55" s="132"/>
    </row>
    <row r="56" ht="15.6" spans="2:17">
      <c r="B56" s="121"/>
      <c r="C56" s="117">
        <f>'INPUT DATA'!B76</f>
        <v>0</v>
      </c>
      <c r="D56" s="122"/>
      <c r="E56" s="122"/>
      <c r="F56" s="122"/>
      <c r="G56" s="122"/>
      <c r="H56" s="119">
        <f>AP!F75</f>
        <v>0</v>
      </c>
      <c r="I56" s="128"/>
      <c r="J56" s="126">
        <f>TLE!F75</f>
        <v>0</v>
      </c>
      <c r="K56" s="128"/>
      <c r="L56" s="128"/>
      <c r="M56" s="122"/>
      <c r="N56" s="122"/>
      <c r="O56" s="118">
        <f t="shared" si="4"/>
        <v>0</v>
      </c>
      <c r="P56" s="129"/>
      <c r="Q56" s="132"/>
    </row>
    <row r="57" customFormat="1" ht="15.6" spans="2:17">
      <c r="B57" s="116"/>
      <c r="C57" s="117">
        <f>'INPUT DATA'!B77</f>
        <v>0</v>
      </c>
      <c r="D57" s="119"/>
      <c r="E57" s="119"/>
      <c r="F57" s="119"/>
      <c r="G57" s="119"/>
      <c r="H57" s="119"/>
      <c r="I57" s="119"/>
      <c r="J57" s="119"/>
      <c r="K57" s="119"/>
      <c r="L57" s="119"/>
      <c r="M57" s="119"/>
      <c r="N57" s="119"/>
      <c r="O57" s="118">
        <f>(K57+L57+M57+N57)/4</f>
        <v>0</v>
      </c>
      <c r="P57" s="127">
        <f>(D57+E57+F57+G57+H57+I57+J57+O57)/8</f>
        <v>0</v>
      </c>
      <c r="Q57" s="118">
        <f>P57</f>
        <v>0</v>
      </c>
    </row>
    <row r="58" customFormat="1" ht="15" spans="2:17">
      <c r="B58" s="123"/>
      <c r="C58" s="123"/>
      <c r="D58" s="123"/>
      <c r="E58" s="123"/>
      <c r="F58" s="123"/>
      <c r="G58" s="123"/>
      <c r="H58" s="123"/>
      <c r="I58" s="123"/>
      <c r="J58" s="123"/>
      <c r="K58" s="123"/>
      <c r="L58" s="123"/>
      <c r="M58" s="123"/>
      <c r="N58" s="123"/>
      <c r="O58" s="123"/>
      <c r="P58" s="123"/>
      <c r="Q58" s="123"/>
    </row>
    <row r="59" ht="15" spans="2:17">
      <c r="B59" s="124" t="s">
        <v>123</v>
      </c>
      <c r="C59" s="124"/>
      <c r="D59" s="124"/>
      <c r="E59" s="124"/>
      <c r="F59" s="124"/>
      <c r="G59" s="124"/>
      <c r="H59" s="124"/>
      <c r="I59" s="124"/>
      <c r="J59" s="124"/>
      <c r="K59" s="124"/>
      <c r="L59" s="124" t="s">
        <v>124</v>
      </c>
      <c r="M59" s="124"/>
      <c r="N59" s="124"/>
      <c r="O59" s="124"/>
      <c r="P59" s="124"/>
      <c r="Q59" s="124"/>
    </row>
    <row r="60" customFormat="1" ht="15" spans="2:17">
      <c r="B60" s="124"/>
      <c r="C60" s="124"/>
      <c r="D60" s="124"/>
      <c r="E60" s="124"/>
      <c r="F60" s="124"/>
      <c r="G60" s="124"/>
      <c r="H60" s="124"/>
      <c r="I60" s="124"/>
      <c r="J60" s="124"/>
      <c r="K60" s="124"/>
      <c r="L60" s="124"/>
      <c r="M60" s="124"/>
      <c r="N60" s="124"/>
      <c r="O60" s="124"/>
      <c r="P60" s="124"/>
      <c r="Q60" s="124"/>
    </row>
    <row r="61" customFormat="1" ht="15.6" spans="2:17">
      <c r="B61" s="125" t="s">
        <v>14</v>
      </c>
      <c r="C61" s="124"/>
      <c r="D61" s="124"/>
      <c r="E61" s="124"/>
      <c r="F61" s="124"/>
      <c r="G61" s="124"/>
      <c r="H61" s="124"/>
      <c r="I61" s="124"/>
      <c r="J61" s="124"/>
      <c r="K61" s="124"/>
      <c r="L61" s="125" t="s">
        <v>125</v>
      </c>
      <c r="M61" s="124"/>
      <c r="N61" s="124"/>
      <c r="O61" s="124"/>
      <c r="P61" s="124"/>
      <c r="Q61" s="124"/>
    </row>
    <row r="62" ht="15" spans="2:17">
      <c r="B62" s="124" t="s">
        <v>126</v>
      </c>
      <c r="C62" s="124"/>
      <c r="D62" s="124"/>
      <c r="E62" s="124"/>
      <c r="F62" s="124"/>
      <c r="G62" s="124"/>
      <c r="H62" s="124"/>
      <c r="I62" s="124"/>
      <c r="J62" s="124"/>
      <c r="K62" s="124"/>
      <c r="L62" s="124" t="s">
        <v>127</v>
      </c>
      <c r="M62" s="124"/>
      <c r="N62" s="124"/>
      <c r="O62" s="124"/>
      <c r="P62" s="124"/>
      <c r="Q62" s="124"/>
    </row>
    <row r="63" ht="15" spans="2:17">
      <c r="B63" s="124"/>
      <c r="C63" s="124"/>
      <c r="D63" s="124"/>
      <c r="E63" s="124"/>
      <c r="F63" s="124"/>
      <c r="G63" s="124"/>
      <c r="H63" s="124"/>
      <c r="I63" s="124"/>
      <c r="J63" s="124"/>
      <c r="K63" s="124"/>
      <c r="L63" s="124"/>
      <c r="M63" s="124"/>
      <c r="N63" s="124"/>
      <c r="O63" s="124"/>
      <c r="P63" s="124"/>
      <c r="Q63" s="124"/>
    </row>
    <row r="64" ht="15" spans="2:17">
      <c r="B64" s="124"/>
      <c r="C64" s="124"/>
      <c r="D64" s="124"/>
      <c r="E64" s="124"/>
      <c r="F64" s="124"/>
      <c r="G64" s="124"/>
      <c r="H64" s="124"/>
      <c r="I64" s="124"/>
      <c r="J64" s="124"/>
      <c r="K64" s="124"/>
      <c r="L64" s="124"/>
      <c r="M64" s="124"/>
      <c r="N64" s="124"/>
      <c r="O64" s="124"/>
      <c r="P64" s="124"/>
      <c r="Q64" s="124"/>
    </row>
  </sheetData>
  <mergeCells count="2">
    <mergeCell ref="B1:Q1"/>
    <mergeCell ref="B2:Q2"/>
  </mergeCells>
  <dataValidations count="4">
    <dataValidation allowBlank="1" showErrorMessage="1" sqref="K5:L5 K33:L33 I56 K56:L56 I5:I24 I33:I55 J5:J24 J33:J56 K54:L55 K34:L48 K49:L53 K6:L21"/>
    <dataValidation allowBlank="1" showInputMessage="1" showErrorMessage="1" prompt="Do not type name of learners here. Go to INPUT DATA sheet." sqref="V5 V6 V7 V8 V9 V10 V14 V15 V16 V17 V20 V21 C5:C27 C33:C52 C53:C57"/>
    <dataValidation allowBlank="1" showInputMessage="1" showErrorMessage="1" prompt="Either manually encode learner's name here or copy learner's name from SF1 then paste here." sqref="V22 M33:N33 M52:N52 M53:N53 E56 F56:G56 D57 E57 F57:J57 K57:N57 D33:D54 D55:D56 E33:E55 F33:F55 G33:G55 H33:H56 M50:N51 M34:N49 M54:N56"/>
    <dataValidation allowBlank="1" showInputMessage="1" prompt="Do not type name of learners here. Go to INPUT DATA sheet." sqref="C28:C31"/>
  </dataValidations>
  <pageMargins left="0.511805555555556" right="0.236111111111111" top="0.66875" bottom="0.314583333333333" header="0.511805555555556" footer="0.118055555555556"/>
  <pageSetup paperSize="9" scale="85"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64"/>
  <sheetViews>
    <sheetView zoomScale="90" zoomScaleNormal="90" workbookViewId="0">
      <selection activeCell="D55" sqref="D55"/>
    </sheetView>
  </sheetViews>
  <sheetFormatPr defaultColWidth="8.88888888888889" defaultRowHeight="13.2"/>
  <cols>
    <col min="1" max="1" width="2.18518518518518" customWidth="1"/>
    <col min="2" max="2" width="5.22222222222222" customWidth="1"/>
    <col min="3" max="3" width="40.7407407407407" style="111" customWidth="1"/>
    <col min="4" max="4" width="5.88888888888889" customWidth="1"/>
    <col min="5" max="5" width="5.55555555555556" customWidth="1"/>
    <col min="6" max="6" width="6.77777777777778" customWidth="1"/>
    <col min="7" max="7" width="5.11111111111111" customWidth="1"/>
    <col min="8" max="8" width="5.44444444444444" customWidth="1"/>
    <col min="9" max="9" width="5.88888888888889" customWidth="1"/>
    <col min="10" max="10" width="6.22222222222222" customWidth="1"/>
    <col min="11" max="11" width="7.33333333333333" customWidth="1"/>
    <col min="12" max="12" width="6.33333333333333" customWidth="1"/>
    <col min="13" max="13" width="5" customWidth="1"/>
    <col min="14" max="14" width="8.88888888888889" customWidth="1"/>
    <col min="15" max="15" width="7.66666666666667" customWidth="1"/>
    <col min="16" max="16" width="10.2222222222222" customWidth="1"/>
    <col min="17" max="17" width="5.88888888888889" customWidth="1"/>
    <col min="18" max="18" width="8.88888888888889" customWidth="1"/>
    <col min="19" max="19" width="7.88888888888889" customWidth="1"/>
    <col min="20" max="20" width="14.8888888888889" customWidth="1"/>
    <col min="21" max="21" width="8.88888888888889" customWidth="1"/>
    <col min="22" max="22" width="23.8888888888889" customWidth="1"/>
    <col min="23" max="23" width="8.88888888888889" customWidth="1"/>
  </cols>
  <sheetData>
    <row r="1" customFormat="1" ht="15.6" spans="2:17">
      <c r="B1" s="112" t="str">
        <f>'3RD QTR'!B1</f>
        <v>8 - ARIES</v>
      </c>
      <c r="C1" s="112"/>
      <c r="D1" s="112"/>
      <c r="E1" s="112"/>
      <c r="F1" s="112"/>
      <c r="G1" s="112"/>
      <c r="H1" s="112"/>
      <c r="I1" s="112"/>
      <c r="J1" s="112"/>
      <c r="K1" s="112"/>
      <c r="L1" s="112"/>
      <c r="M1" s="112"/>
      <c r="N1" s="112"/>
      <c r="O1" s="112"/>
      <c r="P1" s="112"/>
      <c r="Q1" s="112"/>
    </row>
    <row r="2" customFormat="1" spans="2:17">
      <c r="B2" s="113" t="s">
        <v>134</v>
      </c>
      <c r="C2" s="113"/>
      <c r="D2" s="113"/>
      <c r="E2" s="113"/>
      <c r="F2" s="113"/>
      <c r="G2" s="113"/>
      <c r="H2" s="113"/>
      <c r="I2" s="113"/>
      <c r="J2" s="113"/>
      <c r="K2" s="113"/>
      <c r="L2" s="113"/>
      <c r="M2" s="113"/>
      <c r="N2" s="113"/>
      <c r="O2" s="113"/>
      <c r="P2" s="113"/>
      <c r="Q2" s="113"/>
    </row>
    <row r="3" spans="22:22">
      <c r="V3" s="130"/>
    </row>
    <row r="4" customFormat="1" ht="15.6" spans="2:22">
      <c r="B4" s="114"/>
      <c r="C4" s="115" t="s">
        <v>17</v>
      </c>
      <c r="D4" s="115" t="s">
        <v>108</v>
      </c>
      <c r="E4" s="115" t="s">
        <v>109</v>
      </c>
      <c r="F4" s="115" t="s">
        <v>110</v>
      </c>
      <c r="G4" s="115" t="s">
        <v>111</v>
      </c>
      <c r="H4" s="115" t="s">
        <v>83</v>
      </c>
      <c r="I4" s="115" t="s">
        <v>86</v>
      </c>
      <c r="J4" s="115" t="s">
        <v>89</v>
      </c>
      <c r="K4" s="115" t="s">
        <v>112</v>
      </c>
      <c r="L4" s="115" t="s">
        <v>113</v>
      </c>
      <c r="M4" s="115" t="s">
        <v>114</v>
      </c>
      <c r="N4" s="115" t="s">
        <v>96</v>
      </c>
      <c r="O4" s="115" t="s">
        <v>98</v>
      </c>
      <c r="P4" s="115" t="s">
        <v>92</v>
      </c>
      <c r="Q4" s="115" t="s">
        <v>104</v>
      </c>
      <c r="V4" s="130"/>
    </row>
    <row r="5" ht="15.6" spans="2:22">
      <c r="B5" s="116">
        <v>1</v>
      </c>
      <c r="C5" s="117" t="str">
        <f>'INPUT DATA'!B12</f>
        <v>ANUBLING, REGIE C.</v>
      </c>
      <c r="D5" s="118">
        <v>75</v>
      </c>
      <c r="E5" s="118"/>
      <c r="F5" s="118"/>
      <c r="G5" s="118"/>
      <c r="H5" s="118"/>
      <c r="I5" s="126"/>
      <c r="J5" s="126"/>
      <c r="K5" s="126"/>
      <c r="L5" s="126"/>
      <c r="M5" s="118"/>
      <c r="N5" s="118"/>
      <c r="O5" s="118">
        <f t="shared" ref="O5:O24" si="0">(K5+L5+M5+N5)/2</f>
        <v>0</v>
      </c>
      <c r="P5" s="127">
        <f t="shared" ref="P5:P31" si="1">(D5+E5+F5+G5+H5+I5+J5+O5)/8</f>
        <v>9.375</v>
      </c>
      <c r="Q5" s="131">
        <f>RANK(P5,$P$5:$P$53)</f>
        <v>31</v>
      </c>
      <c r="S5" t="s">
        <v>115</v>
      </c>
      <c r="T5" t="s">
        <v>116</v>
      </c>
      <c r="V5" s="130"/>
    </row>
    <row r="6" ht="15.6" spans="2:22">
      <c r="B6" s="116">
        <v>2</v>
      </c>
      <c r="C6" s="117" t="str">
        <f>'INPUT DATA'!B13</f>
        <v>BANGCOY, JOHN PAUL P.</v>
      </c>
      <c r="D6" s="118">
        <v>60</v>
      </c>
      <c r="E6" s="118"/>
      <c r="F6" s="118"/>
      <c r="G6" s="118"/>
      <c r="H6" s="118"/>
      <c r="I6" s="126"/>
      <c r="J6" s="126"/>
      <c r="K6" s="126"/>
      <c r="L6" s="126"/>
      <c r="M6" s="118"/>
      <c r="N6" s="118"/>
      <c r="O6" s="118">
        <f t="shared" si="0"/>
        <v>0</v>
      </c>
      <c r="P6" s="127">
        <f t="shared" si="1"/>
        <v>7.5</v>
      </c>
      <c r="Q6" s="131">
        <f>RANK(P6,$P$5:$P$53)</f>
        <v>37</v>
      </c>
      <c r="V6" s="130"/>
    </row>
    <row r="7" ht="15.6" spans="2:22">
      <c r="B7" s="116">
        <v>3</v>
      </c>
      <c r="C7" s="117" t="str">
        <f>'INPUT DATA'!B14</f>
        <v>BARRIENTOS, JOHN PAUL M.</v>
      </c>
      <c r="D7" s="118">
        <v>95</v>
      </c>
      <c r="E7" s="118"/>
      <c r="F7" s="118"/>
      <c r="G7" s="118"/>
      <c r="H7" s="118"/>
      <c r="I7" s="126"/>
      <c r="J7" s="126"/>
      <c r="K7" s="126"/>
      <c r="L7" s="126"/>
      <c r="M7" s="118"/>
      <c r="N7" s="118"/>
      <c r="O7" s="118">
        <f t="shared" si="0"/>
        <v>0</v>
      </c>
      <c r="P7" s="127">
        <f t="shared" si="1"/>
        <v>11.875</v>
      </c>
      <c r="Q7" s="131">
        <f>RANK(P7,$P$5:$P$53)</f>
        <v>2</v>
      </c>
      <c r="V7" s="130"/>
    </row>
    <row r="8" ht="15.6" spans="2:22">
      <c r="B8" s="116">
        <v>4</v>
      </c>
      <c r="C8" s="117" t="str">
        <f>'INPUT DATA'!B15</f>
        <v>BRIGOLE, ROMEL</v>
      </c>
      <c r="D8" s="118">
        <v>65</v>
      </c>
      <c r="E8" s="118"/>
      <c r="F8" s="118"/>
      <c r="G8" s="118"/>
      <c r="H8" s="118"/>
      <c r="I8" s="126"/>
      <c r="J8" s="126"/>
      <c r="K8" s="126"/>
      <c r="L8" s="126"/>
      <c r="M8" s="118"/>
      <c r="N8" s="118"/>
      <c r="O8" s="118">
        <f t="shared" si="0"/>
        <v>0</v>
      </c>
      <c r="P8" s="127">
        <f t="shared" si="1"/>
        <v>8.125</v>
      </c>
      <c r="Q8" s="131">
        <f>RANK(P8,$P$5:$P$53)</f>
        <v>34</v>
      </c>
      <c r="V8" s="130"/>
    </row>
    <row r="9" ht="15.6" spans="2:22">
      <c r="B9" s="116">
        <v>5</v>
      </c>
      <c r="C9" s="117" t="str">
        <f>'INPUT DATA'!B16</f>
        <v>BULAHAN,ROVIC L.</v>
      </c>
      <c r="D9" s="118">
        <v>91</v>
      </c>
      <c r="E9" s="118"/>
      <c r="F9" s="118"/>
      <c r="G9" s="118"/>
      <c r="H9" s="118"/>
      <c r="I9" s="126"/>
      <c r="J9" s="126"/>
      <c r="K9" s="126"/>
      <c r="L9" s="126"/>
      <c r="M9" s="118"/>
      <c r="N9" s="118"/>
      <c r="O9" s="118">
        <f t="shared" si="0"/>
        <v>0</v>
      </c>
      <c r="P9" s="127">
        <f t="shared" si="1"/>
        <v>11.375</v>
      </c>
      <c r="Q9" s="131">
        <f>RANK(P9,$P$5:$P$53)</f>
        <v>9</v>
      </c>
      <c r="V9" s="130"/>
    </row>
    <row r="10" ht="15.6" spans="2:22">
      <c r="B10" s="116">
        <v>6</v>
      </c>
      <c r="C10" s="117" t="str">
        <f>'INPUT DATA'!B17</f>
        <v>CIJAS, ROLIE JR. A.</v>
      </c>
      <c r="D10" s="118">
        <v>94</v>
      </c>
      <c r="E10" s="118"/>
      <c r="F10" s="118"/>
      <c r="G10" s="118"/>
      <c r="H10" s="118"/>
      <c r="I10" s="126"/>
      <c r="J10" s="126"/>
      <c r="K10" s="126"/>
      <c r="L10" s="126"/>
      <c r="M10" s="118"/>
      <c r="N10" s="118"/>
      <c r="O10" s="118">
        <f t="shared" si="0"/>
        <v>0</v>
      </c>
      <c r="P10" s="127">
        <f t="shared" si="1"/>
        <v>11.75</v>
      </c>
      <c r="Q10" s="131">
        <f>RANK(P10,$P$5:$P$53)</f>
        <v>4</v>
      </c>
      <c r="V10" s="130"/>
    </row>
    <row r="11" customFormat="1" ht="15.6" spans="2:22">
      <c r="B11" s="116">
        <v>7</v>
      </c>
      <c r="C11" s="117" t="str">
        <f>'INPUT DATA'!B18</f>
        <v>GARCIA, DAVE P.</v>
      </c>
      <c r="D11" s="118">
        <v>85</v>
      </c>
      <c r="E11" s="118"/>
      <c r="F11" s="118"/>
      <c r="G11" s="118"/>
      <c r="H11" s="118"/>
      <c r="I11" s="126"/>
      <c r="J11" s="126"/>
      <c r="K11" s="126"/>
      <c r="L11" s="126"/>
      <c r="M11" s="118"/>
      <c r="N11" s="118"/>
      <c r="O11" s="118">
        <f t="shared" si="0"/>
        <v>0</v>
      </c>
      <c r="P11" s="127">
        <f t="shared" si="1"/>
        <v>10.625</v>
      </c>
      <c r="Q11" s="131">
        <f>RANK(P11,$P$5:$P$53)</f>
        <v>18</v>
      </c>
      <c r="V11" s="130"/>
    </row>
    <row r="12" customFormat="1" ht="15.6" spans="2:17">
      <c r="B12" s="116">
        <v>8</v>
      </c>
      <c r="C12" s="117" t="str">
        <f>'INPUT DATA'!B19</f>
        <v>GONZALES, JAMES A.</v>
      </c>
      <c r="D12" s="118">
        <v>85</v>
      </c>
      <c r="E12" s="118"/>
      <c r="F12" s="118"/>
      <c r="G12" s="118"/>
      <c r="H12" s="118"/>
      <c r="I12" s="126"/>
      <c r="J12" s="126"/>
      <c r="K12" s="126"/>
      <c r="L12" s="126"/>
      <c r="M12" s="118"/>
      <c r="N12" s="118"/>
      <c r="O12" s="118">
        <f t="shared" si="0"/>
        <v>0</v>
      </c>
      <c r="P12" s="127">
        <f t="shared" si="1"/>
        <v>10.625</v>
      </c>
      <c r="Q12" s="131">
        <f>RANK(P12,$P$5:$P$53)</f>
        <v>18</v>
      </c>
    </row>
    <row r="13" customFormat="1" ht="15.6" spans="2:17">
      <c r="B13" s="116">
        <v>9</v>
      </c>
      <c r="C13" s="117" t="str">
        <f>'INPUT DATA'!B20</f>
        <v>LAGUNA, J.B. B.</v>
      </c>
      <c r="D13" s="118">
        <v>94</v>
      </c>
      <c r="E13" s="118"/>
      <c r="F13" s="118"/>
      <c r="G13" s="118"/>
      <c r="H13" s="118"/>
      <c r="I13" s="126"/>
      <c r="J13" s="126"/>
      <c r="K13" s="126"/>
      <c r="L13" s="126"/>
      <c r="M13" s="118"/>
      <c r="N13" s="118"/>
      <c r="O13" s="118">
        <f t="shared" si="0"/>
        <v>0</v>
      </c>
      <c r="P13" s="127">
        <f t="shared" si="1"/>
        <v>11.75</v>
      </c>
      <c r="Q13" s="131">
        <f>RANK(P13,$P$5:$P$53)</f>
        <v>4</v>
      </c>
    </row>
    <row r="14" ht="15.6" spans="2:22">
      <c r="B14" s="116">
        <v>10</v>
      </c>
      <c r="C14" s="117" t="str">
        <f>'INPUT DATA'!B21</f>
        <v>LARODA, STEVEN S.</v>
      </c>
      <c r="D14" s="118">
        <v>85</v>
      </c>
      <c r="E14" s="118"/>
      <c r="F14" s="118"/>
      <c r="G14" s="118"/>
      <c r="H14" s="118"/>
      <c r="I14" s="126"/>
      <c r="J14" s="126"/>
      <c r="K14" s="126"/>
      <c r="L14" s="126"/>
      <c r="M14" s="118"/>
      <c r="N14" s="118"/>
      <c r="O14" s="118">
        <f t="shared" si="0"/>
        <v>0</v>
      </c>
      <c r="P14" s="127">
        <f t="shared" si="1"/>
        <v>10.625</v>
      </c>
      <c r="Q14" s="131">
        <f>RANK(P14,$P$5:$P$53)</f>
        <v>18</v>
      </c>
      <c r="S14" t="s">
        <v>117</v>
      </c>
      <c r="T14" t="s">
        <v>118</v>
      </c>
      <c r="V14" s="130"/>
    </row>
    <row r="15" ht="15.6" spans="2:22">
      <c r="B15" s="116">
        <v>11</v>
      </c>
      <c r="C15" s="117" t="str">
        <f>'INPUT DATA'!B22</f>
        <v>MERINO, SEDRIK R.</v>
      </c>
      <c r="D15" s="118">
        <v>78</v>
      </c>
      <c r="E15" s="118"/>
      <c r="F15" s="118"/>
      <c r="G15" s="118"/>
      <c r="H15" s="118"/>
      <c r="I15" s="126"/>
      <c r="J15" s="126"/>
      <c r="K15" s="126"/>
      <c r="L15" s="126"/>
      <c r="M15" s="118"/>
      <c r="N15" s="118"/>
      <c r="O15" s="118">
        <f t="shared" si="0"/>
        <v>0</v>
      </c>
      <c r="P15" s="127">
        <f t="shared" si="1"/>
        <v>9.75</v>
      </c>
      <c r="Q15" s="131">
        <f>RANK(P15,$P$5:$P$53)</f>
        <v>24</v>
      </c>
      <c r="V15" s="130"/>
    </row>
    <row r="16" ht="15.6" spans="2:22">
      <c r="B16" s="116">
        <v>12</v>
      </c>
      <c r="C16" s="117" t="str">
        <f>'INPUT DATA'!B23</f>
        <v>MONTERAS, VINCENT S.</v>
      </c>
      <c r="D16" s="118">
        <v>73</v>
      </c>
      <c r="E16" s="118"/>
      <c r="F16" s="118"/>
      <c r="G16" s="118"/>
      <c r="H16" s="118"/>
      <c r="I16" s="126"/>
      <c r="J16" s="126"/>
      <c r="K16" s="126"/>
      <c r="L16" s="126"/>
      <c r="M16" s="118"/>
      <c r="N16" s="118"/>
      <c r="O16" s="118">
        <f t="shared" si="0"/>
        <v>0</v>
      </c>
      <c r="P16" s="127">
        <f t="shared" si="1"/>
        <v>9.125</v>
      </c>
      <c r="Q16" s="131">
        <f>RANK(P16,$P$5:$P$53)</f>
        <v>33</v>
      </c>
      <c r="V16" s="130"/>
    </row>
    <row r="17" ht="15.6" spans="2:22">
      <c r="B17" s="116">
        <v>13</v>
      </c>
      <c r="C17" s="117" t="str">
        <f>'INPUT DATA'!B24</f>
        <v>NACAWILI, ANDRIE L.</v>
      </c>
      <c r="D17" s="118">
        <v>82</v>
      </c>
      <c r="E17" s="118"/>
      <c r="F17" s="118"/>
      <c r="G17" s="118"/>
      <c r="H17" s="118"/>
      <c r="I17" s="126"/>
      <c r="J17" s="126"/>
      <c r="K17" s="126"/>
      <c r="L17" s="126"/>
      <c r="M17" s="118"/>
      <c r="N17" s="118"/>
      <c r="O17" s="118">
        <f t="shared" si="0"/>
        <v>0</v>
      </c>
      <c r="P17" s="127">
        <f t="shared" si="1"/>
        <v>10.25</v>
      </c>
      <c r="Q17" s="131">
        <f>RANK(P17,$P$5:$P$53)</f>
        <v>22</v>
      </c>
      <c r="V17" s="130"/>
    </row>
    <row r="18" ht="15.6" spans="2:22">
      <c r="B18" s="116">
        <v>14</v>
      </c>
      <c r="C18" s="117" t="str">
        <f>'INPUT DATA'!B25</f>
        <v>OLIVERIO, CYREL JAY G.</v>
      </c>
      <c r="D18" s="118">
        <v>65</v>
      </c>
      <c r="E18" s="118"/>
      <c r="F18" s="118"/>
      <c r="G18" s="118"/>
      <c r="H18" s="118"/>
      <c r="I18" s="126"/>
      <c r="J18" s="126"/>
      <c r="K18" s="126"/>
      <c r="L18" s="126"/>
      <c r="M18" s="118"/>
      <c r="N18" s="118"/>
      <c r="O18" s="118">
        <f t="shared" si="0"/>
        <v>0</v>
      </c>
      <c r="P18" s="127">
        <f t="shared" si="1"/>
        <v>8.125</v>
      </c>
      <c r="Q18" s="131">
        <f>RANK(P18,$P$5:$P$53)</f>
        <v>34</v>
      </c>
      <c r="V18" s="130"/>
    </row>
    <row r="19" ht="15.6" spans="2:22">
      <c r="B19" s="116">
        <v>15</v>
      </c>
      <c r="C19" s="117" t="str">
        <f>'INPUT DATA'!B26</f>
        <v>ORBITA,BRENN JOHN A.</v>
      </c>
      <c r="D19" s="118">
        <v>77</v>
      </c>
      <c r="E19" s="118"/>
      <c r="F19" s="118"/>
      <c r="G19" s="118"/>
      <c r="H19" s="118"/>
      <c r="I19" s="126"/>
      <c r="J19" s="126"/>
      <c r="K19" s="126"/>
      <c r="L19" s="126"/>
      <c r="M19" s="118"/>
      <c r="N19" s="118"/>
      <c r="O19" s="118">
        <f t="shared" si="0"/>
        <v>0</v>
      </c>
      <c r="P19" s="127">
        <f t="shared" si="1"/>
        <v>9.625</v>
      </c>
      <c r="Q19" s="131">
        <f>RANK(P19,$P$5:$P$53)</f>
        <v>26</v>
      </c>
      <c r="V19" s="130"/>
    </row>
    <row r="20" ht="15.6" spans="2:22">
      <c r="B20" s="116">
        <v>16</v>
      </c>
      <c r="C20" s="117" t="str">
        <f>'INPUT DATA'!B27</f>
        <v>PAINLO,SHERWIN V.</v>
      </c>
      <c r="D20" s="118">
        <v>95</v>
      </c>
      <c r="E20" s="118"/>
      <c r="F20" s="118"/>
      <c r="G20" s="118"/>
      <c r="H20" s="118"/>
      <c r="I20" s="126"/>
      <c r="J20" s="126"/>
      <c r="K20" s="126"/>
      <c r="L20" s="126"/>
      <c r="M20" s="118"/>
      <c r="N20" s="118"/>
      <c r="O20" s="118">
        <f t="shared" si="0"/>
        <v>0</v>
      </c>
      <c r="P20" s="127">
        <f t="shared" si="1"/>
        <v>11.875</v>
      </c>
      <c r="Q20" s="131">
        <f>RANK(P20,$P$5:$P$53)</f>
        <v>2</v>
      </c>
      <c r="V20" s="130"/>
    </row>
    <row r="21" ht="15.6" spans="2:22">
      <c r="B21" s="116">
        <v>17</v>
      </c>
      <c r="C21" s="117" t="str">
        <f>'INPUT DATA'!B28</f>
        <v>RAMIREZ, MATTEO JOHN DAVE D.</v>
      </c>
      <c r="D21" s="118"/>
      <c r="E21" s="118"/>
      <c r="F21" s="118"/>
      <c r="G21" s="118"/>
      <c r="H21" s="118"/>
      <c r="I21" s="126"/>
      <c r="J21" s="126"/>
      <c r="K21" s="126"/>
      <c r="L21" s="126"/>
      <c r="M21" s="118"/>
      <c r="N21" s="118"/>
      <c r="O21" s="118">
        <f t="shared" si="0"/>
        <v>0</v>
      </c>
      <c r="P21" s="127">
        <f t="shared" si="1"/>
        <v>0</v>
      </c>
      <c r="Q21" s="131">
        <f>RANK(P21,$P$5:$P$53)</f>
        <v>38</v>
      </c>
      <c r="V21" s="130"/>
    </row>
    <row r="22" ht="15.6" spans="2:22">
      <c r="B22" s="116">
        <v>18</v>
      </c>
      <c r="C22" s="117" t="str">
        <f>'INPUT DATA'!B29</f>
        <v>SIGUIRA, JASTINE B.</v>
      </c>
      <c r="D22" s="118"/>
      <c r="E22" s="118"/>
      <c r="F22" s="118"/>
      <c r="G22" s="118"/>
      <c r="H22" s="118"/>
      <c r="I22" s="126"/>
      <c r="J22" s="126"/>
      <c r="K22" s="118"/>
      <c r="L22" s="118"/>
      <c r="M22" s="118"/>
      <c r="N22" s="118"/>
      <c r="O22" s="118">
        <f t="shared" si="0"/>
        <v>0</v>
      </c>
      <c r="P22" s="127">
        <f t="shared" si="1"/>
        <v>0</v>
      </c>
      <c r="Q22" s="131">
        <f>RANK(P22,$P$5:$P$53)</f>
        <v>38</v>
      </c>
      <c r="V22" s="130"/>
    </row>
    <row r="23" customFormat="1" ht="15.6" spans="2:17">
      <c r="B23" s="116">
        <v>19</v>
      </c>
      <c r="C23" s="117" t="str">
        <f>'INPUT DATA'!B30</f>
        <v>TAA, JHONVINZ Y.</v>
      </c>
      <c r="D23" s="118">
        <v>76</v>
      </c>
      <c r="E23" s="118"/>
      <c r="F23" s="118"/>
      <c r="G23" s="118"/>
      <c r="H23" s="118"/>
      <c r="I23" s="126"/>
      <c r="J23" s="126"/>
      <c r="K23" s="118"/>
      <c r="L23" s="118"/>
      <c r="M23" s="118"/>
      <c r="N23" s="118"/>
      <c r="O23" s="118">
        <f t="shared" si="0"/>
        <v>0</v>
      </c>
      <c r="P23" s="127">
        <f t="shared" si="1"/>
        <v>9.5</v>
      </c>
      <c r="Q23" s="131">
        <f>RANK(P23,$P$5:$P$53)</f>
        <v>29</v>
      </c>
    </row>
    <row r="24" customFormat="1" ht="15.6" spans="2:19">
      <c r="B24" s="116">
        <v>20</v>
      </c>
      <c r="C24" s="117" t="str">
        <f>'INPUT DATA'!B31</f>
        <v>ZOILO, JOHN LORENCE M.</v>
      </c>
      <c r="D24" s="118">
        <v>89</v>
      </c>
      <c r="E24" s="118"/>
      <c r="F24" s="118"/>
      <c r="G24" s="118"/>
      <c r="H24" s="118"/>
      <c r="I24" s="126"/>
      <c r="J24" s="126"/>
      <c r="K24" s="118"/>
      <c r="L24" s="118"/>
      <c r="M24" s="118"/>
      <c r="N24" s="118"/>
      <c r="O24" s="118">
        <f t="shared" si="0"/>
        <v>0</v>
      </c>
      <c r="P24" s="127">
        <f t="shared" si="1"/>
        <v>11.125</v>
      </c>
      <c r="Q24" s="131">
        <f>RANK(P24,$P$5:$P$53)</f>
        <v>11</v>
      </c>
      <c r="S24" t="s">
        <v>119</v>
      </c>
    </row>
    <row r="25" customFormat="1" ht="15.6" hidden="1" spans="2:17">
      <c r="B25" s="116">
        <v>21</v>
      </c>
      <c r="C25" s="117">
        <f>'INPUT DATA'!B32</f>
        <v>0</v>
      </c>
      <c r="D25" s="118"/>
      <c r="E25" s="118"/>
      <c r="F25" s="118"/>
      <c r="G25" s="118"/>
      <c r="H25" s="118"/>
      <c r="I25" s="118"/>
      <c r="J25" s="118"/>
      <c r="K25" s="118"/>
      <c r="L25" s="118"/>
      <c r="M25" s="118"/>
      <c r="N25" s="118"/>
      <c r="O25" s="118">
        <f t="shared" ref="O25:O31" si="2">(K25+L25+M25+N25)/4</f>
        <v>0</v>
      </c>
      <c r="P25" s="127">
        <f t="shared" si="1"/>
        <v>0</v>
      </c>
      <c r="Q25" s="131">
        <f>RANK(P25,$P$5:$P$53)</f>
        <v>38</v>
      </c>
    </row>
    <row r="26" customFormat="1" ht="15.6" hidden="1" spans="2:17">
      <c r="B26" s="116">
        <v>22</v>
      </c>
      <c r="C26" s="117">
        <f>'INPUT DATA'!B33</f>
        <v>0</v>
      </c>
      <c r="D26" s="118"/>
      <c r="E26" s="118"/>
      <c r="F26" s="118"/>
      <c r="G26" s="118"/>
      <c r="H26" s="118"/>
      <c r="I26" s="118"/>
      <c r="J26" s="118"/>
      <c r="K26" s="118"/>
      <c r="L26" s="118"/>
      <c r="M26" s="118"/>
      <c r="N26" s="118"/>
      <c r="O26" s="118">
        <f t="shared" si="2"/>
        <v>0</v>
      </c>
      <c r="P26" s="127">
        <f t="shared" si="1"/>
        <v>0</v>
      </c>
      <c r="Q26" s="131">
        <f>RANK(P26,$P$5:$P$53)</f>
        <v>38</v>
      </c>
    </row>
    <row r="27" customFormat="1" ht="15.6" hidden="1" spans="2:17">
      <c r="B27" s="116">
        <v>23</v>
      </c>
      <c r="C27" s="117">
        <f>'INPUT DATA'!B34</f>
        <v>0</v>
      </c>
      <c r="D27" s="118"/>
      <c r="E27" s="118"/>
      <c r="F27" s="118"/>
      <c r="G27" s="118"/>
      <c r="H27" s="118"/>
      <c r="I27" s="118"/>
      <c r="J27" s="118"/>
      <c r="K27" s="118"/>
      <c r="L27" s="118"/>
      <c r="M27" s="118"/>
      <c r="N27" s="118"/>
      <c r="O27" s="118">
        <f t="shared" si="2"/>
        <v>0</v>
      </c>
      <c r="P27" s="127">
        <f t="shared" si="1"/>
        <v>0</v>
      </c>
      <c r="Q27" s="131">
        <f>RANK(P27,$P$5:$P$53)</f>
        <v>38</v>
      </c>
    </row>
    <row r="28" customFormat="1" ht="15.6" hidden="1" spans="2:17">
      <c r="B28" s="116">
        <v>24</v>
      </c>
      <c r="C28" s="119"/>
      <c r="D28" s="118"/>
      <c r="E28" s="118"/>
      <c r="F28" s="118"/>
      <c r="G28" s="118"/>
      <c r="H28" s="118"/>
      <c r="I28" s="118"/>
      <c r="J28" s="118"/>
      <c r="K28" s="118"/>
      <c r="L28" s="118"/>
      <c r="M28" s="118"/>
      <c r="N28" s="118"/>
      <c r="O28" s="118">
        <f t="shared" si="2"/>
        <v>0</v>
      </c>
      <c r="P28" s="127">
        <f t="shared" si="1"/>
        <v>0</v>
      </c>
      <c r="Q28" s="131">
        <f>RANK(P28,$P$5:$P$53)</f>
        <v>38</v>
      </c>
    </row>
    <row r="29" customFormat="1" ht="15.6" hidden="1" spans="2:17">
      <c r="B29" s="116">
        <v>25</v>
      </c>
      <c r="C29" s="119"/>
      <c r="D29" s="118"/>
      <c r="E29" s="118"/>
      <c r="F29" s="118"/>
      <c r="G29" s="118"/>
      <c r="H29" s="118"/>
      <c r="I29" s="118"/>
      <c r="J29" s="118"/>
      <c r="K29" s="118"/>
      <c r="L29" s="118"/>
      <c r="M29" s="118"/>
      <c r="N29" s="118"/>
      <c r="O29" s="118">
        <f t="shared" si="2"/>
        <v>0</v>
      </c>
      <c r="P29" s="127">
        <f t="shared" si="1"/>
        <v>0</v>
      </c>
      <c r="Q29" s="131">
        <f>RANK(P29,$P$5:$P$53)</f>
        <v>38</v>
      </c>
    </row>
    <row r="30" customFormat="1" ht="15.6" hidden="1" spans="2:17">
      <c r="B30" s="116">
        <v>26</v>
      </c>
      <c r="C30" s="119"/>
      <c r="D30" s="118"/>
      <c r="E30" s="118"/>
      <c r="F30" s="118"/>
      <c r="G30" s="118"/>
      <c r="H30" s="118"/>
      <c r="I30" s="118"/>
      <c r="J30" s="118"/>
      <c r="K30" s="118"/>
      <c r="L30" s="118"/>
      <c r="M30" s="118"/>
      <c r="N30" s="118"/>
      <c r="O30" s="118">
        <f t="shared" si="2"/>
        <v>0</v>
      </c>
      <c r="P30" s="127">
        <f t="shared" si="1"/>
        <v>0</v>
      </c>
      <c r="Q30" s="131">
        <f>RANK(P30,$P$5:$P$53)</f>
        <v>38</v>
      </c>
    </row>
    <row r="31" customFormat="1" ht="15.6" spans="2:17">
      <c r="B31" s="116">
        <v>27</v>
      </c>
      <c r="C31" s="119"/>
      <c r="D31" s="118"/>
      <c r="E31" s="118"/>
      <c r="F31" s="118"/>
      <c r="G31" s="118"/>
      <c r="H31" s="118"/>
      <c r="I31" s="118"/>
      <c r="J31" s="118"/>
      <c r="K31" s="118"/>
      <c r="L31" s="118"/>
      <c r="M31" s="118"/>
      <c r="N31" s="118"/>
      <c r="O31" s="118">
        <f t="shared" si="2"/>
        <v>0</v>
      </c>
      <c r="P31" s="127">
        <f t="shared" si="1"/>
        <v>0</v>
      </c>
      <c r="Q31" s="131">
        <f>RANK(P31,$P$5:$P$53)</f>
        <v>38</v>
      </c>
    </row>
    <row r="32" customFormat="1" ht="15.6" spans="2:19">
      <c r="B32" s="114"/>
      <c r="C32" s="120" t="s">
        <v>39</v>
      </c>
      <c r="D32" s="120"/>
      <c r="E32" s="120"/>
      <c r="F32" s="120"/>
      <c r="G32" s="120"/>
      <c r="H32" s="120"/>
      <c r="I32" s="120"/>
      <c r="J32" s="120"/>
      <c r="K32" s="120"/>
      <c r="L32" s="120"/>
      <c r="M32" s="120"/>
      <c r="N32" s="120"/>
      <c r="O32" s="120"/>
      <c r="P32" s="120"/>
      <c r="Q32" s="131">
        <f>RANK(P32,$P$5:$P$53)</f>
        <v>38</v>
      </c>
      <c r="S32" t="s">
        <v>129</v>
      </c>
    </row>
    <row r="33" customFormat="1" ht="15.6" spans="2:17">
      <c r="B33" s="116">
        <v>1</v>
      </c>
      <c r="C33" s="117" t="str">
        <f>'INPUT DATA'!B53</f>
        <v>ANGCOY, PRINCESS NAILLE T.</v>
      </c>
      <c r="D33" s="119">
        <v>89</v>
      </c>
      <c r="E33" s="119"/>
      <c r="F33" s="119"/>
      <c r="G33" s="119"/>
      <c r="H33" s="119"/>
      <c r="I33" s="126"/>
      <c r="J33" s="126"/>
      <c r="K33" s="126"/>
      <c r="L33" s="126"/>
      <c r="M33" s="119"/>
      <c r="N33" s="119"/>
      <c r="O33" s="118">
        <f t="shared" ref="O33:O56" si="3">(K33+L33+M33+N33)/2</f>
        <v>0</v>
      </c>
      <c r="P33" s="127">
        <f t="shared" ref="P33:P53" si="4">(D33+E33+F33+G33+H33+I33+J33+O33)/8</f>
        <v>11.125</v>
      </c>
      <c r="Q33" s="131">
        <f>RANK(P33,$P$5:$P$53)</f>
        <v>11</v>
      </c>
    </row>
    <row r="34" customFormat="1" ht="15.6" spans="2:17">
      <c r="B34" s="116">
        <v>2</v>
      </c>
      <c r="C34" s="117" t="str">
        <f>'INPUT DATA'!B54</f>
        <v>BIMOS, SHEILLA KATE O.</v>
      </c>
      <c r="D34" s="119">
        <v>87</v>
      </c>
      <c r="E34" s="119"/>
      <c r="F34" s="119"/>
      <c r="G34" s="119"/>
      <c r="H34" s="119"/>
      <c r="I34" s="126"/>
      <c r="J34" s="126"/>
      <c r="K34" s="126"/>
      <c r="L34" s="126"/>
      <c r="M34" s="119"/>
      <c r="N34" s="119"/>
      <c r="O34" s="118">
        <f t="shared" si="3"/>
        <v>0</v>
      </c>
      <c r="P34" s="127">
        <f t="shared" si="4"/>
        <v>10.875</v>
      </c>
      <c r="Q34" s="131">
        <f>RANK(P34,$P$5:$P$53)</f>
        <v>17</v>
      </c>
    </row>
    <row r="35" customFormat="1" ht="15.6" spans="2:17">
      <c r="B35" s="121">
        <v>3</v>
      </c>
      <c r="C35" s="117" t="str">
        <f>'INPUT DATA'!B55</f>
        <v>BONGABONG, DWEYN ZHAIRA A.</v>
      </c>
      <c r="D35" s="119">
        <v>92</v>
      </c>
      <c r="E35" s="119"/>
      <c r="F35" s="119"/>
      <c r="G35" s="119"/>
      <c r="H35" s="119"/>
      <c r="I35" s="126"/>
      <c r="J35" s="126"/>
      <c r="K35" s="128"/>
      <c r="L35" s="128"/>
      <c r="M35" s="122"/>
      <c r="N35" s="122"/>
      <c r="O35" s="118">
        <f t="shared" si="3"/>
        <v>0</v>
      </c>
      <c r="P35" s="129">
        <f t="shared" si="4"/>
        <v>11.5</v>
      </c>
      <c r="Q35" s="132">
        <f>RANK(P35,$P$5:$P$53)</f>
        <v>8</v>
      </c>
    </row>
    <row r="36" customFormat="1" ht="15.6" spans="2:17">
      <c r="B36" s="121">
        <v>4</v>
      </c>
      <c r="C36" s="117" t="str">
        <f>'INPUT DATA'!B56</f>
        <v>CABEL, LOURENE A.</v>
      </c>
      <c r="D36" s="119">
        <v>93</v>
      </c>
      <c r="E36" s="119"/>
      <c r="F36" s="119"/>
      <c r="G36" s="119"/>
      <c r="H36" s="119"/>
      <c r="I36" s="126"/>
      <c r="J36" s="126"/>
      <c r="K36" s="128"/>
      <c r="L36" s="128"/>
      <c r="M36" s="122"/>
      <c r="N36" s="122"/>
      <c r="O36" s="118">
        <f t="shared" si="3"/>
        <v>0</v>
      </c>
      <c r="P36" s="129">
        <f t="shared" si="4"/>
        <v>11.625</v>
      </c>
      <c r="Q36" s="132">
        <f>RANK(P36,$P$5:$P$53)</f>
        <v>7</v>
      </c>
    </row>
    <row r="37" customFormat="1" ht="15.6" spans="2:17">
      <c r="B37" s="116">
        <v>5</v>
      </c>
      <c r="C37" s="117" t="str">
        <f>'INPUT DATA'!B57</f>
        <v>CAMIGAO, DHENISE CLARE V.</v>
      </c>
      <c r="D37" s="119">
        <v>89</v>
      </c>
      <c r="E37" s="119"/>
      <c r="F37" s="119"/>
      <c r="G37" s="119"/>
      <c r="H37" s="119"/>
      <c r="I37" s="126"/>
      <c r="J37" s="126"/>
      <c r="K37" s="126"/>
      <c r="L37" s="126"/>
      <c r="M37" s="119"/>
      <c r="N37" s="119"/>
      <c r="O37" s="118">
        <f t="shared" si="3"/>
        <v>0</v>
      </c>
      <c r="P37" s="127">
        <f t="shared" si="4"/>
        <v>11.125</v>
      </c>
      <c r="Q37" s="131">
        <f>RANK(P37,$P$5:$P$53)</f>
        <v>11</v>
      </c>
    </row>
    <row r="38" customFormat="1" ht="15.6" spans="2:17">
      <c r="B38" s="121">
        <v>6</v>
      </c>
      <c r="C38" s="117" t="str">
        <f>'INPUT DATA'!B58</f>
        <v>CARISMA, NATHALIA MAE M.</v>
      </c>
      <c r="D38" s="119">
        <v>89</v>
      </c>
      <c r="E38" s="119"/>
      <c r="F38" s="119"/>
      <c r="G38" s="119"/>
      <c r="H38" s="119"/>
      <c r="I38" s="126"/>
      <c r="J38" s="126"/>
      <c r="K38" s="128"/>
      <c r="L38" s="128"/>
      <c r="M38" s="122"/>
      <c r="N38" s="122"/>
      <c r="O38" s="118">
        <f t="shared" si="3"/>
        <v>0</v>
      </c>
      <c r="P38" s="129">
        <f t="shared" si="4"/>
        <v>11.125</v>
      </c>
      <c r="Q38" s="132">
        <f>RANK(P38,$P$5:$P$53)</f>
        <v>11</v>
      </c>
    </row>
    <row r="39" customFormat="1" ht="15.6" spans="2:17">
      <c r="B39" s="116">
        <v>7</v>
      </c>
      <c r="C39" s="117" t="str">
        <f>'INPUT DATA'!B59</f>
        <v>CLARO, REANZ P.</v>
      </c>
      <c r="D39" s="119">
        <v>77</v>
      </c>
      <c r="E39" s="119"/>
      <c r="F39" s="119"/>
      <c r="G39" s="119"/>
      <c r="H39" s="119"/>
      <c r="I39" s="126"/>
      <c r="J39" s="126"/>
      <c r="K39" s="126"/>
      <c r="L39" s="126"/>
      <c r="M39" s="119"/>
      <c r="N39" s="119"/>
      <c r="O39" s="118">
        <f t="shared" si="3"/>
        <v>0</v>
      </c>
      <c r="P39" s="127">
        <f t="shared" si="4"/>
        <v>9.625</v>
      </c>
      <c r="Q39" s="131">
        <f>RANK(P39,$P$5:$P$53)</f>
        <v>26</v>
      </c>
    </row>
    <row r="40" customFormat="1" ht="15.6" spans="2:17">
      <c r="B40" s="121">
        <v>8</v>
      </c>
      <c r="C40" s="117" t="str">
        <f>'INPUT DATA'!B60</f>
        <v>FRANCISCO, YSABELLA BEATRICE B.</v>
      </c>
      <c r="D40" s="119">
        <v>96</v>
      </c>
      <c r="E40" s="119"/>
      <c r="F40" s="119"/>
      <c r="G40" s="119"/>
      <c r="H40" s="119"/>
      <c r="I40" s="126"/>
      <c r="J40" s="126"/>
      <c r="K40" s="128"/>
      <c r="L40" s="128"/>
      <c r="M40" s="122"/>
      <c r="N40" s="122"/>
      <c r="O40" s="118">
        <f t="shared" si="3"/>
        <v>0</v>
      </c>
      <c r="P40" s="129">
        <f t="shared" si="4"/>
        <v>12</v>
      </c>
      <c r="Q40" s="132">
        <f>RANK(P40,$P$5:$P$53)</f>
        <v>1</v>
      </c>
    </row>
    <row r="41" customFormat="1" ht="15.6" spans="2:17">
      <c r="B41" s="116">
        <v>9</v>
      </c>
      <c r="C41" s="117" t="str">
        <f>'INPUT DATA'!B61</f>
        <v>GALDO, ALYSSA RHIAN P.</v>
      </c>
      <c r="D41" s="119"/>
      <c r="E41" s="119"/>
      <c r="F41" s="119"/>
      <c r="G41" s="119"/>
      <c r="H41" s="119"/>
      <c r="I41" s="126"/>
      <c r="J41" s="126"/>
      <c r="K41" s="126"/>
      <c r="L41" s="126"/>
      <c r="M41" s="119"/>
      <c r="N41" s="119"/>
      <c r="O41" s="118">
        <f t="shared" si="3"/>
        <v>0</v>
      </c>
      <c r="P41" s="127">
        <f t="shared" si="4"/>
        <v>0</v>
      </c>
      <c r="Q41" s="131">
        <f>RANK(P41,$P$5:$P$53)</f>
        <v>38</v>
      </c>
    </row>
    <row r="42" customFormat="1" ht="15.6" spans="2:17">
      <c r="B42" s="121">
        <v>10</v>
      </c>
      <c r="C42" s="117" t="str">
        <f>'INPUT DATA'!B62</f>
        <v>HURAÑO, RIOMI M.</v>
      </c>
      <c r="D42" s="119">
        <v>94</v>
      </c>
      <c r="E42" s="119"/>
      <c r="F42" s="119"/>
      <c r="G42" s="119"/>
      <c r="H42" s="119"/>
      <c r="I42" s="126"/>
      <c r="J42" s="126"/>
      <c r="K42" s="128"/>
      <c r="L42" s="128"/>
      <c r="M42" s="122"/>
      <c r="N42" s="122"/>
      <c r="O42" s="118">
        <f t="shared" si="3"/>
        <v>0</v>
      </c>
      <c r="P42" s="129">
        <f t="shared" si="4"/>
        <v>11.75</v>
      </c>
      <c r="Q42" s="132">
        <f>RANK(P42,$P$5:$P$53)</f>
        <v>4</v>
      </c>
    </row>
    <row r="43" customFormat="1" ht="15.6" spans="2:17">
      <c r="B43" s="121">
        <v>11</v>
      </c>
      <c r="C43" s="117" t="str">
        <f>'INPUT DATA'!B63</f>
        <v>LAGUNA, WELLAIZA O.</v>
      </c>
      <c r="D43" s="119"/>
      <c r="E43" s="119"/>
      <c r="F43" s="119"/>
      <c r="G43" s="119"/>
      <c r="H43" s="119"/>
      <c r="I43" s="126"/>
      <c r="J43" s="126"/>
      <c r="K43" s="128"/>
      <c r="L43" s="128"/>
      <c r="M43" s="122"/>
      <c r="N43" s="122"/>
      <c r="O43" s="118">
        <f t="shared" si="3"/>
        <v>0</v>
      </c>
      <c r="P43" s="129">
        <f t="shared" si="4"/>
        <v>0</v>
      </c>
      <c r="Q43" s="132">
        <f>RANK(P43,$P$5:$P$53)</f>
        <v>38</v>
      </c>
    </row>
    <row r="44" customFormat="1" ht="15.6" spans="2:17">
      <c r="B44" s="116">
        <v>12</v>
      </c>
      <c r="C44" s="117" t="str">
        <f>'INPUT DATA'!B64</f>
        <v>LAZAGA, PRINCESS JEAN O.</v>
      </c>
      <c r="D44" s="119">
        <v>90</v>
      </c>
      <c r="E44" s="119"/>
      <c r="F44" s="119"/>
      <c r="G44" s="119"/>
      <c r="H44" s="119"/>
      <c r="I44" s="126"/>
      <c r="J44" s="126"/>
      <c r="K44" s="126"/>
      <c r="L44" s="126"/>
      <c r="M44" s="119"/>
      <c r="N44" s="119"/>
      <c r="O44" s="118">
        <f t="shared" si="3"/>
        <v>0</v>
      </c>
      <c r="P44" s="127">
        <f t="shared" si="4"/>
        <v>11.25</v>
      </c>
      <c r="Q44" s="131">
        <f>RANK(P44,$P$5:$P$53)</f>
        <v>10</v>
      </c>
    </row>
    <row r="45" customFormat="1" ht="15.6" spans="2:17">
      <c r="B45" s="121">
        <v>13</v>
      </c>
      <c r="C45" s="117" t="str">
        <f>'INPUT DATA'!B65</f>
        <v>LIBRES, MIKYLLA B.</v>
      </c>
      <c r="D45" s="119">
        <v>83</v>
      </c>
      <c r="E45" s="119"/>
      <c r="F45" s="119"/>
      <c r="G45" s="119"/>
      <c r="H45" s="119"/>
      <c r="I45" s="126"/>
      <c r="J45" s="126"/>
      <c r="K45" s="128"/>
      <c r="L45" s="128"/>
      <c r="M45" s="122"/>
      <c r="N45" s="122"/>
      <c r="O45" s="118">
        <f t="shared" si="3"/>
        <v>0</v>
      </c>
      <c r="P45" s="129">
        <f t="shared" si="4"/>
        <v>10.375</v>
      </c>
      <c r="Q45" s="132">
        <f>RANK(P45,$P$5:$P$53)</f>
        <v>21</v>
      </c>
    </row>
    <row r="46" customFormat="1" ht="15.6" spans="2:17">
      <c r="B46" s="121">
        <v>14</v>
      </c>
      <c r="C46" s="117" t="str">
        <f>'INPUT DATA'!B66</f>
        <v>LIM, LENNIE GRACE S.</v>
      </c>
      <c r="D46" s="119">
        <v>89</v>
      </c>
      <c r="E46" s="119"/>
      <c r="F46" s="119"/>
      <c r="G46" s="119"/>
      <c r="H46" s="119"/>
      <c r="I46" s="126"/>
      <c r="J46" s="126"/>
      <c r="K46" s="128"/>
      <c r="L46" s="128"/>
      <c r="M46" s="122"/>
      <c r="N46" s="122"/>
      <c r="O46" s="118">
        <f t="shared" si="3"/>
        <v>0</v>
      </c>
      <c r="P46" s="129">
        <f t="shared" si="4"/>
        <v>11.125</v>
      </c>
      <c r="Q46" s="132">
        <f>RANK(P46,$P$5:$P$53)</f>
        <v>11</v>
      </c>
    </row>
    <row r="47" customFormat="1" ht="15.6" spans="2:17">
      <c r="B47" s="116">
        <v>15</v>
      </c>
      <c r="C47" s="117" t="str">
        <f>'INPUT DATA'!B67</f>
        <v>MASAYON, RHEA JANE L.</v>
      </c>
      <c r="D47" s="119">
        <v>78</v>
      </c>
      <c r="E47" s="119"/>
      <c r="F47" s="119"/>
      <c r="G47" s="119"/>
      <c r="H47" s="119"/>
      <c r="I47" s="126"/>
      <c r="J47" s="126"/>
      <c r="K47" s="126"/>
      <c r="L47" s="126"/>
      <c r="M47" s="119"/>
      <c r="N47" s="119"/>
      <c r="O47" s="118">
        <f t="shared" si="3"/>
        <v>0</v>
      </c>
      <c r="P47" s="127">
        <f t="shared" si="4"/>
        <v>9.75</v>
      </c>
      <c r="Q47" s="131">
        <f>RANK(P47,$P$5:$P$53)</f>
        <v>24</v>
      </c>
    </row>
    <row r="48" customFormat="1" ht="15.6" spans="2:17">
      <c r="B48" s="116">
        <v>16</v>
      </c>
      <c r="C48" s="117" t="str">
        <f>'INPUT DATA'!B68</f>
        <v>MORANCIL, JENEVI A.</v>
      </c>
      <c r="D48" s="119">
        <v>88</v>
      </c>
      <c r="E48" s="119"/>
      <c r="F48" s="119"/>
      <c r="G48" s="119"/>
      <c r="H48" s="119"/>
      <c r="I48" s="126"/>
      <c r="J48" s="126"/>
      <c r="K48" s="126"/>
      <c r="L48" s="126"/>
      <c r="M48" s="119"/>
      <c r="N48" s="119"/>
      <c r="O48" s="118">
        <f t="shared" si="3"/>
        <v>0</v>
      </c>
      <c r="P48" s="127">
        <f t="shared" si="4"/>
        <v>11</v>
      </c>
      <c r="Q48" s="131">
        <f>RANK(P48,$P$5:$P$53)</f>
        <v>16</v>
      </c>
    </row>
    <row r="49" customFormat="1" ht="15.6" spans="2:17">
      <c r="B49" s="116">
        <v>17</v>
      </c>
      <c r="C49" s="117" t="str">
        <f>'INPUT DATA'!B69</f>
        <v>PATRICIO, MICHA ELLA P.</v>
      </c>
      <c r="D49" s="119">
        <v>76</v>
      </c>
      <c r="E49" s="119"/>
      <c r="F49" s="119"/>
      <c r="G49" s="119"/>
      <c r="H49" s="119"/>
      <c r="I49" s="126"/>
      <c r="J49" s="126"/>
      <c r="K49" s="126"/>
      <c r="L49" s="126"/>
      <c r="M49" s="119"/>
      <c r="N49" s="119"/>
      <c r="O49" s="118">
        <f t="shared" si="3"/>
        <v>0</v>
      </c>
      <c r="P49" s="127">
        <f t="shared" si="4"/>
        <v>9.5</v>
      </c>
      <c r="Q49" s="131">
        <f>RANK(P49,$P$5:$P$53)</f>
        <v>29</v>
      </c>
    </row>
    <row r="50" customFormat="1" ht="15.6" spans="2:17">
      <c r="B50" s="121">
        <v>18</v>
      </c>
      <c r="C50" s="117" t="str">
        <f>'INPUT DATA'!B70</f>
        <v>PELINGON , ASHLEY C.</v>
      </c>
      <c r="D50" s="119">
        <v>77</v>
      </c>
      <c r="E50" s="119"/>
      <c r="F50" s="119"/>
      <c r="G50" s="119"/>
      <c r="H50" s="119"/>
      <c r="I50" s="126"/>
      <c r="J50" s="126"/>
      <c r="K50" s="128"/>
      <c r="L50" s="128"/>
      <c r="M50" s="122"/>
      <c r="N50" s="122"/>
      <c r="O50" s="118">
        <f t="shared" si="3"/>
        <v>0</v>
      </c>
      <c r="P50" s="129">
        <f t="shared" si="4"/>
        <v>9.625</v>
      </c>
      <c r="Q50" s="132">
        <f>RANK(P50,$P$5:$P$53)</f>
        <v>26</v>
      </c>
    </row>
    <row r="51" customFormat="1" ht="15.6" spans="2:17">
      <c r="B51" s="121">
        <v>19</v>
      </c>
      <c r="C51" s="117" t="str">
        <f>'INPUT DATA'!B71</f>
        <v>PEREZ, MERCY JEAN T.</v>
      </c>
      <c r="D51" s="119">
        <v>79</v>
      </c>
      <c r="E51" s="119"/>
      <c r="F51" s="119"/>
      <c r="G51" s="119"/>
      <c r="H51" s="119"/>
      <c r="I51" s="126"/>
      <c r="J51" s="126"/>
      <c r="K51" s="126"/>
      <c r="L51" s="126"/>
      <c r="M51" s="119"/>
      <c r="N51" s="119"/>
      <c r="O51" s="118">
        <f t="shared" si="3"/>
        <v>0</v>
      </c>
      <c r="P51" s="127">
        <f t="shared" si="4"/>
        <v>9.875</v>
      </c>
      <c r="Q51" s="131">
        <f>RANK(P51,$P$5:$P$53)</f>
        <v>23</v>
      </c>
    </row>
    <row r="52" customFormat="1" ht="15.6" spans="2:17">
      <c r="B52" s="121">
        <v>20</v>
      </c>
      <c r="C52" s="117" t="str">
        <f>'INPUT DATA'!B72</f>
        <v>PINGOT, RHEA L.</v>
      </c>
      <c r="D52" s="119">
        <v>61</v>
      </c>
      <c r="E52" s="119"/>
      <c r="F52" s="119"/>
      <c r="G52" s="119"/>
      <c r="H52" s="119"/>
      <c r="I52" s="126"/>
      <c r="J52" s="126"/>
      <c r="K52" s="126"/>
      <c r="L52" s="126"/>
      <c r="M52" s="119"/>
      <c r="N52" s="119"/>
      <c r="O52" s="118">
        <f t="shared" si="3"/>
        <v>0</v>
      </c>
      <c r="P52" s="127">
        <f t="shared" si="4"/>
        <v>7.625</v>
      </c>
      <c r="Q52" s="131">
        <f>RANK(P52,$P$5:$P$53)</f>
        <v>36</v>
      </c>
    </row>
    <row r="53" customFormat="1" ht="15.6" spans="2:17">
      <c r="B53" s="121">
        <v>21</v>
      </c>
      <c r="C53" s="117" t="str">
        <f>'INPUT DATA'!B73</f>
        <v>QUILAT, FERRA MAE</v>
      </c>
      <c r="D53" s="119">
        <v>75</v>
      </c>
      <c r="E53" s="119"/>
      <c r="F53" s="119"/>
      <c r="G53" s="119"/>
      <c r="H53" s="119"/>
      <c r="I53" s="126"/>
      <c r="J53" s="126"/>
      <c r="K53" s="128"/>
      <c r="L53" s="128"/>
      <c r="M53" s="122"/>
      <c r="N53" s="122"/>
      <c r="O53" s="118">
        <f t="shared" si="3"/>
        <v>0</v>
      </c>
      <c r="P53" s="129">
        <f t="shared" si="4"/>
        <v>9.375</v>
      </c>
      <c r="Q53" s="132">
        <f>RANK(P53,$P$5:$P$53)</f>
        <v>31</v>
      </c>
    </row>
    <row r="54" customFormat="1" ht="15.6" spans="2:17">
      <c r="B54" s="121">
        <v>22</v>
      </c>
      <c r="C54" s="117" t="str">
        <f>'INPUT DATA'!B74</f>
        <v>ROSALES, RYZA MAE C.</v>
      </c>
      <c r="D54" s="119">
        <v>93</v>
      </c>
      <c r="E54" s="119"/>
      <c r="F54" s="119"/>
      <c r="G54" s="119"/>
      <c r="H54" s="119"/>
      <c r="I54" s="126"/>
      <c r="J54" s="126"/>
      <c r="K54" s="128"/>
      <c r="L54" s="128"/>
      <c r="M54" s="122"/>
      <c r="N54" s="122"/>
      <c r="O54" s="118">
        <f t="shared" si="3"/>
        <v>0</v>
      </c>
      <c r="P54" s="129"/>
      <c r="Q54" s="132"/>
    </row>
    <row r="55" ht="15.6" spans="2:17">
      <c r="B55" s="121">
        <v>23</v>
      </c>
      <c r="C55" s="117">
        <f>'INPUT DATA'!B75</f>
        <v>0</v>
      </c>
      <c r="D55" s="122"/>
      <c r="E55" s="119"/>
      <c r="F55" s="119"/>
      <c r="G55" s="119"/>
      <c r="H55" s="119"/>
      <c r="I55" s="126"/>
      <c r="J55" s="126"/>
      <c r="K55" s="128"/>
      <c r="L55" s="128"/>
      <c r="M55" s="122"/>
      <c r="N55" s="122"/>
      <c r="O55" s="118">
        <f t="shared" si="3"/>
        <v>0</v>
      </c>
      <c r="P55" s="129"/>
      <c r="Q55" s="132"/>
    </row>
    <row r="56" customFormat="1" ht="15.6" spans="2:17">
      <c r="B56" s="121"/>
      <c r="C56" s="117">
        <f>'INPUT DATA'!B76</f>
        <v>0</v>
      </c>
      <c r="D56" s="122"/>
      <c r="E56" s="122"/>
      <c r="F56" s="122"/>
      <c r="G56" s="122"/>
      <c r="H56" s="119">
        <f>AP!F75</f>
        <v>0</v>
      </c>
      <c r="I56" s="128"/>
      <c r="J56" s="126">
        <f>TLE!F75</f>
        <v>0</v>
      </c>
      <c r="K56" s="128"/>
      <c r="L56" s="128"/>
      <c r="M56" s="122"/>
      <c r="N56" s="122"/>
      <c r="O56" s="118">
        <f t="shared" si="3"/>
        <v>0</v>
      </c>
      <c r="P56" s="129"/>
      <c r="Q56" s="132"/>
    </row>
    <row r="57" ht="15.6" spans="2:17">
      <c r="B57" s="116"/>
      <c r="C57" s="117">
        <f>'INPUT DATA'!B77</f>
        <v>0</v>
      </c>
      <c r="D57" s="119"/>
      <c r="E57" s="119"/>
      <c r="F57" s="119"/>
      <c r="G57" s="119"/>
      <c r="H57" s="119"/>
      <c r="I57" s="119"/>
      <c r="J57" s="119"/>
      <c r="K57" s="119"/>
      <c r="L57" s="119"/>
      <c r="M57" s="119"/>
      <c r="N57" s="119"/>
      <c r="O57" s="118">
        <f>(K57+L57+M57+N57)/4</f>
        <v>0</v>
      </c>
      <c r="P57" s="127">
        <f>(D57+E57+F57+G57+H57+I57+J57+O57)/8</f>
        <v>0</v>
      </c>
      <c r="Q57" s="118">
        <f>P57</f>
        <v>0</v>
      </c>
    </row>
    <row r="58" customFormat="1" ht="15" spans="2:17">
      <c r="B58" s="123"/>
      <c r="C58" s="123"/>
      <c r="D58" s="123"/>
      <c r="E58" s="123"/>
      <c r="F58" s="123"/>
      <c r="G58" s="123"/>
      <c r="H58" s="123"/>
      <c r="I58" s="123"/>
      <c r="J58" s="123"/>
      <c r="K58" s="123"/>
      <c r="L58" s="123"/>
      <c r="M58" s="123"/>
      <c r="N58" s="123"/>
      <c r="O58" s="123"/>
      <c r="P58" s="123"/>
      <c r="Q58" s="123"/>
    </row>
    <row r="59" customFormat="1" ht="15" spans="2:17">
      <c r="B59" s="124" t="s">
        <v>123</v>
      </c>
      <c r="C59" s="124"/>
      <c r="D59" s="124"/>
      <c r="E59" s="124"/>
      <c r="F59" s="124"/>
      <c r="G59" s="124"/>
      <c r="H59" s="124"/>
      <c r="I59" s="124"/>
      <c r="J59" s="124"/>
      <c r="K59" s="124"/>
      <c r="L59" s="124" t="s">
        <v>124</v>
      </c>
      <c r="M59" s="124"/>
      <c r="N59" s="124"/>
      <c r="O59" s="124"/>
      <c r="P59" s="124"/>
      <c r="Q59" s="124"/>
    </row>
    <row r="60" ht="15" spans="2:17">
      <c r="B60" s="124"/>
      <c r="C60" s="124"/>
      <c r="D60" s="124"/>
      <c r="E60" s="124"/>
      <c r="F60" s="124"/>
      <c r="G60" s="124"/>
      <c r="H60" s="124"/>
      <c r="I60" s="124"/>
      <c r="J60" s="124"/>
      <c r="K60" s="124"/>
      <c r="L60" s="124"/>
      <c r="M60" s="124"/>
      <c r="N60" s="124"/>
      <c r="O60" s="124"/>
      <c r="P60" s="124"/>
      <c r="Q60" s="124"/>
    </row>
    <row r="61" ht="15.6" spans="2:17">
      <c r="B61" s="125" t="s">
        <v>14</v>
      </c>
      <c r="C61" s="124"/>
      <c r="D61" s="124"/>
      <c r="E61" s="124"/>
      <c r="F61" s="124"/>
      <c r="G61" s="124"/>
      <c r="H61" s="124"/>
      <c r="I61" s="124"/>
      <c r="J61" s="124"/>
      <c r="K61" s="124"/>
      <c r="L61" s="125" t="s">
        <v>125</v>
      </c>
      <c r="M61" s="124"/>
      <c r="N61" s="124"/>
      <c r="O61" s="124"/>
      <c r="P61" s="124"/>
      <c r="Q61" s="124"/>
    </row>
    <row r="62" ht="15" spans="2:17">
      <c r="B62" s="124" t="s">
        <v>126</v>
      </c>
      <c r="C62" s="124"/>
      <c r="D62" s="124"/>
      <c r="E62" s="124"/>
      <c r="F62" s="124"/>
      <c r="G62" s="124"/>
      <c r="H62" s="124"/>
      <c r="I62" s="124"/>
      <c r="J62" s="124"/>
      <c r="K62" s="124"/>
      <c r="L62" s="124" t="s">
        <v>127</v>
      </c>
      <c r="M62" s="124"/>
      <c r="N62" s="124"/>
      <c r="O62" s="124"/>
      <c r="P62" s="124"/>
      <c r="Q62" s="124"/>
    </row>
    <row r="63" ht="15" spans="2:17">
      <c r="B63" s="124"/>
      <c r="C63" s="124"/>
      <c r="D63" s="124"/>
      <c r="E63" s="124"/>
      <c r="F63" s="124"/>
      <c r="G63" s="124"/>
      <c r="H63" s="124"/>
      <c r="I63" s="124"/>
      <c r="J63" s="124"/>
      <c r="K63" s="124"/>
      <c r="L63" s="124"/>
      <c r="M63" s="124"/>
      <c r="N63" s="124"/>
      <c r="O63" s="124"/>
      <c r="P63" s="124"/>
      <c r="Q63" s="124"/>
    </row>
    <row r="64" ht="15" spans="2:17">
      <c r="B64" s="124"/>
      <c r="C64" s="124"/>
      <c r="D64" s="124"/>
      <c r="E64" s="124"/>
      <c r="F64" s="124"/>
      <c r="G64" s="124"/>
      <c r="H64" s="124"/>
      <c r="I64" s="124"/>
      <c r="J64" s="124"/>
      <c r="K64" s="124"/>
      <c r="L64" s="124"/>
      <c r="M64" s="124"/>
      <c r="N64" s="124"/>
      <c r="O64" s="124"/>
      <c r="P64" s="124"/>
      <c r="Q64" s="124"/>
    </row>
  </sheetData>
  <mergeCells count="2">
    <mergeCell ref="B1:Q1"/>
    <mergeCell ref="B2:Q2"/>
  </mergeCells>
  <dataValidations count="4">
    <dataValidation allowBlank="1" showInputMessage="1" showErrorMessage="1" prompt="Either manually encode learner's name here or copy learner's name from SF1 then paste here." sqref="V3 V4 V5 V8 V11 V14 V15 V19 V20 V22 M33:N33 M52:N52 M53:N53 E56 F56:G56 D57 E57 F57:J57 K57:N57 D33:D54 D55:D56 E33:E55 F33:F55 G33:G55 H33:H56 M50:N51 M34:N49 M54:N56"/>
    <dataValidation allowBlank="1" showErrorMessage="1" sqref="K5:L5 K33:L33 I56 K56:L56 I5:I24 I33:I55 J5:J24 J33:J56 K54:L55 K34:L48 K6:L21 K49:L53"/>
    <dataValidation allowBlank="1" showInputMessage="1" prompt="Do not type name of learners here. Go to INPUT DATA sheet." sqref="V6 V7 V9 V10 V16 V17 V18 V21 C28:C31"/>
    <dataValidation allowBlank="1" showInputMessage="1" showErrorMessage="1" prompt="Do not type name of learners here. Go to INPUT DATA sheet." sqref="C5:C27 C33:C52 C53:C57"/>
  </dataValidation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86"/>
  <sheetViews>
    <sheetView workbookViewId="0">
      <selection activeCell="J25" sqref="J25:M25"/>
    </sheetView>
  </sheetViews>
  <sheetFormatPr defaultColWidth="9" defaultRowHeight="13.2"/>
  <cols>
    <col min="1" max="1" width="4.17592592592593" customWidth="1"/>
    <col min="2" max="2" width="28.7222222222222" customWidth="1"/>
    <col min="3" max="5" width="3.26851851851852" customWidth="1"/>
    <col min="6" max="28" width="4.4537037037037" customWidth="1"/>
  </cols>
  <sheetData>
    <row r="1" spans="1:28">
      <c r="A1" s="1" t="s">
        <v>135</v>
      </c>
      <c r="B1" s="1"/>
      <c r="C1" s="1"/>
      <c r="D1" s="1"/>
      <c r="E1" s="1"/>
      <c r="F1" s="1"/>
      <c r="G1" s="1"/>
      <c r="H1" s="1"/>
      <c r="I1" s="1"/>
      <c r="J1" s="1"/>
      <c r="K1" s="1"/>
      <c r="L1" s="1"/>
      <c r="M1" s="1"/>
      <c r="N1" s="1"/>
      <c r="O1" s="1"/>
      <c r="P1" s="1"/>
      <c r="Q1" s="1"/>
      <c r="R1" s="1"/>
      <c r="S1" s="1"/>
      <c r="T1" s="1"/>
      <c r="U1" s="1"/>
      <c r="V1" s="1"/>
      <c r="W1" s="1"/>
      <c r="X1" s="1"/>
      <c r="Y1" s="1"/>
      <c r="Z1" s="1"/>
      <c r="AA1" s="1"/>
      <c r="AB1" s="1"/>
    </row>
    <row r="2" spans="1:28">
      <c r="A2" s="1"/>
      <c r="B2" s="1"/>
      <c r="C2" s="1"/>
      <c r="D2" s="1"/>
      <c r="E2" s="1"/>
      <c r="F2" s="1"/>
      <c r="G2" s="1"/>
      <c r="H2" s="1"/>
      <c r="I2" s="1"/>
      <c r="J2" s="1"/>
      <c r="K2" s="1"/>
      <c r="L2" s="1"/>
      <c r="M2" s="1"/>
      <c r="N2" s="1"/>
      <c r="O2" s="1"/>
      <c r="P2" s="1"/>
      <c r="Q2" s="1"/>
      <c r="R2" s="1"/>
      <c r="S2" s="1"/>
      <c r="T2" s="1"/>
      <c r="U2" s="1"/>
      <c r="V2" s="1"/>
      <c r="W2" s="1"/>
      <c r="X2" s="1"/>
      <c r="Y2" s="1"/>
      <c r="Z2" s="1"/>
      <c r="AA2" s="1"/>
      <c r="AB2" s="1"/>
    </row>
    <row r="3" ht="27" spans="1:28">
      <c r="A3" s="1"/>
      <c r="B3" s="1"/>
      <c r="C3" s="1"/>
      <c r="D3" s="1"/>
      <c r="E3" s="1"/>
      <c r="F3" s="1"/>
      <c r="G3" s="1"/>
      <c r="H3" s="1"/>
      <c r="I3" s="1"/>
      <c r="J3" s="1"/>
      <c r="K3" s="1"/>
      <c r="L3" s="1"/>
      <c r="M3" s="1"/>
      <c r="N3" s="1"/>
      <c r="O3" s="1"/>
      <c r="P3" s="1"/>
      <c r="Q3" s="1"/>
      <c r="R3" s="1"/>
      <c r="S3" s="1"/>
      <c r="T3" s="1"/>
      <c r="U3" s="1"/>
      <c r="V3" s="1"/>
      <c r="W3" s="1"/>
      <c r="X3" s="1"/>
      <c r="Y3" s="1"/>
      <c r="Z3" s="1"/>
      <c r="AA3" s="1"/>
      <c r="AB3" s="1"/>
    </row>
    <row r="4" spans="1:28">
      <c r="A4" s="2"/>
      <c r="B4" s="2"/>
      <c r="C4" s="2"/>
      <c r="D4" s="2"/>
      <c r="E4" s="2"/>
      <c r="F4" s="2"/>
      <c r="G4" s="2"/>
      <c r="H4" s="2"/>
      <c r="I4" s="2"/>
      <c r="J4" s="2"/>
      <c r="K4" s="2"/>
      <c r="L4" s="2"/>
      <c r="M4" s="2"/>
      <c r="N4" s="2"/>
      <c r="O4" s="2"/>
      <c r="P4" s="2"/>
      <c r="Q4" s="2"/>
      <c r="R4" s="2"/>
      <c r="S4" s="2"/>
      <c r="T4" s="2"/>
      <c r="U4" s="2"/>
      <c r="V4" s="2"/>
      <c r="W4" s="2"/>
      <c r="X4" s="2"/>
      <c r="Y4" s="2"/>
      <c r="Z4" s="2"/>
      <c r="AA4" s="2"/>
      <c r="AB4" s="2"/>
    </row>
    <row r="5" ht="17.4" spans="1:28">
      <c r="A5" s="3"/>
      <c r="B5" s="4"/>
      <c r="C5" s="5" t="s">
        <v>1</v>
      </c>
      <c r="D5" s="5"/>
      <c r="E5" s="5"/>
      <c r="F5" s="6"/>
      <c r="G5" s="7" t="s">
        <v>2</v>
      </c>
      <c r="H5" s="7"/>
      <c r="I5" s="7"/>
      <c r="J5" s="7"/>
      <c r="K5" s="56"/>
      <c r="L5" s="57" t="s">
        <v>3</v>
      </c>
      <c r="M5" s="57"/>
      <c r="N5" s="58"/>
      <c r="O5" s="8" t="s">
        <v>4</v>
      </c>
      <c r="P5" s="9"/>
      <c r="Q5" s="9"/>
      <c r="R5" s="74"/>
      <c r="S5" s="75"/>
      <c r="T5" s="75"/>
      <c r="U5" s="75"/>
      <c r="V5" s="75"/>
      <c r="W5" s="76"/>
      <c r="X5" s="76"/>
      <c r="Y5" s="76"/>
      <c r="Z5" s="76"/>
      <c r="AA5" s="76"/>
      <c r="AB5" s="76"/>
    </row>
    <row r="6" ht="18.15" spans="1:28">
      <c r="A6" s="3"/>
      <c r="B6" s="5" t="s">
        <v>5</v>
      </c>
      <c r="C6" s="5"/>
      <c r="D6" s="5"/>
      <c r="E6" s="5"/>
      <c r="F6" s="5"/>
      <c r="G6" s="8" t="s">
        <v>6</v>
      </c>
      <c r="H6" s="9"/>
      <c r="I6" s="9"/>
      <c r="J6" s="9"/>
      <c r="K6" s="9"/>
      <c r="L6" s="9"/>
      <c r="M6" s="9"/>
      <c r="N6" s="9"/>
      <c r="O6" s="9"/>
      <c r="P6" s="9"/>
      <c r="Q6" s="9"/>
      <c r="R6" s="74"/>
      <c r="S6" s="75" t="s">
        <v>7</v>
      </c>
      <c r="T6" s="75"/>
      <c r="U6" s="75"/>
      <c r="V6" s="75"/>
      <c r="W6" s="77">
        <v>316405</v>
      </c>
      <c r="X6" s="77"/>
      <c r="Y6" s="77"/>
      <c r="Z6" s="77"/>
      <c r="AA6" s="77"/>
      <c r="AB6" s="77"/>
    </row>
    <row r="7" ht="14.55" spans="1:28">
      <c r="A7" s="10"/>
      <c r="B7" s="11" t="s">
        <v>16</v>
      </c>
      <c r="C7" s="11"/>
      <c r="D7" s="11"/>
      <c r="E7" s="12"/>
      <c r="F7" s="13" t="s">
        <v>11</v>
      </c>
      <c r="G7" s="14"/>
      <c r="H7" s="14"/>
      <c r="I7" s="14"/>
      <c r="J7" s="14"/>
      <c r="K7" s="59" t="str">
        <f>'INPUT DATA'!K7</f>
        <v>8 - ARIES</v>
      </c>
      <c r="L7" s="59"/>
      <c r="M7" s="59"/>
      <c r="N7" s="59"/>
      <c r="O7" s="59"/>
      <c r="P7" s="59"/>
      <c r="Q7" s="59"/>
      <c r="R7" s="78"/>
      <c r="S7" s="18" t="s">
        <v>64</v>
      </c>
      <c r="T7" s="19"/>
      <c r="U7" s="19"/>
      <c r="V7" s="19"/>
      <c r="W7" s="59" t="str">
        <f>'INPUT DATA'!AG5</f>
        <v>2025 - 2026</v>
      </c>
      <c r="X7" s="59"/>
      <c r="Y7" s="59"/>
      <c r="Z7" s="59"/>
      <c r="AA7" s="59"/>
      <c r="AB7" s="78"/>
    </row>
    <row r="8" ht="14.55" spans="1:28">
      <c r="A8" s="15"/>
      <c r="B8" s="16"/>
      <c r="C8" s="16"/>
      <c r="D8" s="16"/>
      <c r="E8" s="17"/>
      <c r="F8" s="18" t="s">
        <v>13</v>
      </c>
      <c r="G8" s="19"/>
      <c r="H8" s="19"/>
      <c r="I8" s="19"/>
      <c r="J8" s="19"/>
      <c r="K8" s="60" t="s">
        <v>14</v>
      </c>
      <c r="L8" s="60"/>
      <c r="M8" s="60"/>
      <c r="N8" s="60"/>
      <c r="O8" s="60"/>
      <c r="P8" s="60"/>
      <c r="Q8" s="60"/>
      <c r="R8" s="79"/>
      <c r="S8" s="18" t="s">
        <v>15</v>
      </c>
      <c r="T8" s="19"/>
      <c r="U8" s="19"/>
      <c r="V8" s="19"/>
      <c r="W8" s="80" t="s">
        <v>136</v>
      </c>
      <c r="X8" s="80"/>
      <c r="Y8" s="80"/>
      <c r="Z8" s="80"/>
      <c r="AA8" s="80"/>
      <c r="AB8" s="86"/>
    </row>
    <row r="9" ht="15.6" spans="1:28">
      <c r="A9" s="15"/>
      <c r="B9" s="16"/>
      <c r="C9" s="16"/>
      <c r="D9" s="16"/>
      <c r="E9" s="17"/>
      <c r="F9" s="20" t="s">
        <v>136</v>
      </c>
      <c r="G9" s="21"/>
      <c r="H9" s="21"/>
      <c r="I9" s="61"/>
      <c r="J9" s="20" t="s">
        <v>136</v>
      </c>
      <c r="K9" s="21"/>
      <c r="L9" s="21"/>
      <c r="M9" s="61"/>
      <c r="N9" s="20" t="s">
        <v>136</v>
      </c>
      <c r="O9" s="21"/>
      <c r="P9" s="21"/>
      <c r="Q9" s="61"/>
      <c r="R9" s="20" t="s">
        <v>136</v>
      </c>
      <c r="S9" s="21"/>
      <c r="T9" s="21"/>
      <c r="U9" s="61"/>
      <c r="V9" s="20" t="s">
        <v>66</v>
      </c>
      <c r="W9" s="21"/>
      <c r="X9" s="21"/>
      <c r="Y9" s="61"/>
      <c r="Z9" s="87" t="s">
        <v>67</v>
      </c>
      <c r="AA9" s="88"/>
      <c r="AB9" s="89"/>
    </row>
    <row r="10" ht="16.35" spans="1:28">
      <c r="A10" s="22"/>
      <c r="B10" s="23"/>
      <c r="C10" s="23"/>
      <c r="D10" s="23"/>
      <c r="E10" s="24"/>
      <c r="F10" s="25" t="s">
        <v>68</v>
      </c>
      <c r="G10" s="26"/>
      <c r="H10" s="26"/>
      <c r="I10" s="62"/>
      <c r="J10" s="26" t="s">
        <v>69</v>
      </c>
      <c r="K10" s="26"/>
      <c r="L10" s="26"/>
      <c r="M10" s="62"/>
      <c r="N10" s="25" t="s">
        <v>70</v>
      </c>
      <c r="O10" s="26"/>
      <c r="P10" s="26"/>
      <c r="Q10" s="62"/>
      <c r="R10" s="25" t="s">
        <v>71</v>
      </c>
      <c r="S10" s="26"/>
      <c r="T10" s="26"/>
      <c r="U10" s="62"/>
      <c r="V10" s="25" t="s">
        <v>72</v>
      </c>
      <c r="W10" s="26"/>
      <c r="X10" s="26"/>
      <c r="Y10" s="62"/>
      <c r="Z10" s="90"/>
      <c r="AA10" s="91"/>
      <c r="AB10" s="92"/>
    </row>
    <row r="11" ht="14.55" spans="1:28">
      <c r="A11" s="27"/>
      <c r="B11" s="28" t="s">
        <v>17</v>
      </c>
      <c r="C11" s="29"/>
      <c r="D11" s="29"/>
      <c r="E11" s="29"/>
      <c r="F11" s="30"/>
      <c r="G11" s="31"/>
      <c r="H11" s="31"/>
      <c r="I11" s="63"/>
      <c r="J11" s="31"/>
      <c r="K11" s="31"/>
      <c r="L11" s="31"/>
      <c r="M11" s="63"/>
      <c r="N11" s="30"/>
      <c r="O11" s="31"/>
      <c r="P11" s="31"/>
      <c r="Q11" s="63"/>
      <c r="R11" s="30"/>
      <c r="S11" s="31"/>
      <c r="T11" s="31"/>
      <c r="U11" s="63"/>
      <c r="V11" s="30"/>
      <c r="W11" s="31"/>
      <c r="X11" s="31"/>
      <c r="Y11" s="63"/>
      <c r="Z11" s="30"/>
      <c r="AA11" s="31"/>
      <c r="AB11" s="63"/>
    </row>
    <row r="12" ht="15" spans="1:28">
      <c r="A12" s="32">
        <v>1</v>
      </c>
      <c r="B12" s="33" t="str">
        <f>'INPUT DATA'!B12:D12</f>
        <v>ANUBLING, REGIE C.</v>
      </c>
      <c r="C12" s="34"/>
      <c r="D12" s="34"/>
      <c r="E12" s="34"/>
      <c r="F12" s="35" t="str">
        <f>IF(OR('MUSIC-ARTS'!F12="",ARTS!F12="",'PE-HEALTH'!F12="",HEALTH!F12=""),"",IF(ISERROR(ROUND(AVERAGE('MUSIC-ARTS'!F12,ARTS!F12,'PE-HEALTH'!F12,HEALTH!F12),0)),"",ROUND(AVERAGE('MUSIC-ARTS'!F12,ARTS!F12,'PE-HEALTH'!F12,HEALTH!F12),0)))</f>
        <v/>
      </c>
      <c r="G12" s="36"/>
      <c r="H12" s="36"/>
      <c r="I12" s="64"/>
      <c r="J12" s="65" t="str">
        <f>IF(OR('MUSIC-ARTS'!J12="",ARTS!J12="",'PE-HEALTH'!J12="",HEALTH!J12=""),"",IF(ISERROR(ROUND(AVERAGE('MUSIC-ARTS'!J12,ARTS!J12,'PE-HEALTH'!J12,HEALTH!J12),0)),"",ROUND(AVERAGE('MUSIC-ARTS'!J12,ARTS!J12,'PE-HEALTH'!J12,HEALTH!J12),0)))</f>
        <v/>
      </c>
      <c r="K12" s="66"/>
      <c r="L12" s="66"/>
      <c r="M12" s="67"/>
      <c r="N12" s="35" t="str">
        <f>IF(OR('MUSIC-ARTS'!N12="",ARTS!N12="",'PE-HEALTH'!N12="",HEALTH!N12=""),"",IF(ISERROR(ROUND(AVERAGE('MUSIC-ARTS'!N12,ARTS!N12,'PE-HEALTH'!N12,HEALTH!N12),0)),"",ROUND(AVERAGE('MUSIC-ARTS'!N12,ARTS!N12,'PE-HEALTH'!N12,HEALTH!N12),0)))</f>
        <v/>
      </c>
      <c r="O12" s="36"/>
      <c r="P12" s="36"/>
      <c r="Q12" s="64"/>
      <c r="R12" s="35" t="str">
        <f>IF(OR('MUSIC-ARTS'!R12="",ARTS!R12="",'PE-HEALTH'!R12="",HEALTH!R12=""),"",IF(ISERROR(ROUND(AVERAGE('MUSIC-ARTS'!R12,ARTS!R12,'PE-HEALTH'!R12,HEALTH!R12),0)),"",ROUND(AVERAGE('MUSIC-ARTS'!R12,ARTS!R12,'PE-HEALTH'!R12,HEALTH!R12),0)))</f>
        <v/>
      </c>
      <c r="S12" s="36"/>
      <c r="T12" s="36"/>
      <c r="U12" s="64"/>
      <c r="V12" s="81" t="str">
        <f t="shared" ref="V12:V75" si="0">IF(OR(F12="",J12="",N12="",R12=""),"",IF(ISERROR(ROUND(AVERAGE(F12,J12,N12,R12),0)),"",ROUND(AVERAGE(F12,J12,N12,R12),0)))</f>
        <v/>
      </c>
      <c r="W12" s="82"/>
      <c r="X12" s="82"/>
      <c r="Y12" s="93"/>
      <c r="Z12" s="94" t="str">
        <f t="shared" ref="Z12:Z75" si="1">IF(OR($F12="",$J12="",$N12="",$R12="",$V12=""),"",IF($V12&gt;=75,"PASSED","FAILED"))</f>
        <v/>
      </c>
      <c r="AA12" s="95"/>
      <c r="AB12" s="96"/>
    </row>
    <row r="13" ht="15" spans="1:28">
      <c r="A13" s="37">
        <v>2</v>
      </c>
      <c r="B13" s="33" t="str">
        <f>'INPUT DATA'!B13:D13</f>
        <v>BANGCOY, JOHN PAUL P.</v>
      </c>
      <c r="C13" s="38"/>
      <c r="D13" s="38"/>
      <c r="E13" s="38"/>
      <c r="F13" s="39" t="str">
        <f>IF(OR('MUSIC-ARTS'!F13="",ARTS!F13="",'PE-HEALTH'!F13="",HEALTH!F13=""),"",IF(ISERROR(ROUND(AVERAGE('MUSIC-ARTS'!F13,ARTS!F13,'PE-HEALTH'!F13,HEALTH!F13),0)),"",ROUND(AVERAGE('MUSIC-ARTS'!F13,ARTS!F13,'PE-HEALTH'!F13,HEALTH!F13),0)))</f>
        <v/>
      </c>
      <c r="G13" s="40"/>
      <c r="H13" s="40"/>
      <c r="I13" s="68"/>
      <c r="J13" s="39" t="str">
        <f>IF(OR('MUSIC-ARTS'!J13="",ARTS!J13="",'PE-HEALTH'!J13="",HEALTH!J13=""),"",IF(ISERROR(ROUND(AVERAGE('MUSIC-ARTS'!J13,ARTS!J13,'PE-HEALTH'!J13,HEALTH!J13),0)),"",ROUND(AVERAGE('MUSIC-ARTS'!J13,ARTS!J13,'PE-HEALTH'!J13,HEALTH!J13),0)))</f>
        <v/>
      </c>
      <c r="K13" s="40"/>
      <c r="L13" s="40"/>
      <c r="M13" s="68"/>
      <c r="N13" s="39" t="str">
        <f>IF(OR('MUSIC-ARTS'!N13="",ARTS!N13="",'PE-HEALTH'!N13="",HEALTH!N13=""),"",IF(ISERROR(ROUND(AVERAGE('MUSIC-ARTS'!N13,ARTS!N13,'PE-HEALTH'!N13,HEALTH!N13),0)),"",ROUND(AVERAGE('MUSIC-ARTS'!N13,ARTS!N13,'PE-HEALTH'!N13,HEALTH!N13),0)))</f>
        <v/>
      </c>
      <c r="O13" s="40"/>
      <c r="P13" s="40"/>
      <c r="Q13" s="68"/>
      <c r="R13" s="39" t="str">
        <f>IF(OR('MUSIC-ARTS'!R13="",ARTS!R13="",'PE-HEALTH'!R13="",HEALTH!R13=""),"",IF(ISERROR(ROUND(AVERAGE('MUSIC-ARTS'!R13,ARTS!R13,'PE-HEALTH'!R13,HEALTH!R13),0)),"",ROUND(AVERAGE('MUSIC-ARTS'!R13,ARTS!R13,'PE-HEALTH'!R13,HEALTH!R13),0)))</f>
        <v/>
      </c>
      <c r="S13" s="40"/>
      <c r="T13" s="40"/>
      <c r="U13" s="68"/>
      <c r="V13" s="81" t="str">
        <f t="shared" si="0"/>
        <v/>
      </c>
      <c r="W13" s="82"/>
      <c r="X13" s="82"/>
      <c r="Y13" s="93"/>
      <c r="Z13" s="97" t="str">
        <f t="shared" si="1"/>
        <v/>
      </c>
      <c r="AA13" s="98"/>
      <c r="AB13" s="99"/>
    </row>
    <row r="14" ht="15" spans="1:28">
      <c r="A14" s="37">
        <v>3</v>
      </c>
      <c r="B14" s="33" t="str">
        <f>'INPUT DATA'!B14:D14</f>
        <v>BARRIENTOS, JOHN PAUL M.</v>
      </c>
      <c r="C14" s="38"/>
      <c r="D14" s="38"/>
      <c r="E14" s="41"/>
      <c r="F14" s="39" t="str">
        <f>IF(OR('MUSIC-ARTS'!F14="",ARTS!F14="",'PE-HEALTH'!F14="",HEALTH!F14=""),"",IF(ISERROR(ROUND(AVERAGE('MUSIC-ARTS'!F14,ARTS!F14,'PE-HEALTH'!F14,HEALTH!F14),0)),"",ROUND(AVERAGE('MUSIC-ARTS'!F14,ARTS!F14,'PE-HEALTH'!F14,HEALTH!F14),0)))</f>
        <v/>
      </c>
      <c r="G14" s="40"/>
      <c r="H14" s="40"/>
      <c r="I14" s="68"/>
      <c r="J14" s="39" t="str">
        <f>IF(OR('MUSIC-ARTS'!J14="",ARTS!J14="",'PE-HEALTH'!J14="",HEALTH!J14=""),"",IF(ISERROR(ROUND(AVERAGE('MUSIC-ARTS'!J14,ARTS!J14,'PE-HEALTH'!J14,HEALTH!J14),0)),"",ROUND(AVERAGE('MUSIC-ARTS'!J14,ARTS!J14,'PE-HEALTH'!J14,HEALTH!J14),0)))</f>
        <v/>
      </c>
      <c r="K14" s="40"/>
      <c r="L14" s="40"/>
      <c r="M14" s="68"/>
      <c r="N14" s="39" t="str">
        <f>IF(OR('MUSIC-ARTS'!N14="",ARTS!N14="",'PE-HEALTH'!N14="",HEALTH!N14=""),"",IF(ISERROR(ROUND(AVERAGE('MUSIC-ARTS'!N14,ARTS!N14,'PE-HEALTH'!N14,HEALTH!N14),0)),"",ROUND(AVERAGE('MUSIC-ARTS'!N14,ARTS!N14,'PE-HEALTH'!N14,HEALTH!N14),0)))</f>
        <v/>
      </c>
      <c r="O14" s="40"/>
      <c r="P14" s="40"/>
      <c r="Q14" s="68"/>
      <c r="R14" s="39" t="str">
        <f>IF(OR('MUSIC-ARTS'!R14="",ARTS!R14="",'PE-HEALTH'!R14="",HEALTH!R14=""),"",IF(ISERROR(ROUND(AVERAGE('MUSIC-ARTS'!R14,ARTS!R14,'PE-HEALTH'!R14,HEALTH!R14),0)),"",ROUND(AVERAGE('MUSIC-ARTS'!R14,ARTS!R14,'PE-HEALTH'!R14,HEALTH!R14),0)))</f>
        <v/>
      </c>
      <c r="S14" s="40"/>
      <c r="T14" s="40"/>
      <c r="U14" s="68"/>
      <c r="V14" s="81" t="str">
        <f t="shared" si="0"/>
        <v/>
      </c>
      <c r="W14" s="82"/>
      <c r="X14" s="82"/>
      <c r="Y14" s="93"/>
      <c r="Z14" s="97" t="str">
        <f t="shared" si="1"/>
        <v/>
      </c>
      <c r="AA14" s="98"/>
      <c r="AB14" s="99"/>
    </row>
    <row r="15" ht="15" spans="1:28">
      <c r="A15" s="37">
        <v>4</v>
      </c>
      <c r="B15" s="33" t="str">
        <f>'INPUT DATA'!B15:D15</f>
        <v>BRIGOLE, ROMEL</v>
      </c>
      <c r="C15" s="38"/>
      <c r="D15" s="38"/>
      <c r="E15" s="41"/>
      <c r="F15" s="39" t="str">
        <f>IF(OR('MUSIC-ARTS'!F15="",ARTS!F15="",'PE-HEALTH'!F15="",HEALTH!F15=""),"",IF(ISERROR(ROUND(AVERAGE('MUSIC-ARTS'!F15,ARTS!F15,'PE-HEALTH'!F15,HEALTH!F15),0)),"",ROUND(AVERAGE('MUSIC-ARTS'!F15,ARTS!F15,'PE-HEALTH'!F15,HEALTH!F15),0)))</f>
        <v/>
      </c>
      <c r="G15" s="40"/>
      <c r="H15" s="40"/>
      <c r="I15" s="68"/>
      <c r="J15" s="39" t="str">
        <f>IF(OR('MUSIC-ARTS'!J15="",ARTS!J15="",'PE-HEALTH'!J15="",HEALTH!J15=""),"",IF(ISERROR(ROUND(AVERAGE('MUSIC-ARTS'!J15,ARTS!J15,'PE-HEALTH'!J15,HEALTH!J15),0)),"",ROUND(AVERAGE('MUSIC-ARTS'!J15,ARTS!J15,'PE-HEALTH'!J15,HEALTH!J15),0)))</f>
        <v/>
      </c>
      <c r="K15" s="40"/>
      <c r="L15" s="40"/>
      <c r="M15" s="68"/>
      <c r="N15" s="39" t="str">
        <f>IF(OR('MUSIC-ARTS'!N15="",ARTS!N15="",'PE-HEALTH'!N15="",HEALTH!N15=""),"",IF(ISERROR(ROUND(AVERAGE('MUSIC-ARTS'!N15,ARTS!N15,'PE-HEALTH'!N15,HEALTH!N15),0)),"",ROUND(AVERAGE('MUSIC-ARTS'!N15,ARTS!N15,'PE-HEALTH'!N15,HEALTH!N15),0)))</f>
        <v/>
      </c>
      <c r="O15" s="40"/>
      <c r="P15" s="40"/>
      <c r="Q15" s="68"/>
      <c r="R15" s="39" t="str">
        <f>IF(OR('MUSIC-ARTS'!R15="",ARTS!R15="",'PE-HEALTH'!R15="",HEALTH!R15=""),"",IF(ISERROR(ROUND(AVERAGE('MUSIC-ARTS'!R15,ARTS!R15,'PE-HEALTH'!R15,HEALTH!R15),0)),"",ROUND(AVERAGE('MUSIC-ARTS'!R15,ARTS!R15,'PE-HEALTH'!R15,HEALTH!R15),0)))</f>
        <v/>
      </c>
      <c r="S15" s="40"/>
      <c r="T15" s="40"/>
      <c r="U15" s="68"/>
      <c r="V15" s="81" t="str">
        <f t="shared" si="0"/>
        <v/>
      </c>
      <c r="W15" s="82"/>
      <c r="X15" s="82"/>
      <c r="Y15" s="93"/>
      <c r="Z15" s="97" t="str">
        <f t="shared" si="1"/>
        <v/>
      </c>
      <c r="AA15" s="98"/>
      <c r="AB15" s="99"/>
    </row>
    <row r="16" ht="15" spans="1:28">
      <c r="A16" s="37">
        <v>5</v>
      </c>
      <c r="B16" s="33" t="str">
        <f>'INPUT DATA'!B16:D16</f>
        <v>BULAHAN,ROVIC L.</v>
      </c>
      <c r="C16" s="38"/>
      <c r="D16" s="38"/>
      <c r="E16" s="41"/>
      <c r="F16" s="39" t="str">
        <f>IF(OR('MUSIC-ARTS'!F16="",ARTS!F16="",'PE-HEALTH'!F16="",HEALTH!F16=""),"",IF(ISERROR(ROUND(AVERAGE('MUSIC-ARTS'!F16,ARTS!F16,'PE-HEALTH'!F16,HEALTH!F16),0)),"",ROUND(AVERAGE('MUSIC-ARTS'!F16,ARTS!F16,'PE-HEALTH'!F16,HEALTH!F16),0)))</f>
        <v/>
      </c>
      <c r="G16" s="40"/>
      <c r="H16" s="40"/>
      <c r="I16" s="68"/>
      <c r="J16" s="39" t="str">
        <f>IF(OR('MUSIC-ARTS'!J16="",ARTS!J16="",'PE-HEALTH'!J16="",HEALTH!J16=""),"",IF(ISERROR(ROUND(AVERAGE('MUSIC-ARTS'!J16,ARTS!J16,'PE-HEALTH'!J16,HEALTH!J16),0)),"",ROUND(AVERAGE('MUSIC-ARTS'!J16,ARTS!J16,'PE-HEALTH'!J16,HEALTH!J16),0)))</f>
        <v/>
      </c>
      <c r="K16" s="40"/>
      <c r="L16" s="40"/>
      <c r="M16" s="68"/>
      <c r="N16" s="39" t="str">
        <f>IF(OR('MUSIC-ARTS'!N16="",ARTS!N16="",'PE-HEALTH'!N16="",HEALTH!N16=""),"",IF(ISERROR(ROUND(AVERAGE('MUSIC-ARTS'!N16,ARTS!N16,'PE-HEALTH'!N16,HEALTH!N16),0)),"",ROUND(AVERAGE('MUSIC-ARTS'!N16,ARTS!N16,'PE-HEALTH'!N16,HEALTH!N16),0)))</f>
        <v/>
      </c>
      <c r="O16" s="40"/>
      <c r="P16" s="40"/>
      <c r="Q16" s="68"/>
      <c r="R16" s="39" t="str">
        <f>IF(OR('MUSIC-ARTS'!R16="",ARTS!R16="",'PE-HEALTH'!R16="",HEALTH!R16=""),"",IF(ISERROR(ROUND(AVERAGE('MUSIC-ARTS'!R16,ARTS!R16,'PE-HEALTH'!R16,HEALTH!R16),0)),"",ROUND(AVERAGE('MUSIC-ARTS'!R16,ARTS!R16,'PE-HEALTH'!R16,HEALTH!R16),0)))</f>
        <v/>
      </c>
      <c r="S16" s="40"/>
      <c r="T16" s="40"/>
      <c r="U16" s="68"/>
      <c r="V16" s="81" t="str">
        <f t="shared" si="0"/>
        <v/>
      </c>
      <c r="W16" s="82"/>
      <c r="X16" s="82"/>
      <c r="Y16" s="93"/>
      <c r="Z16" s="97" t="str">
        <f t="shared" si="1"/>
        <v/>
      </c>
      <c r="AA16" s="98"/>
      <c r="AB16" s="99"/>
    </row>
    <row r="17" ht="15" spans="1:28">
      <c r="A17" s="37">
        <v>6</v>
      </c>
      <c r="B17" s="33" t="str">
        <f>'INPUT DATA'!B17:D17</f>
        <v>CIJAS, ROLIE JR. A.</v>
      </c>
      <c r="C17" s="38"/>
      <c r="D17" s="38"/>
      <c r="E17" s="41"/>
      <c r="F17" s="39" t="str">
        <f>IF(OR('MUSIC-ARTS'!F17="",ARTS!F17="",'PE-HEALTH'!F17="",HEALTH!F17=""),"",IF(ISERROR(ROUND(AVERAGE('MUSIC-ARTS'!F17,ARTS!F17,'PE-HEALTH'!F17,HEALTH!F17),0)),"",ROUND(AVERAGE('MUSIC-ARTS'!F17,ARTS!F17,'PE-HEALTH'!F17,HEALTH!F17),0)))</f>
        <v/>
      </c>
      <c r="G17" s="40"/>
      <c r="H17" s="40"/>
      <c r="I17" s="68"/>
      <c r="J17" s="39" t="str">
        <f>IF(OR('MUSIC-ARTS'!J17="",ARTS!J17="",'PE-HEALTH'!J17="",HEALTH!J17=""),"",IF(ISERROR(ROUND(AVERAGE('MUSIC-ARTS'!J17,ARTS!J17,'PE-HEALTH'!J17,HEALTH!J17),0)),"",ROUND(AVERAGE('MUSIC-ARTS'!J17,ARTS!J17,'PE-HEALTH'!J17,HEALTH!J17),0)))</f>
        <v/>
      </c>
      <c r="K17" s="40"/>
      <c r="L17" s="40"/>
      <c r="M17" s="68"/>
      <c r="N17" s="39" t="str">
        <f>IF(OR('MUSIC-ARTS'!N17="",ARTS!N17="",'PE-HEALTH'!N17="",HEALTH!N17=""),"",IF(ISERROR(ROUND(AVERAGE('MUSIC-ARTS'!N17,ARTS!N17,'PE-HEALTH'!N17,HEALTH!N17),0)),"",ROUND(AVERAGE('MUSIC-ARTS'!N17,ARTS!N17,'PE-HEALTH'!N17,HEALTH!N17),0)))</f>
        <v/>
      </c>
      <c r="O17" s="40"/>
      <c r="P17" s="40"/>
      <c r="Q17" s="68"/>
      <c r="R17" s="39" t="str">
        <f>IF(OR('MUSIC-ARTS'!R17="",ARTS!R17="",'PE-HEALTH'!R17="",HEALTH!R17=""),"",IF(ISERROR(ROUND(AVERAGE('MUSIC-ARTS'!R17,ARTS!R17,'PE-HEALTH'!R17,HEALTH!R17),0)),"",ROUND(AVERAGE('MUSIC-ARTS'!R17,ARTS!R17,'PE-HEALTH'!R17,HEALTH!R17),0)))</f>
        <v/>
      </c>
      <c r="S17" s="40"/>
      <c r="T17" s="40"/>
      <c r="U17" s="68"/>
      <c r="V17" s="81" t="str">
        <f t="shared" si="0"/>
        <v/>
      </c>
      <c r="W17" s="82"/>
      <c r="X17" s="82"/>
      <c r="Y17" s="93"/>
      <c r="Z17" s="97" t="str">
        <f t="shared" si="1"/>
        <v/>
      </c>
      <c r="AA17" s="98"/>
      <c r="AB17" s="99"/>
    </row>
    <row r="18" ht="15" spans="1:28">
      <c r="A18" s="37">
        <v>7</v>
      </c>
      <c r="B18" s="33" t="str">
        <f>'INPUT DATA'!B18:D18</f>
        <v>GARCIA, DAVE P.</v>
      </c>
      <c r="C18" s="38"/>
      <c r="D18" s="38"/>
      <c r="E18" s="41"/>
      <c r="F18" s="39" t="str">
        <f>IF(OR('MUSIC-ARTS'!F18="",ARTS!F18="",'PE-HEALTH'!F18="",HEALTH!F18=""),"",IF(ISERROR(ROUND(AVERAGE('MUSIC-ARTS'!F18,ARTS!F18,'PE-HEALTH'!F18,HEALTH!F18),0)),"",ROUND(AVERAGE('MUSIC-ARTS'!F18,ARTS!F18,'PE-HEALTH'!F18,HEALTH!F18),0)))</f>
        <v/>
      </c>
      <c r="G18" s="40"/>
      <c r="H18" s="40"/>
      <c r="I18" s="68"/>
      <c r="J18" s="39" t="str">
        <f>IF(OR('MUSIC-ARTS'!J18="",ARTS!J18="",'PE-HEALTH'!J18="",HEALTH!J18=""),"",IF(ISERROR(ROUND(AVERAGE('MUSIC-ARTS'!J18,ARTS!J18,'PE-HEALTH'!J18,HEALTH!J18),0)),"",ROUND(AVERAGE('MUSIC-ARTS'!J18,ARTS!J18,'PE-HEALTH'!J18,HEALTH!J18),0)))</f>
        <v/>
      </c>
      <c r="K18" s="40"/>
      <c r="L18" s="40"/>
      <c r="M18" s="68"/>
      <c r="N18" s="39" t="str">
        <f>IF(OR('MUSIC-ARTS'!N18="",ARTS!N18="",'PE-HEALTH'!N18="",HEALTH!N18=""),"",IF(ISERROR(ROUND(AVERAGE('MUSIC-ARTS'!N18,ARTS!N18,'PE-HEALTH'!N18,HEALTH!N18),0)),"",ROUND(AVERAGE('MUSIC-ARTS'!N18,ARTS!N18,'PE-HEALTH'!N18,HEALTH!N18),0)))</f>
        <v/>
      </c>
      <c r="O18" s="40"/>
      <c r="P18" s="40"/>
      <c r="Q18" s="68"/>
      <c r="R18" s="39" t="str">
        <f>IF(OR('MUSIC-ARTS'!R18="",ARTS!R18="",'PE-HEALTH'!R18="",HEALTH!R18=""),"",IF(ISERROR(ROUND(AVERAGE('MUSIC-ARTS'!R18,ARTS!R18,'PE-HEALTH'!R18,HEALTH!R18),0)),"",ROUND(AVERAGE('MUSIC-ARTS'!R18,ARTS!R18,'PE-HEALTH'!R18,HEALTH!R18),0)))</f>
        <v/>
      </c>
      <c r="S18" s="40"/>
      <c r="T18" s="40"/>
      <c r="U18" s="68"/>
      <c r="V18" s="81" t="str">
        <f t="shared" si="0"/>
        <v/>
      </c>
      <c r="W18" s="82"/>
      <c r="X18" s="82"/>
      <c r="Y18" s="93"/>
      <c r="Z18" s="97" t="str">
        <f t="shared" si="1"/>
        <v/>
      </c>
      <c r="AA18" s="98"/>
      <c r="AB18" s="99"/>
    </row>
    <row r="19" ht="15" spans="1:28">
      <c r="A19" s="37">
        <v>8</v>
      </c>
      <c r="B19" s="33" t="str">
        <f>'INPUT DATA'!B19:D19</f>
        <v>GONZALES, JAMES A.</v>
      </c>
      <c r="C19" s="38"/>
      <c r="D19" s="38">
        <v>0</v>
      </c>
      <c r="E19" s="41"/>
      <c r="F19" s="39" t="str">
        <f>IF(OR('MUSIC-ARTS'!F19="",ARTS!F19="",'PE-HEALTH'!F19="",HEALTH!F19=""),"",IF(ISERROR(ROUND(AVERAGE('MUSIC-ARTS'!F19,ARTS!F19,'PE-HEALTH'!F19,HEALTH!F19),0)),"",ROUND(AVERAGE('MUSIC-ARTS'!F19,ARTS!F19,'PE-HEALTH'!F19,HEALTH!F19),0)))</f>
        <v/>
      </c>
      <c r="G19" s="40"/>
      <c r="H19" s="40"/>
      <c r="I19" s="68"/>
      <c r="J19" s="39" t="str">
        <f>IF(OR('MUSIC-ARTS'!J19="",ARTS!J19="",'PE-HEALTH'!J19="",HEALTH!J19=""),"",IF(ISERROR(ROUND(AVERAGE('MUSIC-ARTS'!J19,ARTS!J19,'PE-HEALTH'!J19,HEALTH!J19),0)),"",ROUND(AVERAGE('MUSIC-ARTS'!J19,ARTS!J19,'PE-HEALTH'!J19,HEALTH!J19),0)))</f>
        <v/>
      </c>
      <c r="K19" s="40"/>
      <c r="L19" s="40"/>
      <c r="M19" s="68"/>
      <c r="N19" s="39" t="str">
        <f>IF(OR('MUSIC-ARTS'!N19="",ARTS!N19="",'PE-HEALTH'!N19="",HEALTH!N19=""),"",IF(ISERROR(ROUND(AVERAGE('MUSIC-ARTS'!N19,ARTS!N19,'PE-HEALTH'!N19,HEALTH!N19),0)),"",ROUND(AVERAGE('MUSIC-ARTS'!N19,ARTS!N19,'PE-HEALTH'!N19,HEALTH!N19),0)))</f>
        <v/>
      </c>
      <c r="O19" s="40"/>
      <c r="P19" s="40"/>
      <c r="Q19" s="68"/>
      <c r="R19" s="39" t="str">
        <f>IF(OR('MUSIC-ARTS'!R19="",ARTS!R19="",'PE-HEALTH'!R19="",HEALTH!R19=""),"",IF(ISERROR(ROUND(AVERAGE('MUSIC-ARTS'!R19,ARTS!R19,'PE-HEALTH'!R19,HEALTH!R19),0)),"",ROUND(AVERAGE('MUSIC-ARTS'!R19,ARTS!R19,'PE-HEALTH'!R19,HEALTH!R19),0)))</f>
        <v/>
      </c>
      <c r="S19" s="40"/>
      <c r="T19" s="40"/>
      <c r="U19" s="68"/>
      <c r="V19" s="81" t="str">
        <f t="shared" si="0"/>
        <v/>
      </c>
      <c r="W19" s="82"/>
      <c r="X19" s="82"/>
      <c r="Y19" s="93"/>
      <c r="Z19" s="97" t="str">
        <f t="shared" si="1"/>
        <v/>
      </c>
      <c r="AA19" s="98"/>
      <c r="AB19" s="99"/>
    </row>
    <row r="20" ht="15" spans="1:28">
      <c r="A20" s="37">
        <v>9</v>
      </c>
      <c r="B20" s="33" t="str">
        <f>'INPUT DATA'!B20:D20</f>
        <v>LAGUNA, J.B. B.</v>
      </c>
      <c r="C20" s="38"/>
      <c r="D20" s="38"/>
      <c r="E20" s="41"/>
      <c r="F20" s="39" t="str">
        <f>IF(OR('MUSIC-ARTS'!F20="",ARTS!F20="",'PE-HEALTH'!F20="",HEALTH!F20=""),"",IF(ISERROR(ROUND(AVERAGE('MUSIC-ARTS'!F20,ARTS!F20,'PE-HEALTH'!F20,HEALTH!F20),0)),"",ROUND(AVERAGE('MUSIC-ARTS'!F20,ARTS!F20,'PE-HEALTH'!F20,HEALTH!F20),0)))</f>
        <v/>
      </c>
      <c r="G20" s="40"/>
      <c r="H20" s="40"/>
      <c r="I20" s="68"/>
      <c r="J20" s="39" t="str">
        <f>IF(OR('MUSIC-ARTS'!J20="",ARTS!J20="",'PE-HEALTH'!J20="",HEALTH!J20=""),"",IF(ISERROR(ROUND(AVERAGE('MUSIC-ARTS'!J20,ARTS!J20,'PE-HEALTH'!J20,HEALTH!J20),0)),"",ROUND(AVERAGE('MUSIC-ARTS'!J20,ARTS!J20,'PE-HEALTH'!J20,HEALTH!J20),0)))</f>
        <v/>
      </c>
      <c r="K20" s="40"/>
      <c r="L20" s="40"/>
      <c r="M20" s="68"/>
      <c r="N20" s="39" t="str">
        <f>IF(OR('MUSIC-ARTS'!N20="",ARTS!N20="",'PE-HEALTH'!N20="",HEALTH!N20=""),"",IF(ISERROR(ROUND(AVERAGE('MUSIC-ARTS'!N20,ARTS!N20,'PE-HEALTH'!N20,HEALTH!N20),0)),"",ROUND(AVERAGE('MUSIC-ARTS'!N20,ARTS!N20,'PE-HEALTH'!N20,HEALTH!N20),0)))</f>
        <v/>
      </c>
      <c r="O20" s="40"/>
      <c r="P20" s="40"/>
      <c r="Q20" s="68"/>
      <c r="R20" s="39" t="str">
        <f>IF(OR('MUSIC-ARTS'!R20="",ARTS!R20="",'PE-HEALTH'!R20="",HEALTH!R20=""),"",IF(ISERROR(ROUND(AVERAGE('MUSIC-ARTS'!R20,ARTS!R20,'PE-HEALTH'!R20,HEALTH!R20),0)),"",ROUND(AVERAGE('MUSIC-ARTS'!R20,ARTS!R20,'PE-HEALTH'!R20,HEALTH!R20),0)))</f>
        <v/>
      </c>
      <c r="S20" s="40"/>
      <c r="T20" s="40"/>
      <c r="U20" s="68"/>
      <c r="V20" s="81" t="str">
        <f t="shared" si="0"/>
        <v/>
      </c>
      <c r="W20" s="82"/>
      <c r="X20" s="82"/>
      <c r="Y20" s="93"/>
      <c r="Z20" s="97" t="str">
        <f t="shared" si="1"/>
        <v/>
      </c>
      <c r="AA20" s="98"/>
      <c r="AB20" s="99"/>
    </row>
    <row r="21" ht="15" spans="1:28">
      <c r="A21" s="37">
        <v>10</v>
      </c>
      <c r="B21" s="33" t="str">
        <f>'INPUT DATA'!B21:D21</f>
        <v>LARODA, STEVEN S.</v>
      </c>
      <c r="C21" s="38"/>
      <c r="D21" s="38"/>
      <c r="E21" s="41"/>
      <c r="F21" s="39" t="str">
        <f>IF(OR('MUSIC-ARTS'!F21="",ARTS!F21="",'PE-HEALTH'!F21="",HEALTH!F21=""),"",IF(ISERROR(ROUND(AVERAGE('MUSIC-ARTS'!F21,ARTS!F21,'PE-HEALTH'!F21,HEALTH!F21),0)),"",ROUND(AVERAGE('MUSIC-ARTS'!F21,ARTS!F21,'PE-HEALTH'!F21,HEALTH!F21),0)))</f>
        <v/>
      </c>
      <c r="G21" s="40"/>
      <c r="H21" s="40"/>
      <c r="I21" s="68"/>
      <c r="J21" s="39" t="str">
        <f>IF(OR('MUSIC-ARTS'!J21="",ARTS!J21="",'PE-HEALTH'!J21="",HEALTH!J21=""),"",IF(ISERROR(ROUND(AVERAGE('MUSIC-ARTS'!J21,ARTS!J21,'PE-HEALTH'!J21,HEALTH!J21),0)),"",ROUND(AVERAGE('MUSIC-ARTS'!J21,ARTS!J21,'PE-HEALTH'!J21,HEALTH!J21),0)))</f>
        <v/>
      </c>
      <c r="K21" s="40"/>
      <c r="L21" s="40"/>
      <c r="M21" s="68"/>
      <c r="N21" s="39" t="str">
        <f>IF(OR('MUSIC-ARTS'!N21="",ARTS!N21="",'PE-HEALTH'!N21="",HEALTH!N21=""),"",IF(ISERROR(ROUND(AVERAGE('MUSIC-ARTS'!N21,ARTS!N21,'PE-HEALTH'!N21,HEALTH!N21),0)),"",ROUND(AVERAGE('MUSIC-ARTS'!N21,ARTS!N21,'PE-HEALTH'!N21,HEALTH!N21),0)))</f>
        <v/>
      </c>
      <c r="O21" s="40"/>
      <c r="P21" s="40"/>
      <c r="Q21" s="68"/>
      <c r="R21" s="39" t="str">
        <f>IF(OR('MUSIC-ARTS'!R21="",ARTS!R21="",'PE-HEALTH'!R21="",HEALTH!R21=""),"",IF(ISERROR(ROUND(AVERAGE('MUSIC-ARTS'!R21,ARTS!R21,'PE-HEALTH'!R21,HEALTH!R21),0)),"",ROUND(AVERAGE('MUSIC-ARTS'!R21,ARTS!R21,'PE-HEALTH'!R21,HEALTH!R21),0)))</f>
        <v/>
      </c>
      <c r="S21" s="40"/>
      <c r="T21" s="40"/>
      <c r="U21" s="68"/>
      <c r="V21" s="81" t="str">
        <f t="shared" si="0"/>
        <v/>
      </c>
      <c r="W21" s="82"/>
      <c r="X21" s="82"/>
      <c r="Y21" s="93"/>
      <c r="Z21" s="97" t="str">
        <f t="shared" si="1"/>
        <v/>
      </c>
      <c r="AA21" s="98"/>
      <c r="AB21" s="99"/>
    </row>
    <row r="22" ht="15" spans="1:28">
      <c r="A22" s="37">
        <v>11</v>
      </c>
      <c r="B22" s="33" t="str">
        <f>'INPUT DATA'!B22:D22</f>
        <v>MERINO, SEDRIK R.</v>
      </c>
      <c r="C22" s="38"/>
      <c r="D22" s="38">
        <v>0</v>
      </c>
      <c r="E22" s="41"/>
      <c r="F22" s="39" t="str">
        <f>IF(OR('MUSIC-ARTS'!F22="",ARTS!F22="",'PE-HEALTH'!F22="",HEALTH!F22=""),"",IF(ISERROR(ROUND(AVERAGE('MUSIC-ARTS'!F22,ARTS!F22,'PE-HEALTH'!F22,HEALTH!F22),0)),"",ROUND(AVERAGE('MUSIC-ARTS'!F22,ARTS!F22,'PE-HEALTH'!F22,HEALTH!F22),0)))</f>
        <v/>
      </c>
      <c r="G22" s="40"/>
      <c r="H22" s="40"/>
      <c r="I22" s="68"/>
      <c r="J22" s="39" t="str">
        <f>IF(OR('MUSIC-ARTS'!J22="",ARTS!J22="",'PE-HEALTH'!J22="",HEALTH!J22=""),"",IF(ISERROR(ROUND(AVERAGE('MUSIC-ARTS'!J22,ARTS!J22,'PE-HEALTH'!J22,HEALTH!J22),0)),"",ROUND(AVERAGE('MUSIC-ARTS'!J22,ARTS!J22,'PE-HEALTH'!J22,HEALTH!J22),0)))</f>
        <v/>
      </c>
      <c r="K22" s="40"/>
      <c r="L22" s="40"/>
      <c r="M22" s="68"/>
      <c r="N22" s="39" t="str">
        <f>IF(OR('MUSIC-ARTS'!N22="",ARTS!N22="",'PE-HEALTH'!N22="",HEALTH!N22=""),"",IF(ISERROR(ROUND(AVERAGE('MUSIC-ARTS'!N22,ARTS!N22,'PE-HEALTH'!N22,HEALTH!N22),0)),"",ROUND(AVERAGE('MUSIC-ARTS'!N22,ARTS!N22,'PE-HEALTH'!N22,HEALTH!N22),0)))</f>
        <v/>
      </c>
      <c r="O22" s="40"/>
      <c r="P22" s="40"/>
      <c r="Q22" s="68"/>
      <c r="R22" s="39" t="str">
        <f>IF(OR('MUSIC-ARTS'!R22="",ARTS!R22="",'PE-HEALTH'!R22="",HEALTH!R22=""),"",IF(ISERROR(ROUND(AVERAGE('MUSIC-ARTS'!R22,ARTS!R22,'PE-HEALTH'!R22,HEALTH!R22),0)),"",ROUND(AVERAGE('MUSIC-ARTS'!R22,ARTS!R22,'PE-HEALTH'!R22,HEALTH!R22),0)))</f>
        <v/>
      </c>
      <c r="S22" s="40"/>
      <c r="T22" s="40"/>
      <c r="U22" s="68"/>
      <c r="V22" s="81" t="str">
        <f t="shared" si="0"/>
        <v/>
      </c>
      <c r="W22" s="82"/>
      <c r="X22" s="82"/>
      <c r="Y22" s="93"/>
      <c r="Z22" s="97" t="str">
        <f t="shared" si="1"/>
        <v/>
      </c>
      <c r="AA22" s="98"/>
      <c r="AB22" s="99"/>
    </row>
    <row r="23" ht="15" spans="1:28">
      <c r="A23" s="37">
        <v>12</v>
      </c>
      <c r="B23" s="33" t="str">
        <f>'INPUT DATA'!B23:D23</f>
        <v>MONTERAS, VINCENT S.</v>
      </c>
      <c r="C23" s="38"/>
      <c r="D23" s="38"/>
      <c r="E23" s="41"/>
      <c r="F23" s="39" t="str">
        <f>IF(OR('MUSIC-ARTS'!F23="",ARTS!F23="",'PE-HEALTH'!F23="",HEALTH!F23=""),"",IF(ISERROR(ROUND(AVERAGE('MUSIC-ARTS'!F23,ARTS!F23,'PE-HEALTH'!F23,HEALTH!F23),0)),"",ROUND(AVERAGE('MUSIC-ARTS'!F23,ARTS!F23,'PE-HEALTH'!F23,HEALTH!F23),0)))</f>
        <v/>
      </c>
      <c r="G23" s="40"/>
      <c r="H23" s="40"/>
      <c r="I23" s="68"/>
      <c r="J23" s="39" t="str">
        <f>IF(OR('MUSIC-ARTS'!J23="",ARTS!J23="",'PE-HEALTH'!J23="",HEALTH!J23=""),"",IF(ISERROR(ROUND(AVERAGE('MUSIC-ARTS'!J23,ARTS!J23,'PE-HEALTH'!J23,HEALTH!J23),0)),"",ROUND(AVERAGE('MUSIC-ARTS'!J23,ARTS!J23,'PE-HEALTH'!J23,HEALTH!J23),0)))</f>
        <v/>
      </c>
      <c r="K23" s="40"/>
      <c r="L23" s="40"/>
      <c r="M23" s="68"/>
      <c r="N23" s="39" t="str">
        <f>IF(OR('MUSIC-ARTS'!N23="",ARTS!N23="",'PE-HEALTH'!N23="",HEALTH!N23=""),"",IF(ISERROR(ROUND(AVERAGE('MUSIC-ARTS'!N23,ARTS!N23,'PE-HEALTH'!N23,HEALTH!N23),0)),"",ROUND(AVERAGE('MUSIC-ARTS'!N23,ARTS!N23,'PE-HEALTH'!N23,HEALTH!N23),0)))</f>
        <v/>
      </c>
      <c r="O23" s="40"/>
      <c r="P23" s="40"/>
      <c r="Q23" s="68"/>
      <c r="R23" s="39" t="str">
        <f>IF(OR('MUSIC-ARTS'!R23="",ARTS!R23="",'PE-HEALTH'!R23="",HEALTH!R23=""),"",IF(ISERROR(ROUND(AVERAGE('MUSIC-ARTS'!R23,ARTS!R23,'PE-HEALTH'!R23,HEALTH!R23),0)),"",ROUND(AVERAGE('MUSIC-ARTS'!R23,ARTS!R23,'PE-HEALTH'!R23,HEALTH!R23),0)))</f>
        <v/>
      </c>
      <c r="S23" s="40"/>
      <c r="T23" s="40"/>
      <c r="U23" s="68"/>
      <c r="V23" s="81" t="str">
        <f t="shared" si="0"/>
        <v/>
      </c>
      <c r="W23" s="82"/>
      <c r="X23" s="82"/>
      <c r="Y23" s="93"/>
      <c r="Z23" s="97" t="str">
        <f t="shared" si="1"/>
        <v/>
      </c>
      <c r="AA23" s="98"/>
      <c r="AB23" s="99"/>
    </row>
    <row r="24" ht="15" spans="1:28">
      <c r="A24" s="37">
        <v>13</v>
      </c>
      <c r="B24" s="33" t="str">
        <f>'INPUT DATA'!B24:D24</f>
        <v>NACAWILI, ANDRIE L.</v>
      </c>
      <c r="C24" s="38"/>
      <c r="D24" s="38"/>
      <c r="E24" s="41"/>
      <c r="F24" s="39" t="str">
        <f>IF(OR('MUSIC-ARTS'!F24="",ARTS!F24="",'PE-HEALTH'!F24="",HEALTH!F24=""),"",IF(ISERROR(ROUND(AVERAGE('MUSIC-ARTS'!F24,ARTS!F24,'PE-HEALTH'!F24,HEALTH!F24),0)),"",ROUND(AVERAGE('MUSIC-ARTS'!F24,ARTS!F24,'PE-HEALTH'!F24,HEALTH!F24),0)))</f>
        <v/>
      </c>
      <c r="G24" s="40"/>
      <c r="H24" s="40"/>
      <c r="I24" s="68"/>
      <c r="J24" s="39" t="str">
        <f>IF(OR('MUSIC-ARTS'!J24="",ARTS!J24="",'PE-HEALTH'!J24="",HEALTH!J24=""),"",IF(ISERROR(ROUND(AVERAGE('MUSIC-ARTS'!J24,ARTS!J24,'PE-HEALTH'!J24,HEALTH!J24),0)),"",ROUND(AVERAGE('MUSIC-ARTS'!J24,ARTS!J24,'PE-HEALTH'!J24,HEALTH!J24),0)))</f>
        <v/>
      </c>
      <c r="K24" s="40"/>
      <c r="L24" s="40"/>
      <c r="M24" s="68"/>
      <c r="N24" s="39" t="str">
        <f>IF(OR('MUSIC-ARTS'!N24="",ARTS!N24="",'PE-HEALTH'!N24="",HEALTH!N24=""),"",IF(ISERROR(ROUND(AVERAGE('MUSIC-ARTS'!N24,ARTS!N24,'PE-HEALTH'!N24,HEALTH!N24),0)),"",ROUND(AVERAGE('MUSIC-ARTS'!N24,ARTS!N24,'PE-HEALTH'!N24,HEALTH!N24),0)))</f>
        <v/>
      </c>
      <c r="O24" s="40"/>
      <c r="P24" s="40"/>
      <c r="Q24" s="68"/>
      <c r="R24" s="39" t="str">
        <f>IF(OR('MUSIC-ARTS'!R24="",ARTS!R24="",'PE-HEALTH'!R24="",HEALTH!R24=""),"",IF(ISERROR(ROUND(AVERAGE('MUSIC-ARTS'!R24,ARTS!R24,'PE-HEALTH'!R24,HEALTH!R24),0)),"",ROUND(AVERAGE('MUSIC-ARTS'!R24,ARTS!R24,'PE-HEALTH'!R24,HEALTH!R24),0)))</f>
        <v/>
      </c>
      <c r="S24" s="40"/>
      <c r="T24" s="40"/>
      <c r="U24" s="68"/>
      <c r="V24" s="81" t="str">
        <f t="shared" si="0"/>
        <v/>
      </c>
      <c r="W24" s="82"/>
      <c r="X24" s="82"/>
      <c r="Y24" s="93"/>
      <c r="Z24" s="97" t="str">
        <f t="shared" si="1"/>
        <v/>
      </c>
      <c r="AA24" s="98"/>
      <c r="AB24" s="99"/>
    </row>
    <row r="25" ht="15" spans="1:28">
      <c r="A25" s="37">
        <v>14</v>
      </c>
      <c r="B25" s="33" t="str">
        <f>'INPUT DATA'!B25:D25</f>
        <v>OLIVERIO, CYREL JAY G.</v>
      </c>
      <c r="C25" s="38"/>
      <c r="D25" s="38"/>
      <c r="E25" s="41"/>
      <c r="F25" s="39" t="str">
        <f>IF(OR('MUSIC-ARTS'!F25="",ARTS!F25="",'PE-HEALTH'!F25="",HEALTH!F25=""),"",IF(ISERROR(ROUND(AVERAGE('MUSIC-ARTS'!F25,ARTS!F25,'PE-HEALTH'!F25,HEALTH!F25),0)),"",ROUND(AVERAGE('MUSIC-ARTS'!F25,ARTS!F25,'PE-HEALTH'!F25,HEALTH!F25),0)))</f>
        <v/>
      </c>
      <c r="G25" s="40"/>
      <c r="H25" s="40"/>
      <c r="I25" s="68"/>
      <c r="J25" s="39" t="str">
        <f>IF(OR('MUSIC-ARTS'!J25="",ARTS!J25="",'PE-HEALTH'!J25="",HEALTH!J25=""),"",IF(ISERROR(ROUND(AVERAGE('MUSIC-ARTS'!J25,ARTS!J25,'PE-HEALTH'!J25,HEALTH!J25),0)),"",ROUND(AVERAGE('MUSIC-ARTS'!J25,ARTS!J25,'PE-HEALTH'!J25,HEALTH!J25),0)))</f>
        <v/>
      </c>
      <c r="K25" s="40"/>
      <c r="L25" s="40"/>
      <c r="M25" s="68"/>
      <c r="N25" s="39" t="str">
        <f>IF(OR('MUSIC-ARTS'!N25="",ARTS!N25="",'PE-HEALTH'!N25="",HEALTH!N25=""),"",IF(ISERROR(ROUND(AVERAGE('MUSIC-ARTS'!N25,ARTS!N25,'PE-HEALTH'!N25,HEALTH!N25),0)),"",ROUND(AVERAGE('MUSIC-ARTS'!N25,ARTS!N25,'PE-HEALTH'!N25,HEALTH!N25),0)))</f>
        <v/>
      </c>
      <c r="O25" s="40"/>
      <c r="P25" s="40"/>
      <c r="Q25" s="68"/>
      <c r="R25" s="39" t="str">
        <f>IF(OR('MUSIC-ARTS'!R25="",ARTS!R25="",'PE-HEALTH'!R25="",HEALTH!R25=""),"",IF(ISERROR(ROUND(AVERAGE('MUSIC-ARTS'!R25,ARTS!R25,'PE-HEALTH'!R25,HEALTH!R25),0)),"",ROUND(AVERAGE('MUSIC-ARTS'!R25,ARTS!R25,'PE-HEALTH'!R25,HEALTH!R25),0)))</f>
        <v/>
      </c>
      <c r="S25" s="40"/>
      <c r="T25" s="40"/>
      <c r="U25" s="68"/>
      <c r="V25" s="81" t="str">
        <f t="shared" si="0"/>
        <v/>
      </c>
      <c r="W25" s="82"/>
      <c r="X25" s="82"/>
      <c r="Y25" s="93"/>
      <c r="Z25" s="97" t="str">
        <f t="shared" si="1"/>
        <v/>
      </c>
      <c r="AA25" s="98"/>
      <c r="AB25" s="99"/>
    </row>
    <row r="26" ht="15" spans="1:28">
      <c r="A26" s="37">
        <v>15</v>
      </c>
      <c r="B26" s="33" t="str">
        <f>'INPUT DATA'!B26:D26</f>
        <v>ORBITA,BRENN JOHN A.</v>
      </c>
      <c r="C26" s="38"/>
      <c r="D26" s="38"/>
      <c r="E26" s="41"/>
      <c r="F26" s="39" t="str">
        <f>IF(OR('MUSIC-ARTS'!F26="",ARTS!F26="",'PE-HEALTH'!F26="",HEALTH!F26=""),"",IF(ISERROR(ROUND(AVERAGE('MUSIC-ARTS'!F26,ARTS!F26,'PE-HEALTH'!F26,HEALTH!F26),0)),"",ROUND(AVERAGE('MUSIC-ARTS'!F26,ARTS!F26,'PE-HEALTH'!F26,HEALTH!F26),0)))</f>
        <v/>
      </c>
      <c r="G26" s="40"/>
      <c r="H26" s="40"/>
      <c r="I26" s="68"/>
      <c r="J26" s="39" t="str">
        <f>IF(OR('MUSIC-ARTS'!J26="",ARTS!J26="",'PE-HEALTH'!J26="",HEALTH!J26=""),"",IF(ISERROR(ROUND(AVERAGE('MUSIC-ARTS'!J26,ARTS!J26,'PE-HEALTH'!J26,HEALTH!J26),0)),"",ROUND(AVERAGE('MUSIC-ARTS'!J26,ARTS!J26,'PE-HEALTH'!J26,HEALTH!J26),0)))</f>
        <v/>
      </c>
      <c r="K26" s="40"/>
      <c r="L26" s="40"/>
      <c r="M26" s="68"/>
      <c r="N26" s="39" t="str">
        <f>IF(OR('MUSIC-ARTS'!N26="",ARTS!N26="",'PE-HEALTH'!N26="",HEALTH!N26=""),"",IF(ISERROR(ROUND(AVERAGE('MUSIC-ARTS'!N26,ARTS!N26,'PE-HEALTH'!N26,HEALTH!N26),0)),"",ROUND(AVERAGE('MUSIC-ARTS'!N26,ARTS!N26,'PE-HEALTH'!N26,HEALTH!N26),0)))</f>
        <v/>
      </c>
      <c r="O26" s="40"/>
      <c r="P26" s="40"/>
      <c r="Q26" s="68"/>
      <c r="R26" s="39" t="str">
        <f>IF(OR('MUSIC-ARTS'!R26="",ARTS!R26="",'PE-HEALTH'!R26="",HEALTH!R26=""),"",IF(ISERROR(ROUND(AVERAGE('MUSIC-ARTS'!R26,ARTS!R26,'PE-HEALTH'!R26,HEALTH!R26),0)),"",ROUND(AVERAGE('MUSIC-ARTS'!R26,ARTS!R26,'PE-HEALTH'!R26,HEALTH!R26),0)))</f>
        <v/>
      </c>
      <c r="S26" s="40"/>
      <c r="T26" s="40"/>
      <c r="U26" s="68"/>
      <c r="V26" s="81" t="str">
        <f t="shared" si="0"/>
        <v/>
      </c>
      <c r="W26" s="82"/>
      <c r="X26" s="82"/>
      <c r="Y26" s="93"/>
      <c r="Z26" s="97" t="str">
        <f t="shared" si="1"/>
        <v/>
      </c>
      <c r="AA26" s="98"/>
      <c r="AB26" s="99"/>
    </row>
    <row r="27" ht="15" spans="1:28">
      <c r="A27" s="37">
        <v>16</v>
      </c>
      <c r="B27" s="33" t="str">
        <f>'INPUT DATA'!B27:D27</f>
        <v>PAINLO,SHERWIN V.</v>
      </c>
      <c r="C27" s="38"/>
      <c r="D27" s="38"/>
      <c r="E27" s="41"/>
      <c r="F27" s="39" t="str">
        <f>IF(OR('MUSIC-ARTS'!F27="",ARTS!F27="",'PE-HEALTH'!F27="",HEALTH!F27=""),"",IF(ISERROR(ROUND(AVERAGE('MUSIC-ARTS'!F27,ARTS!F27,'PE-HEALTH'!F27,HEALTH!F27),0)),"",ROUND(AVERAGE('MUSIC-ARTS'!F27,ARTS!F27,'PE-HEALTH'!F27,HEALTH!F27),0)))</f>
        <v/>
      </c>
      <c r="G27" s="40"/>
      <c r="H27" s="40"/>
      <c r="I27" s="68"/>
      <c r="J27" s="39" t="str">
        <f>IF(OR('MUSIC-ARTS'!J27="",ARTS!J27="",'PE-HEALTH'!J27="",HEALTH!J27=""),"",IF(ISERROR(ROUND(AVERAGE('MUSIC-ARTS'!J27,ARTS!J27,'PE-HEALTH'!J27,HEALTH!J27),0)),"",ROUND(AVERAGE('MUSIC-ARTS'!J27,ARTS!J27,'PE-HEALTH'!J27,HEALTH!J27),0)))</f>
        <v/>
      </c>
      <c r="K27" s="40"/>
      <c r="L27" s="40"/>
      <c r="M27" s="68"/>
      <c r="N27" s="39" t="str">
        <f>IF(OR('MUSIC-ARTS'!N27="",ARTS!N27="",'PE-HEALTH'!N27="",HEALTH!N27=""),"",IF(ISERROR(ROUND(AVERAGE('MUSIC-ARTS'!N27,ARTS!N27,'PE-HEALTH'!N27,HEALTH!N27),0)),"",ROUND(AVERAGE('MUSIC-ARTS'!N27,ARTS!N27,'PE-HEALTH'!N27,HEALTH!N27),0)))</f>
        <v/>
      </c>
      <c r="O27" s="40"/>
      <c r="P27" s="40"/>
      <c r="Q27" s="68"/>
      <c r="R27" s="39" t="str">
        <f>IF(OR('MUSIC-ARTS'!R27="",ARTS!R27="",'PE-HEALTH'!R27="",HEALTH!R27=""),"",IF(ISERROR(ROUND(AVERAGE('MUSIC-ARTS'!R27,ARTS!R27,'PE-HEALTH'!R27,HEALTH!R27),0)),"",ROUND(AVERAGE('MUSIC-ARTS'!R27,ARTS!R27,'PE-HEALTH'!R27,HEALTH!R27),0)))</f>
        <v/>
      </c>
      <c r="S27" s="40"/>
      <c r="T27" s="40"/>
      <c r="U27" s="68"/>
      <c r="V27" s="81" t="str">
        <f t="shared" si="0"/>
        <v/>
      </c>
      <c r="W27" s="82"/>
      <c r="X27" s="82"/>
      <c r="Y27" s="93"/>
      <c r="Z27" s="97" t="str">
        <f t="shared" si="1"/>
        <v/>
      </c>
      <c r="AA27" s="98"/>
      <c r="AB27" s="99"/>
    </row>
    <row r="28" ht="15" spans="1:28">
      <c r="A28" s="37">
        <v>17</v>
      </c>
      <c r="B28" s="33" t="str">
        <f>'INPUT DATA'!B28:D28</f>
        <v>RAMIREZ, MATTEO JOHN DAVE D.</v>
      </c>
      <c r="C28" s="38"/>
      <c r="D28" s="38"/>
      <c r="E28" s="41"/>
      <c r="F28" s="39" t="str">
        <f>IF(OR('MUSIC-ARTS'!F28="",ARTS!F28="",'PE-HEALTH'!F28="",HEALTH!F28=""),"",IF(ISERROR(ROUND(AVERAGE('MUSIC-ARTS'!F28,ARTS!F28,'PE-HEALTH'!F28,HEALTH!F28),0)),"",ROUND(AVERAGE('MUSIC-ARTS'!F28,ARTS!F28,'PE-HEALTH'!F28,HEALTH!F28),0)))</f>
        <v/>
      </c>
      <c r="G28" s="40"/>
      <c r="H28" s="40"/>
      <c r="I28" s="68"/>
      <c r="J28" s="39" t="str">
        <f>IF(OR('MUSIC-ARTS'!J28="",ARTS!J28="",'PE-HEALTH'!J28="",HEALTH!J28=""),"",IF(ISERROR(ROUND(AVERAGE('MUSIC-ARTS'!J28,ARTS!J28,'PE-HEALTH'!J28,HEALTH!J28),0)),"",ROUND(AVERAGE('MUSIC-ARTS'!J28,ARTS!J28,'PE-HEALTH'!J28,HEALTH!J28),0)))</f>
        <v/>
      </c>
      <c r="K28" s="40"/>
      <c r="L28" s="40"/>
      <c r="M28" s="68"/>
      <c r="N28" s="39" t="str">
        <f>IF(OR('MUSIC-ARTS'!N28="",ARTS!N28="",'PE-HEALTH'!N28="",HEALTH!N28=""),"",IF(ISERROR(ROUND(AVERAGE('MUSIC-ARTS'!N28,ARTS!N28,'PE-HEALTH'!N28,HEALTH!N28),0)),"",ROUND(AVERAGE('MUSIC-ARTS'!N28,ARTS!N28,'PE-HEALTH'!N28,HEALTH!N28),0)))</f>
        <v/>
      </c>
      <c r="O28" s="40"/>
      <c r="P28" s="40"/>
      <c r="Q28" s="68"/>
      <c r="R28" s="39" t="str">
        <f>IF(OR('MUSIC-ARTS'!R28="",ARTS!R28="",'PE-HEALTH'!R28="",HEALTH!R28=""),"",IF(ISERROR(ROUND(AVERAGE('MUSIC-ARTS'!R28,ARTS!R28,'PE-HEALTH'!R28,HEALTH!R28),0)),"",ROUND(AVERAGE('MUSIC-ARTS'!R28,ARTS!R28,'PE-HEALTH'!R28,HEALTH!R28),0)))</f>
        <v/>
      </c>
      <c r="S28" s="40"/>
      <c r="T28" s="40"/>
      <c r="U28" s="68"/>
      <c r="V28" s="81" t="str">
        <f t="shared" si="0"/>
        <v/>
      </c>
      <c r="W28" s="82"/>
      <c r="X28" s="82"/>
      <c r="Y28" s="93"/>
      <c r="Z28" s="97" t="str">
        <f t="shared" si="1"/>
        <v/>
      </c>
      <c r="AA28" s="98"/>
      <c r="AB28" s="99"/>
    </row>
    <row r="29" ht="15" spans="1:28">
      <c r="A29" s="37">
        <v>18</v>
      </c>
      <c r="B29" s="33" t="str">
        <f>'INPUT DATA'!B29:D29</f>
        <v>SIGUIRA, JASTINE B.</v>
      </c>
      <c r="C29" s="38"/>
      <c r="D29" s="38"/>
      <c r="E29" s="41"/>
      <c r="F29" s="39" t="str">
        <f>IF(OR('MUSIC-ARTS'!F29="",ARTS!F29="",'PE-HEALTH'!F29="",HEALTH!F29=""),"",IF(ISERROR(ROUND(AVERAGE('MUSIC-ARTS'!F29,ARTS!F29,'PE-HEALTH'!F29,HEALTH!F29),0)),"",ROUND(AVERAGE('MUSIC-ARTS'!F29,ARTS!F29,'PE-HEALTH'!F29,HEALTH!F29),0)))</f>
        <v/>
      </c>
      <c r="G29" s="40"/>
      <c r="H29" s="40"/>
      <c r="I29" s="68"/>
      <c r="J29" s="39" t="str">
        <f>IF(OR('MUSIC-ARTS'!J29="",ARTS!J29="",'PE-HEALTH'!J29="",HEALTH!J29=""),"",IF(ISERROR(ROUND(AVERAGE('MUSIC-ARTS'!J29,ARTS!J29,'PE-HEALTH'!J29,HEALTH!J29),0)),"",ROUND(AVERAGE('MUSIC-ARTS'!J29,ARTS!J29,'PE-HEALTH'!J29,HEALTH!J29),0)))</f>
        <v/>
      </c>
      <c r="K29" s="40"/>
      <c r="L29" s="40"/>
      <c r="M29" s="68"/>
      <c r="N29" s="39" t="str">
        <f>IF(OR('MUSIC-ARTS'!N29="",ARTS!N29="",'PE-HEALTH'!N29="",HEALTH!N29=""),"",IF(ISERROR(ROUND(AVERAGE('MUSIC-ARTS'!N29,ARTS!N29,'PE-HEALTH'!N29,HEALTH!N29),0)),"",ROUND(AVERAGE('MUSIC-ARTS'!N29,ARTS!N29,'PE-HEALTH'!N29,HEALTH!N29),0)))</f>
        <v/>
      </c>
      <c r="O29" s="40"/>
      <c r="P29" s="40"/>
      <c r="Q29" s="68"/>
      <c r="R29" s="39" t="str">
        <f>IF(OR('MUSIC-ARTS'!R29="",ARTS!R29="",'PE-HEALTH'!R29="",HEALTH!R29=""),"",IF(ISERROR(ROUND(AVERAGE('MUSIC-ARTS'!R29,ARTS!R29,'PE-HEALTH'!R29,HEALTH!R29),0)),"",ROUND(AVERAGE('MUSIC-ARTS'!R29,ARTS!R29,'PE-HEALTH'!R29,HEALTH!R29),0)))</f>
        <v/>
      </c>
      <c r="S29" s="40"/>
      <c r="T29" s="40"/>
      <c r="U29" s="68"/>
      <c r="V29" s="81" t="str">
        <f t="shared" si="0"/>
        <v/>
      </c>
      <c r="W29" s="82"/>
      <c r="X29" s="82"/>
      <c r="Y29" s="93"/>
      <c r="Z29" s="97" t="str">
        <f t="shared" si="1"/>
        <v/>
      </c>
      <c r="AA29" s="98"/>
      <c r="AB29" s="99"/>
    </row>
    <row r="30" ht="15" spans="1:28">
      <c r="A30" s="37">
        <v>19</v>
      </c>
      <c r="B30" s="33" t="str">
        <f>'INPUT DATA'!B30:D30</f>
        <v>TAA, JHONVINZ Y.</v>
      </c>
      <c r="C30" s="38"/>
      <c r="D30" s="38"/>
      <c r="E30" s="41"/>
      <c r="F30" s="39" t="str">
        <f>IF(OR('MUSIC-ARTS'!F30="",ARTS!F30="",'PE-HEALTH'!F30="",HEALTH!F30=""),"",IF(ISERROR(ROUND(AVERAGE('MUSIC-ARTS'!F30,ARTS!F30,'PE-HEALTH'!F30,HEALTH!F30),0)),"",ROUND(AVERAGE('MUSIC-ARTS'!F30,ARTS!F30,'PE-HEALTH'!F30,HEALTH!F30),0)))</f>
        <v/>
      </c>
      <c r="G30" s="40"/>
      <c r="H30" s="40"/>
      <c r="I30" s="68"/>
      <c r="J30" s="39" t="str">
        <f>IF(OR('MUSIC-ARTS'!J30="",ARTS!J30="",'PE-HEALTH'!J30="",HEALTH!J30=""),"",IF(ISERROR(ROUND(AVERAGE('MUSIC-ARTS'!J30,ARTS!J30,'PE-HEALTH'!J30,HEALTH!J30),0)),"",ROUND(AVERAGE('MUSIC-ARTS'!J30,ARTS!J30,'PE-HEALTH'!J30,HEALTH!J30),0)))</f>
        <v/>
      </c>
      <c r="K30" s="40"/>
      <c r="L30" s="40"/>
      <c r="M30" s="68"/>
      <c r="N30" s="39" t="str">
        <f>IF(OR('MUSIC-ARTS'!N30="",ARTS!N30="",'PE-HEALTH'!N30="",HEALTH!N30=""),"",IF(ISERROR(ROUND(AVERAGE('MUSIC-ARTS'!N30,ARTS!N30,'PE-HEALTH'!N30,HEALTH!N30),0)),"",ROUND(AVERAGE('MUSIC-ARTS'!N30,ARTS!N30,'PE-HEALTH'!N30,HEALTH!N30),0)))</f>
        <v/>
      </c>
      <c r="O30" s="40"/>
      <c r="P30" s="40"/>
      <c r="Q30" s="68"/>
      <c r="R30" s="39" t="str">
        <f>IF(OR('MUSIC-ARTS'!R30="",ARTS!R30="",'PE-HEALTH'!R30="",HEALTH!R30=""),"",IF(ISERROR(ROUND(AVERAGE('MUSIC-ARTS'!R30,ARTS!R30,'PE-HEALTH'!R30,HEALTH!R30),0)),"",ROUND(AVERAGE('MUSIC-ARTS'!R30,ARTS!R30,'PE-HEALTH'!R30,HEALTH!R30),0)))</f>
        <v/>
      </c>
      <c r="S30" s="40"/>
      <c r="T30" s="40"/>
      <c r="U30" s="68"/>
      <c r="V30" s="81" t="str">
        <f t="shared" si="0"/>
        <v/>
      </c>
      <c r="W30" s="82"/>
      <c r="X30" s="82"/>
      <c r="Y30" s="93"/>
      <c r="Z30" s="97" t="str">
        <f t="shared" si="1"/>
        <v/>
      </c>
      <c r="AA30" s="98"/>
      <c r="AB30" s="99"/>
    </row>
    <row r="31" ht="15.75" spans="1:28">
      <c r="A31" s="37">
        <v>20</v>
      </c>
      <c r="B31" s="33" t="str">
        <f>'INPUT DATA'!B31:D31</f>
        <v>ZOILO, JOHN LORENCE M.</v>
      </c>
      <c r="C31" s="38"/>
      <c r="D31" s="38"/>
      <c r="E31" s="41"/>
      <c r="F31" s="39" t="str">
        <f>IF(OR('MUSIC-ARTS'!F31="",ARTS!F31="",'PE-HEALTH'!F31="",HEALTH!F31=""),"",IF(ISERROR(ROUND(AVERAGE('MUSIC-ARTS'!F31,ARTS!F31,'PE-HEALTH'!F31,HEALTH!F31),0)),"",ROUND(AVERAGE('MUSIC-ARTS'!F31,ARTS!F31,'PE-HEALTH'!F31,HEALTH!F31),0)))</f>
        <v/>
      </c>
      <c r="G31" s="40"/>
      <c r="H31" s="40"/>
      <c r="I31" s="68"/>
      <c r="J31" s="39" t="str">
        <f>IF(OR('MUSIC-ARTS'!J31="",ARTS!J31="",'PE-HEALTH'!J31="",HEALTH!J31=""),"",IF(ISERROR(ROUND(AVERAGE('MUSIC-ARTS'!J31,ARTS!J31,'PE-HEALTH'!J31,HEALTH!J31),0)),"",ROUND(AVERAGE('MUSIC-ARTS'!J31,ARTS!J31,'PE-HEALTH'!J31,HEALTH!J31),0)))</f>
        <v/>
      </c>
      <c r="K31" s="40"/>
      <c r="L31" s="40"/>
      <c r="M31" s="68"/>
      <c r="N31" s="39" t="str">
        <f>IF(OR('MUSIC-ARTS'!N31="",ARTS!N31="",'PE-HEALTH'!N31="",HEALTH!N31=""),"",IF(ISERROR(ROUND(AVERAGE('MUSIC-ARTS'!N31,ARTS!N31,'PE-HEALTH'!N31,HEALTH!N31),0)),"",ROUND(AVERAGE('MUSIC-ARTS'!N31,ARTS!N31,'PE-HEALTH'!N31,HEALTH!N31),0)))</f>
        <v/>
      </c>
      <c r="O31" s="40"/>
      <c r="P31" s="40"/>
      <c r="Q31" s="68"/>
      <c r="R31" s="39" t="str">
        <f>IF(OR('MUSIC-ARTS'!R31="",ARTS!R31="",'PE-HEALTH'!R31="",HEALTH!R31=""),"",IF(ISERROR(ROUND(AVERAGE('MUSIC-ARTS'!R31,ARTS!R31,'PE-HEALTH'!R31,HEALTH!R31),0)),"",ROUND(AVERAGE('MUSIC-ARTS'!R31,ARTS!R31,'PE-HEALTH'!R31,HEALTH!R31),0)))</f>
        <v/>
      </c>
      <c r="S31" s="40"/>
      <c r="T31" s="40"/>
      <c r="U31" s="68"/>
      <c r="V31" s="81" t="str">
        <f t="shared" si="0"/>
        <v/>
      </c>
      <c r="W31" s="82"/>
      <c r="X31" s="82"/>
      <c r="Y31" s="93"/>
      <c r="Z31" s="97" t="str">
        <f t="shared" si="1"/>
        <v/>
      </c>
      <c r="AA31" s="98"/>
      <c r="AB31" s="99"/>
    </row>
    <row r="32" ht="15" hidden="1" spans="1:28">
      <c r="A32" s="37">
        <v>21</v>
      </c>
      <c r="B32" s="33">
        <f>'INPUT DATA'!B32:D32</f>
        <v>0</v>
      </c>
      <c r="C32" s="38"/>
      <c r="D32" s="38"/>
      <c r="E32" s="41"/>
      <c r="F32" s="39" t="str">
        <f>IF(OR('MUSIC-ARTS'!F32="",ARTS!F32="",'PE-HEALTH'!F32="",HEALTH!F32=""),"",IF(ISERROR(ROUND(AVERAGE('MUSIC-ARTS'!F32,ARTS!F32,'PE-HEALTH'!F32,HEALTH!F32),0)),"",ROUND(AVERAGE('MUSIC-ARTS'!F32,ARTS!F32,'PE-HEALTH'!F32,HEALTH!F32),0)))</f>
        <v/>
      </c>
      <c r="G32" s="40"/>
      <c r="H32" s="40"/>
      <c r="I32" s="68"/>
      <c r="J32" s="39" t="str">
        <f>IF(OR('MUSIC-ARTS'!J32="",ARTS!J32="",'PE-HEALTH'!J32="",HEALTH!J32=""),"",IF(ISERROR(ROUND(AVERAGE('MUSIC-ARTS'!J32,ARTS!J32,'PE-HEALTH'!J32,HEALTH!J32),0)),"",ROUND(AVERAGE('MUSIC-ARTS'!J32,ARTS!J32,'PE-HEALTH'!J32,HEALTH!J32),0)))</f>
        <v/>
      </c>
      <c r="K32" s="40"/>
      <c r="L32" s="40"/>
      <c r="M32" s="68"/>
      <c r="N32" s="39" t="str">
        <f>IF(OR('MUSIC-ARTS'!N32="",ARTS!N32="",'PE-HEALTH'!N32="",HEALTH!N32=""),"",IF(ISERROR(ROUND(AVERAGE('MUSIC-ARTS'!N32,ARTS!N32,'PE-HEALTH'!N32,HEALTH!N32),0)),"",ROUND(AVERAGE('MUSIC-ARTS'!N32,ARTS!N32,'PE-HEALTH'!N32,HEALTH!N32),0)))</f>
        <v/>
      </c>
      <c r="O32" s="40"/>
      <c r="P32" s="40"/>
      <c r="Q32" s="68"/>
      <c r="R32" s="39" t="str">
        <f>IF(OR('MUSIC-ARTS'!R32="",ARTS!R32="",'PE-HEALTH'!R32="",HEALTH!R32=""),"",IF(ISERROR(ROUND(AVERAGE('MUSIC-ARTS'!R32,ARTS!R32,'PE-HEALTH'!R32,HEALTH!R32),0)),"",ROUND(AVERAGE('MUSIC-ARTS'!R32,ARTS!R32,'PE-HEALTH'!R32,HEALTH!R32),0)))</f>
        <v/>
      </c>
      <c r="S32" s="40"/>
      <c r="T32" s="40"/>
      <c r="U32" s="68"/>
      <c r="V32" s="81" t="str">
        <f t="shared" si="0"/>
        <v/>
      </c>
      <c r="W32" s="82"/>
      <c r="X32" s="82"/>
      <c r="Y32" s="93"/>
      <c r="Z32" s="97" t="str">
        <f t="shared" si="1"/>
        <v/>
      </c>
      <c r="AA32" s="98"/>
      <c r="AB32" s="99"/>
    </row>
    <row r="33" ht="15" hidden="1" spans="1:28">
      <c r="A33" s="37">
        <v>22</v>
      </c>
      <c r="B33" s="33">
        <f>'INPUT DATA'!B33:D33</f>
        <v>0</v>
      </c>
      <c r="C33" s="38"/>
      <c r="D33" s="38"/>
      <c r="E33" s="41"/>
      <c r="F33" s="39" t="str">
        <f>IF(OR('MUSIC-ARTS'!F33="",ARTS!F33="",'PE-HEALTH'!F33="",HEALTH!F33=""),"",IF(ISERROR(ROUND(AVERAGE('MUSIC-ARTS'!F33,ARTS!F33,'PE-HEALTH'!F33,HEALTH!F33),0)),"",ROUND(AVERAGE('MUSIC-ARTS'!F33,ARTS!F33,'PE-HEALTH'!F33,HEALTH!F33),0)))</f>
        <v/>
      </c>
      <c r="G33" s="40"/>
      <c r="H33" s="40"/>
      <c r="I33" s="68"/>
      <c r="J33" s="39" t="str">
        <f>IF(OR('MUSIC-ARTS'!J33="",ARTS!J33="",'PE-HEALTH'!J33="",HEALTH!J33=""),"",IF(ISERROR(ROUND(AVERAGE('MUSIC-ARTS'!J33,ARTS!J33,'PE-HEALTH'!J33,HEALTH!J33),0)),"",ROUND(AVERAGE('MUSIC-ARTS'!J33,ARTS!J33,'PE-HEALTH'!J33,HEALTH!J33),0)))</f>
        <v/>
      </c>
      <c r="K33" s="40"/>
      <c r="L33" s="40"/>
      <c r="M33" s="68"/>
      <c r="N33" s="39" t="str">
        <f>IF(OR('MUSIC-ARTS'!N33="",ARTS!N33="",'PE-HEALTH'!N33="",HEALTH!N33=""),"",IF(ISERROR(ROUND(AVERAGE('MUSIC-ARTS'!N33,ARTS!N33,'PE-HEALTH'!N33,HEALTH!N33),0)),"",ROUND(AVERAGE('MUSIC-ARTS'!N33,ARTS!N33,'PE-HEALTH'!N33,HEALTH!N33),0)))</f>
        <v/>
      </c>
      <c r="O33" s="40"/>
      <c r="P33" s="40"/>
      <c r="Q33" s="68"/>
      <c r="R33" s="39" t="str">
        <f>IF(OR('MUSIC-ARTS'!R33="",ARTS!R33="",'PE-HEALTH'!R33="",HEALTH!R33=""),"",IF(ISERROR(ROUND(AVERAGE('MUSIC-ARTS'!R33,ARTS!R33,'PE-HEALTH'!R33,HEALTH!R33),0)),"",ROUND(AVERAGE('MUSIC-ARTS'!R33,ARTS!R33,'PE-HEALTH'!R33,HEALTH!R33),0)))</f>
        <v/>
      </c>
      <c r="S33" s="40"/>
      <c r="T33" s="40"/>
      <c r="U33" s="68"/>
      <c r="V33" s="81" t="str">
        <f t="shared" si="0"/>
        <v/>
      </c>
      <c r="W33" s="82"/>
      <c r="X33" s="82"/>
      <c r="Y33" s="93"/>
      <c r="Z33" s="97" t="str">
        <f t="shared" si="1"/>
        <v/>
      </c>
      <c r="AA33" s="98"/>
      <c r="AB33" s="99"/>
    </row>
    <row r="34" ht="15" hidden="1" spans="1:28">
      <c r="A34" s="37">
        <v>23</v>
      </c>
      <c r="B34" s="33">
        <f>'INPUT DATA'!B34:D34</f>
        <v>0</v>
      </c>
      <c r="C34" s="38"/>
      <c r="D34" s="38"/>
      <c r="E34" s="41"/>
      <c r="F34" s="39" t="str">
        <f>IF(OR('MUSIC-ARTS'!F34="",ARTS!F34="",'PE-HEALTH'!F34="",HEALTH!F34=""),"",IF(ISERROR(ROUND(AVERAGE('MUSIC-ARTS'!F34,ARTS!F34,'PE-HEALTH'!F34,HEALTH!F34),0)),"",ROUND(AVERAGE('MUSIC-ARTS'!F34,ARTS!F34,'PE-HEALTH'!F34,HEALTH!F34),0)))</f>
        <v/>
      </c>
      <c r="G34" s="40"/>
      <c r="H34" s="40"/>
      <c r="I34" s="68"/>
      <c r="J34" s="39" t="str">
        <f>IF(OR('MUSIC-ARTS'!J34="",ARTS!J34="",'PE-HEALTH'!J34="",HEALTH!J34=""),"",IF(ISERROR(ROUND(AVERAGE('MUSIC-ARTS'!J34,ARTS!J34,'PE-HEALTH'!J34,HEALTH!J34),0)),"",ROUND(AVERAGE('MUSIC-ARTS'!J34,ARTS!J34,'PE-HEALTH'!J34,HEALTH!J34),0)))</f>
        <v/>
      </c>
      <c r="K34" s="40"/>
      <c r="L34" s="40"/>
      <c r="M34" s="68"/>
      <c r="N34" s="39" t="str">
        <f>IF(OR('MUSIC-ARTS'!N34="",ARTS!N34="",'PE-HEALTH'!N34="",HEALTH!N34=""),"",IF(ISERROR(ROUND(AVERAGE('MUSIC-ARTS'!N34,ARTS!N34,'PE-HEALTH'!N34,HEALTH!N34),0)),"",ROUND(AVERAGE('MUSIC-ARTS'!N34,ARTS!N34,'PE-HEALTH'!N34,HEALTH!N34),0)))</f>
        <v/>
      </c>
      <c r="O34" s="40"/>
      <c r="P34" s="40"/>
      <c r="Q34" s="68"/>
      <c r="R34" s="39" t="str">
        <f>IF(OR('MUSIC-ARTS'!R34="",ARTS!R34="",'PE-HEALTH'!R34="",HEALTH!R34=""),"",IF(ISERROR(ROUND(AVERAGE('MUSIC-ARTS'!R34,ARTS!R34,'PE-HEALTH'!R34,HEALTH!R34),0)),"",ROUND(AVERAGE('MUSIC-ARTS'!R34,ARTS!R34,'PE-HEALTH'!R34,HEALTH!R34),0)))</f>
        <v/>
      </c>
      <c r="S34" s="40"/>
      <c r="T34" s="40"/>
      <c r="U34" s="68"/>
      <c r="V34" s="81" t="str">
        <f t="shared" si="0"/>
        <v/>
      </c>
      <c r="W34" s="82"/>
      <c r="X34" s="82"/>
      <c r="Y34" s="93"/>
      <c r="Z34" s="97" t="str">
        <f t="shared" si="1"/>
        <v/>
      </c>
      <c r="AA34" s="98"/>
      <c r="AB34" s="99"/>
    </row>
    <row r="35" ht="15" hidden="1" spans="1:28">
      <c r="A35" s="37">
        <v>24</v>
      </c>
      <c r="B35" s="33">
        <f>'INPUT DATA'!B35:D35</f>
        <v>0</v>
      </c>
      <c r="C35" s="38"/>
      <c r="D35" s="38"/>
      <c r="E35" s="41"/>
      <c r="F35" s="39" t="str">
        <f>IF(OR('MUSIC-ARTS'!F35="",ARTS!F35="",'PE-HEALTH'!F35="",HEALTH!F35=""),"",IF(ISERROR(ROUND(AVERAGE('MUSIC-ARTS'!F35,ARTS!F35,'PE-HEALTH'!F35,HEALTH!F35),0)),"",ROUND(AVERAGE('MUSIC-ARTS'!F35,ARTS!F35,'PE-HEALTH'!F35,HEALTH!F35),0)))</f>
        <v/>
      </c>
      <c r="G35" s="40"/>
      <c r="H35" s="40"/>
      <c r="I35" s="68"/>
      <c r="J35" s="39" t="str">
        <f>IF(OR('MUSIC-ARTS'!J35="",ARTS!J35="",'PE-HEALTH'!J35="",HEALTH!J35=""),"",IF(ISERROR(ROUND(AVERAGE('MUSIC-ARTS'!J35,ARTS!J35,'PE-HEALTH'!J35,HEALTH!J35),0)),"",ROUND(AVERAGE('MUSIC-ARTS'!J35,ARTS!J35,'PE-HEALTH'!J35,HEALTH!J35),0)))</f>
        <v/>
      </c>
      <c r="K35" s="40"/>
      <c r="L35" s="40"/>
      <c r="M35" s="68"/>
      <c r="N35" s="39" t="str">
        <f>IF(OR('MUSIC-ARTS'!N35="",ARTS!N35="",'PE-HEALTH'!N35="",HEALTH!N35=""),"",IF(ISERROR(ROUND(AVERAGE('MUSIC-ARTS'!N35,ARTS!N35,'PE-HEALTH'!N35,HEALTH!N35),0)),"",ROUND(AVERAGE('MUSIC-ARTS'!N35,ARTS!N35,'PE-HEALTH'!N35,HEALTH!N35),0)))</f>
        <v/>
      </c>
      <c r="O35" s="40"/>
      <c r="P35" s="40"/>
      <c r="Q35" s="68"/>
      <c r="R35" s="39" t="str">
        <f>IF(OR('MUSIC-ARTS'!R35="",ARTS!R35="",'PE-HEALTH'!R35="",HEALTH!R35=""),"",IF(ISERROR(ROUND(AVERAGE('MUSIC-ARTS'!R35,ARTS!R35,'PE-HEALTH'!R35,HEALTH!R35),0)),"",ROUND(AVERAGE('MUSIC-ARTS'!R35,ARTS!R35,'PE-HEALTH'!R35,HEALTH!R35),0)))</f>
        <v/>
      </c>
      <c r="S35" s="40"/>
      <c r="T35" s="40"/>
      <c r="U35" s="68"/>
      <c r="V35" s="81" t="str">
        <f t="shared" si="0"/>
        <v/>
      </c>
      <c r="W35" s="82"/>
      <c r="X35" s="82"/>
      <c r="Y35" s="93"/>
      <c r="Z35" s="97" t="str">
        <f t="shared" si="1"/>
        <v/>
      </c>
      <c r="AA35" s="98"/>
      <c r="AB35" s="99"/>
    </row>
    <row r="36" ht="15" hidden="1" spans="1:28">
      <c r="A36" s="37">
        <v>25</v>
      </c>
      <c r="B36" s="33">
        <f>'INPUT DATA'!B36:D36</f>
        <v>0</v>
      </c>
      <c r="C36" s="38"/>
      <c r="D36" s="38"/>
      <c r="E36" s="38"/>
      <c r="F36" s="39" t="str">
        <f>IF(OR('MUSIC-ARTS'!F36="",ARTS!F36="",'PE-HEALTH'!F36="",HEALTH!F36=""),"",IF(ISERROR(ROUND(AVERAGE('MUSIC-ARTS'!F36,ARTS!F36,'PE-HEALTH'!F36,HEALTH!F36),0)),"",ROUND(AVERAGE('MUSIC-ARTS'!F36,ARTS!F36,'PE-HEALTH'!F36,HEALTH!F36),0)))</f>
        <v/>
      </c>
      <c r="G36" s="40"/>
      <c r="H36" s="40"/>
      <c r="I36" s="68"/>
      <c r="J36" s="39" t="str">
        <f>IF(OR('MUSIC-ARTS'!J36="",ARTS!J36="",'PE-HEALTH'!J36="",HEALTH!J36=""),"",IF(ISERROR(ROUND(AVERAGE('MUSIC-ARTS'!J36,ARTS!J36,'PE-HEALTH'!J36,HEALTH!J36),0)),"",ROUND(AVERAGE('MUSIC-ARTS'!J36,ARTS!J36,'PE-HEALTH'!J36,HEALTH!J36),0)))</f>
        <v/>
      </c>
      <c r="K36" s="40"/>
      <c r="L36" s="40"/>
      <c r="M36" s="68"/>
      <c r="N36" s="39" t="str">
        <f>IF(OR('MUSIC-ARTS'!N36="",ARTS!N36="",'PE-HEALTH'!N36="",HEALTH!N36=""),"",IF(ISERROR(ROUND(AVERAGE('MUSIC-ARTS'!N36,ARTS!N36,'PE-HEALTH'!N36,HEALTH!N36),0)),"",ROUND(AVERAGE('MUSIC-ARTS'!N36,ARTS!N36,'PE-HEALTH'!N36,HEALTH!N36),0)))</f>
        <v/>
      </c>
      <c r="O36" s="40"/>
      <c r="P36" s="40"/>
      <c r="Q36" s="68"/>
      <c r="R36" s="39" t="str">
        <f>IF(OR('MUSIC-ARTS'!R36="",ARTS!R36="",'PE-HEALTH'!R36="",HEALTH!R36=""),"",IF(ISERROR(ROUND(AVERAGE('MUSIC-ARTS'!R36,ARTS!R36,'PE-HEALTH'!R36,HEALTH!R36),0)),"",ROUND(AVERAGE('MUSIC-ARTS'!R36,ARTS!R36,'PE-HEALTH'!R36,HEALTH!R36),0)))</f>
        <v/>
      </c>
      <c r="S36" s="40"/>
      <c r="T36" s="40"/>
      <c r="U36" s="68"/>
      <c r="V36" s="83" t="str">
        <f t="shared" si="0"/>
        <v/>
      </c>
      <c r="W36" s="83"/>
      <c r="X36" s="83"/>
      <c r="Y36" s="83"/>
      <c r="Z36" s="97" t="str">
        <f t="shared" si="1"/>
        <v/>
      </c>
      <c r="AA36" s="98"/>
      <c r="AB36" s="99"/>
    </row>
    <row r="37" ht="15" hidden="1" spans="1:28">
      <c r="A37" s="42">
        <v>26</v>
      </c>
      <c r="B37" s="33">
        <f>'INPUT DATA'!B37:D37</f>
        <v>0</v>
      </c>
      <c r="C37" s="43"/>
      <c r="D37" s="43"/>
      <c r="E37" s="44"/>
      <c r="F37" s="39" t="str">
        <f>IF(OR('MUSIC-ARTS'!F37="",ARTS!F37="",'PE-HEALTH'!F37="",HEALTH!F37=""),"",IF(ISERROR(ROUND(AVERAGE('MUSIC-ARTS'!F37,ARTS!F37,'PE-HEALTH'!F37,HEALTH!F37),0)),"",ROUND(AVERAGE('MUSIC-ARTS'!F37,ARTS!F37,'PE-HEALTH'!F37,HEALTH!F37),0)))</f>
        <v/>
      </c>
      <c r="G37" s="40"/>
      <c r="H37" s="40"/>
      <c r="I37" s="68"/>
      <c r="J37" s="39" t="str">
        <f>IF(OR('MUSIC-ARTS'!J37="",ARTS!J37="",'PE-HEALTH'!J37="",HEALTH!J37=""),"",IF(ISERROR(ROUND(AVERAGE('MUSIC-ARTS'!J37,ARTS!J37,'PE-HEALTH'!J37,HEALTH!J37),0)),"",ROUND(AVERAGE('MUSIC-ARTS'!J37,ARTS!J37,'PE-HEALTH'!J37,HEALTH!J37),0)))</f>
        <v/>
      </c>
      <c r="K37" s="40"/>
      <c r="L37" s="40"/>
      <c r="M37" s="68"/>
      <c r="N37" s="39" t="str">
        <f>IF(OR('MUSIC-ARTS'!N37="",ARTS!N37="",'PE-HEALTH'!N37="",HEALTH!N37=""),"",IF(ISERROR(ROUND(AVERAGE('MUSIC-ARTS'!N37,ARTS!N37,'PE-HEALTH'!N37,HEALTH!N37),0)),"",ROUND(AVERAGE('MUSIC-ARTS'!N37,ARTS!N37,'PE-HEALTH'!N37,HEALTH!N37),0)))</f>
        <v/>
      </c>
      <c r="O37" s="40"/>
      <c r="P37" s="40"/>
      <c r="Q37" s="68"/>
      <c r="R37" s="39" t="str">
        <f>IF(OR('MUSIC-ARTS'!R37="",ARTS!R37="",'PE-HEALTH'!R37="",HEALTH!R37=""),"",IF(ISERROR(ROUND(AVERAGE('MUSIC-ARTS'!R37,ARTS!R37,'PE-HEALTH'!R37,HEALTH!R37),0)),"",ROUND(AVERAGE('MUSIC-ARTS'!R37,ARTS!R37,'PE-HEALTH'!R37,HEALTH!R37),0)))</f>
        <v/>
      </c>
      <c r="S37" s="40"/>
      <c r="T37" s="40"/>
      <c r="U37" s="68"/>
      <c r="V37" s="83" t="str">
        <f t="shared" si="0"/>
        <v/>
      </c>
      <c r="W37" s="83"/>
      <c r="X37" s="83"/>
      <c r="Y37" s="83"/>
      <c r="Z37" s="97" t="str">
        <f t="shared" si="1"/>
        <v/>
      </c>
      <c r="AA37" s="98"/>
      <c r="AB37" s="99"/>
    </row>
    <row r="38" ht="15" hidden="1" spans="1:28">
      <c r="A38" s="42">
        <v>27</v>
      </c>
      <c r="B38" s="33">
        <f>'INPUT DATA'!B38:D38</f>
        <v>0</v>
      </c>
      <c r="C38" s="43"/>
      <c r="D38" s="43"/>
      <c r="E38" s="44"/>
      <c r="F38" s="39" t="str">
        <f>IF(OR('MUSIC-ARTS'!F38="",ARTS!F38="",'PE-HEALTH'!F38="",HEALTH!F38=""),"",IF(ISERROR(ROUND(AVERAGE('MUSIC-ARTS'!F38,ARTS!F38,'PE-HEALTH'!F38,HEALTH!F38),0)),"",ROUND(AVERAGE('MUSIC-ARTS'!F38,ARTS!F38,'PE-HEALTH'!F38,HEALTH!F38),0)))</f>
        <v/>
      </c>
      <c r="G38" s="40"/>
      <c r="H38" s="40"/>
      <c r="I38" s="68"/>
      <c r="J38" s="39" t="str">
        <f>IF(OR('MUSIC-ARTS'!J38="",ARTS!J38="",'PE-HEALTH'!J38="",HEALTH!J38=""),"",IF(ISERROR(ROUND(AVERAGE('MUSIC-ARTS'!J38,ARTS!J38,'PE-HEALTH'!J38,HEALTH!J38),0)),"",ROUND(AVERAGE('MUSIC-ARTS'!J38,ARTS!J38,'PE-HEALTH'!J38,HEALTH!J38),0)))</f>
        <v/>
      </c>
      <c r="K38" s="40"/>
      <c r="L38" s="40"/>
      <c r="M38" s="68"/>
      <c r="N38" s="39" t="str">
        <f>IF(OR('MUSIC-ARTS'!N38="",ARTS!N38="",'PE-HEALTH'!N38="",HEALTH!N38=""),"",IF(ISERROR(ROUND(AVERAGE('MUSIC-ARTS'!N38,ARTS!N38,'PE-HEALTH'!N38,HEALTH!N38),0)),"",ROUND(AVERAGE('MUSIC-ARTS'!N38,ARTS!N38,'PE-HEALTH'!N38,HEALTH!N38),0)))</f>
        <v/>
      </c>
      <c r="O38" s="40"/>
      <c r="P38" s="40"/>
      <c r="Q38" s="68"/>
      <c r="R38" s="39" t="str">
        <f>IF(OR('MUSIC-ARTS'!R38="",ARTS!R38="",'PE-HEALTH'!R38="",HEALTH!R38=""),"",IF(ISERROR(ROUND(AVERAGE('MUSIC-ARTS'!R38,ARTS!R38,'PE-HEALTH'!R38,HEALTH!R38),0)),"",ROUND(AVERAGE('MUSIC-ARTS'!R38,ARTS!R38,'PE-HEALTH'!R38,HEALTH!R38),0)))</f>
        <v/>
      </c>
      <c r="S38" s="40"/>
      <c r="T38" s="40"/>
      <c r="U38" s="68"/>
      <c r="V38" s="83" t="str">
        <f t="shared" si="0"/>
        <v/>
      </c>
      <c r="W38" s="83"/>
      <c r="X38" s="83"/>
      <c r="Y38" s="83"/>
      <c r="Z38" s="97" t="str">
        <f t="shared" si="1"/>
        <v/>
      </c>
      <c r="AA38" s="98"/>
      <c r="AB38" s="99"/>
    </row>
    <row r="39" ht="15" hidden="1" spans="1:28">
      <c r="A39" s="42">
        <v>28</v>
      </c>
      <c r="B39" s="33">
        <f>'INPUT DATA'!B39:D39</f>
        <v>0</v>
      </c>
      <c r="C39" s="43"/>
      <c r="D39" s="43"/>
      <c r="E39" s="44"/>
      <c r="F39" s="39" t="str">
        <f>IF(OR('MUSIC-ARTS'!F39="",ARTS!F39="",'PE-HEALTH'!F39="",HEALTH!F39=""),"",IF(ISERROR(ROUND(AVERAGE('MUSIC-ARTS'!F39,ARTS!F39,'PE-HEALTH'!F39,HEALTH!F39),0)),"",ROUND(AVERAGE('MUSIC-ARTS'!F39,ARTS!F39,'PE-HEALTH'!F39,HEALTH!F39),0)))</f>
        <v/>
      </c>
      <c r="G39" s="40"/>
      <c r="H39" s="40"/>
      <c r="I39" s="68"/>
      <c r="J39" s="39" t="str">
        <f>IF(OR('MUSIC-ARTS'!J39="",ARTS!J39="",'PE-HEALTH'!J39="",HEALTH!J39=""),"",IF(ISERROR(ROUND(AVERAGE('MUSIC-ARTS'!J39,ARTS!J39,'PE-HEALTH'!J39,HEALTH!J39),0)),"",ROUND(AVERAGE('MUSIC-ARTS'!J39,ARTS!J39,'PE-HEALTH'!J39,HEALTH!J39),0)))</f>
        <v/>
      </c>
      <c r="K39" s="40"/>
      <c r="L39" s="40"/>
      <c r="M39" s="68"/>
      <c r="N39" s="39" t="str">
        <f>IF(OR('MUSIC-ARTS'!N39="",ARTS!N39="",'PE-HEALTH'!N39="",HEALTH!N39=""),"",IF(ISERROR(ROUND(AVERAGE('MUSIC-ARTS'!N39,ARTS!N39,'PE-HEALTH'!N39,HEALTH!N39),0)),"",ROUND(AVERAGE('MUSIC-ARTS'!N39,ARTS!N39,'PE-HEALTH'!N39,HEALTH!N39),0)))</f>
        <v/>
      </c>
      <c r="O39" s="40"/>
      <c r="P39" s="40"/>
      <c r="Q39" s="68"/>
      <c r="R39" s="39" t="str">
        <f>IF(OR('MUSIC-ARTS'!R39="",ARTS!R39="",'PE-HEALTH'!R39="",HEALTH!R39=""),"",IF(ISERROR(ROUND(AVERAGE('MUSIC-ARTS'!R39,ARTS!R39,'PE-HEALTH'!R39,HEALTH!R39),0)),"",ROUND(AVERAGE('MUSIC-ARTS'!R39,ARTS!R39,'PE-HEALTH'!R39,HEALTH!R39),0)))</f>
        <v/>
      </c>
      <c r="S39" s="40"/>
      <c r="T39" s="40"/>
      <c r="U39" s="68"/>
      <c r="V39" s="83" t="str">
        <f t="shared" si="0"/>
        <v/>
      </c>
      <c r="W39" s="83"/>
      <c r="X39" s="83"/>
      <c r="Y39" s="83"/>
      <c r="Z39" s="97" t="str">
        <f t="shared" si="1"/>
        <v/>
      </c>
      <c r="AA39" s="98"/>
      <c r="AB39" s="99"/>
    </row>
    <row r="40" ht="15" hidden="1" spans="1:28">
      <c r="A40" s="42">
        <v>29</v>
      </c>
      <c r="B40" s="33">
        <f>'INPUT DATA'!B40:D40</f>
        <v>0</v>
      </c>
      <c r="C40" s="43"/>
      <c r="D40" s="43"/>
      <c r="E40" s="44"/>
      <c r="F40" s="39" t="str">
        <f>IF(OR('MUSIC-ARTS'!F40="",ARTS!F40="",'PE-HEALTH'!F40="",HEALTH!F40=""),"",IF(ISERROR(ROUND(AVERAGE('MUSIC-ARTS'!F40,ARTS!F40,'PE-HEALTH'!F40,HEALTH!F40),0)),"",ROUND(AVERAGE('MUSIC-ARTS'!F40,ARTS!F40,'PE-HEALTH'!F40,HEALTH!F40),0)))</f>
        <v/>
      </c>
      <c r="G40" s="40"/>
      <c r="H40" s="40"/>
      <c r="I40" s="68"/>
      <c r="J40" s="39" t="str">
        <f>IF(OR('MUSIC-ARTS'!J40="",ARTS!J40="",'PE-HEALTH'!J40="",HEALTH!J40=""),"",IF(ISERROR(ROUND(AVERAGE('MUSIC-ARTS'!J40,ARTS!J40,'PE-HEALTH'!J40,HEALTH!J40),0)),"",ROUND(AVERAGE('MUSIC-ARTS'!J40,ARTS!J40,'PE-HEALTH'!J40,HEALTH!J40),0)))</f>
        <v/>
      </c>
      <c r="K40" s="40"/>
      <c r="L40" s="40"/>
      <c r="M40" s="68"/>
      <c r="N40" s="39" t="str">
        <f>IF(OR('MUSIC-ARTS'!N40="",ARTS!N40="",'PE-HEALTH'!N40="",HEALTH!N40=""),"",IF(ISERROR(ROUND(AVERAGE('MUSIC-ARTS'!N40,ARTS!N40,'PE-HEALTH'!N40,HEALTH!N40),0)),"",ROUND(AVERAGE('MUSIC-ARTS'!N40,ARTS!N40,'PE-HEALTH'!N40,HEALTH!N40),0)))</f>
        <v/>
      </c>
      <c r="O40" s="40"/>
      <c r="P40" s="40"/>
      <c r="Q40" s="68"/>
      <c r="R40" s="39" t="str">
        <f>IF(OR('MUSIC-ARTS'!R40="",ARTS!R40="",'PE-HEALTH'!R40="",HEALTH!R40=""),"",IF(ISERROR(ROUND(AVERAGE('MUSIC-ARTS'!R40,ARTS!R40,'PE-HEALTH'!R40,HEALTH!R40),0)),"",ROUND(AVERAGE('MUSIC-ARTS'!R40,ARTS!R40,'PE-HEALTH'!R40,HEALTH!R40),0)))</f>
        <v/>
      </c>
      <c r="S40" s="40"/>
      <c r="T40" s="40"/>
      <c r="U40" s="68"/>
      <c r="V40" s="83" t="str">
        <f t="shared" si="0"/>
        <v/>
      </c>
      <c r="W40" s="83"/>
      <c r="X40" s="83"/>
      <c r="Y40" s="83"/>
      <c r="Z40" s="97" t="str">
        <f t="shared" si="1"/>
        <v/>
      </c>
      <c r="AA40" s="98"/>
      <c r="AB40" s="99"/>
    </row>
    <row r="41" ht="15" hidden="1" spans="1:28">
      <c r="A41" s="42">
        <v>30</v>
      </c>
      <c r="B41" s="33">
        <f>'INPUT DATA'!B41:D41</f>
        <v>0</v>
      </c>
      <c r="C41" s="43"/>
      <c r="D41" s="43"/>
      <c r="E41" s="44"/>
      <c r="F41" s="39" t="str">
        <f>IF(OR('MUSIC-ARTS'!F41="",ARTS!F41="",'PE-HEALTH'!F41="",HEALTH!F41=""),"",IF(ISERROR(ROUND(AVERAGE('MUSIC-ARTS'!F41,ARTS!F41,'PE-HEALTH'!F41,HEALTH!F41),0)),"",ROUND(AVERAGE('MUSIC-ARTS'!F41,ARTS!F41,'PE-HEALTH'!F41,HEALTH!F41),0)))</f>
        <v/>
      </c>
      <c r="G41" s="40"/>
      <c r="H41" s="40"/>
      <c r="I41" s="68"/>
      <c r="J41" s="39" t="str">
        <f>IF(OR('MUSIC-ARTS'!J41="",ARTS!J41="",'PE-HEALTH'!J41="",HEALTH!J41=""),"",IF(ISERROR(ROUND(AVERAGE('MUSIC-ARTS'!J41,ARTS!J41,'PE-HEALTH'!J41,HEALTH!J41),0)),"",ROUND(AVERAGE('MUSIC-ARTS'!J41,ARTS!J41,'PE-HEALTH'!J41,HEALTH!J41),0)))</f>
        <v/>
      </c>
      <c r="K41" s="40"/>
      <c r="L41" s="40"/>
      <c r="M41" s="68"/>
      <c r="N41" s="39" t="str">
        <f>IF(OR('MUSIC-ARTS'!N41="",ARTS!N41="",'PE-HEALTH'!N41="",HEALTH!N41=""),"",IF(ISERROR(ROUND(AVERAGE('MUSIC-ARTS'!N41,ARTS!N41,'PE-HEALTH'!N41,HEALTH!N41),0)),"",ROUND(AVERAGE('MUSIC-ARTS'!N41,ARTS!N41,'PE-HEALTH'!N41,HEALTH!N41),0)))</f>
        <v/>
      </c>
      <c r="O41" s="40"/>
      <c r="P41" s="40"/>
      <c r="Q41" s="68"/>
      <c r="R41" s="39" t="str">
        <f>IF(OR('MUSIC-ARTS'!R41="",ARTS!R41="",'PE-HEALTH'!R41="",HEALTH!R41=""),"",IF(ISERROR(ROUND(AVERAGE('MUSIC-ARTS'!R41,ARTS!R41,'PE-HEALTH'!R41,HEALTH!R41),0)),"",ROUND(AVERAGE('MUSIC-ARTS'!R41,ARTS!R41,'PE-HEALTH'!R41,HEALTH!R41),0)))</f>
        <v/>
      </c>
      <c r="S41" s="40"/>
      <c r="T41" s="40"/>
      <c r="U41" s="68"/>
      <c r="V41" s="83" t="str">
        <f t="shared" si="0"/>
        <v/>
      </c>
      <c r="W41" s="83"/>
      <c r="X41" s="83"/>
      <c r="Y41" s="83"/>
      <c r="Z41" s="97" t="str">
        <f t="shared" si="1"/>
        <v/>
      </c>
      <c r="AA41" s="98"/>
      <c r="AB41" s="99"/>
    </row>
    <row r="42" ht="15" hidden="1" spans="1:28">
      <c r="A42" s="42">
        <v>31</v>
      </c>
      <c r="B42" s="33">
        <f>'INPUT DATA'!B42:D42</f>
        <v>0</v>
      </c>
      <c r="C42" s="43"/>
      <c r="D42" s="43"/>
      <c r="E42" s="44"/>
      <c r="F42" s="39" t="str">
        <f>IF(OR('MUSIC-ARTS'!F42="",ARTS!F42="",'PE-HEALTH'!F42="",HEALTH!F42=""),"",IF(ISERROR(ROUND(AVERAGE('MUSIC-ARTS'!F42,ARTS!F42,'PE-HEALTH'!F42,HEALTH!F42),0)),"",ROUND(AVERAGE('MUSIC-ARTS'!F42,ARTS!F42,'PE-HEALTH'!F42,HEALTH!F42),0)))</f>
        <v/>
      </c>
      <c r="G42" s="40"/>
      <c r="H42" s="40"/>
      <c r="I42" s="68"/>
      <c r="J42" s="39" t="str">
        <f>IF(OR('MUSIC-ARTS'!J42="",ARTS!J42="",'PE-HEALTH'!J42="",HEALTH!J42=""),"",IF(ISERROR(ROUND(AVERAGE('MUSIC-ARTS'!J42,ARTS!J42,'PE-HEALTH'!J42,HEALTH!J42),0)),"",ROUND(AVERAGE('MUSIC-ARTS'!J42,ARTS!J42,'PE-HEALTH'!J42,HEALTH!J42),0)))</f>
        <v/>
      </c>
      <c r="K42" s="40"/>
      <c r="L42" s="40"/>
      <c r="M42" s="68"/>
      <c r="N42" s="39" t="str">
        <f>IF(OR('MUSIC-ARTS'!N42="",ARTS!N42="",'PE-HEALTH'!N42="",HEALTH!N42=""),"",IF(ISERROR(ROUND(AVERAGE('MUSIC-ARTS'!N42,ARTS!N42,'PE-HEALTH'!N42,HEALTH!N42),0)),"",ROUND(AVERAGE('MUSIC-ARTS'!N42,ARTS!N42,'PE-HEALTH'!N42,HEALTH!N42),0)))</f>
        <v/>
      </c>
      <c r="O42" s="40"/>
      <c r="P42" s="40"/>
      <c r="Q42" s="68"/>
      <c r="R42" s="39" t="str">
        <f>IF(OR('MUSIC-ARTS'!R42="",ARTS!R42="",'PE-HEALTH'!R42="",HEALTH!R42=""),"",IF(ISERROR(ROUND(AVERAGE('MUSIC-ARTS'!R42,ARTS!R42,'PE-HEALTH'!R42,HEALTH!R42),0)),"",ROUND(AVERAGE('MUSIC-ARTS'!R42,ARTS!R42,'PE-HEALTH'!R42,HEALTH!R42),0)))</f>
        <v/>
      </c>
      <c r="S42" s="40"/>
      <c r="T42" s="40"/>
      <c r="U42" s="68"/>
      <c r="V42" s="83" t="str">
        <f t="shared" si="0"/>
        <v/>
      </c>
      <c r="W42" s="83"/>
      <c r="X42" s="83"/>
      <c r="Y42" s="83"/>
      <c r="Z42" s="97" t="str">
        <f t="shared" si="1"/>
        <v/>
      </c>
      <c r="AA42" s="98"/>
      <c r="AB42" s="99"/>
    </row>
    <row r="43" ht="15" hidden="1" spans="1:28">
      <c r="A43" s="42">
        <v>32</v>
      </c>
      <c r="B43" s="45">
        <f>'INPUT DATA'!B43:D43</f>
        <v>0</v>
      </c>
      <c r="C43" s="43"/>
      <c r="D43" s="43"/>
      <c r="E43" s="44"/>
      <c r="F43" s="39" t="str">
        <f>IF(OR('MUSIC-ARTS'!F43="",ARTS!F43="",'PE-HEALTH'!F43="",HEALTH!F43=""),"",IF(ISERROR(ROUND(AVERAGE('MUSIC-ARTS'!F43,ARTS!F43,'PE-HEALTH'!F43,HEALTH!F43),0)),"",ROUND(AVERAGE('MUSIC-ARTS'!F43,ARTS!F43,'PE-HEALTH'!F43,HEALTH!F43),0)))</f>
        <v/>
      </c>
      <c r="G43" s="40"/>
      <c r="H43" s="40"/>
      <c r="I43" s="68"/>
      <c r="J43" s="39" t="str">
        <f>IF(OR('MUSIC-ARTS'!J43="",ARTS!J43="",'PE-HEALTH'!J43="",HEALTH!J43=""),"",IF(ISERROR(ROUND(AVERAGE('MUSIC-ARTS'!J43,ARTS!J43,'PE-HEALTH'!J43,HEALTH!J43),0)),"",ROUND(AVERAGE('MUSIC-ARTS'!J43,ARTS!J43,'PE-HEALTH'!J43,HEALTH!J43),0)))</f>
        <v/>
      </c>
      <c r="K43" s="40"/>
      <c r="L43" s="40"/>
      <c r="M43" s="68"/>
      <c r="N43" s="39" t="str">
        <f>IF(OR('MUSIC-ARTS'!N43="",ARTS!N43="",'PE-HEALTH'!N43="",HEALTH!N43=""),"",IF(ISERROR(ROUND(AVERAGE('MUSIC-ARTS'!N43,ARTS!N43,'PE-HEALTH'!N43,HEALTH!N43),0)),"",ROUND(AVERAGE('MUSIC-ARTS'!N43,ARTS!N43,'PE-HEALTH'!N43,HEALTH!N43),0)))</f>
        <v/>
      </c>
      <c r="O43" s="40"/>
      <c r="P43" s="40"/>
      <c r="Q43" s="68"/>
      <c r="R43" s="39" t="str">
        <f>IF(OR('MUSIC-ARTS'!R43="",ARTS!R43="",'PE-HEALTH'!R43="",HEALTH!R43=""),"",IF(ISERROR(ROUND(AVERAGE('MUSIC-ARTS'!R43,ARTS!R43,'PE-HEALTH'!R43,HEALTH!R43),0)),"",ROUND(AVERAGE('MUSIC-ARTS'!R43,ARTS!R43,'PE-HEALTH'!R43,HEALTH!R43),0)))</f>
        <v/>
      </c>
      <c r="S43" s="40"/>
      <c r="T43" s="40"/>
      <c r="U43" s="68"/>
      <c r="V43" s="83" t="str">
        <f t="shared" si="0"/>
        <v/>
      </c>
      <c r="W43" s="83"/>
      <c r="X43" s="83"/>
      <c r="Y43" s="83"/>
      <c r="Z43" s="97" t="str">
        <f t="shared" si="1"/>
        <v/>
      </c>
      <c r="AA43" s="98"/>
      <c r="AB43" s="99"/>
    </row>
    <row r="44" ht="15" hidden="1" spans="1:28">
      <c r="A44" s="42">
        <v>33</v>
      </c>
      <c r="B44" s="46">
        <f>'INPUT DATA'!B44:D44</f>
        <v>0</v>
      </c>
      <c r="C44" s="43"/>
      <c r="D44" s="43"/>
      <c r="E44" s="44"/>
      <c r="F44" s="39" t="str">
        <f>IF(OR('MUSIC-ARTS'!F44="",ARTS!F44="",'PE-HEALTH'!F44="",HEALTH!F44=""),"",IF(ISERROR(ROUND(AVERAGE('MUSIC-ARTS'!F44,ARTS!F44,'PE-HEALTH'!F44,HEALTH!F44),0)),"",ROUND(AVERAGE('MUSIC-ARTS'!F44,ARTS!F44,'PE-HEALTH'!F44,HEALTH!F44),0)))</f>
        <v/>
      </c>
      <c r="G44" s="40"/>
      <c r="H44" s="40"/>
      <c r="I44" s="68"/>
      <c r="J44" s="39" t="str">
        <f>IF(OR('MUSIC-ARTS'!J44="",ARTS!J44="",'PE-HEALTH'!J44="",HEALTH!J44=""),"",IF(ISERROR(ROUND(AVERAGE('MUSIC-ARTS'!J44,ARTS!J44,'PE-HEALTH'!J44,HEALTH!J44),0)),"",ROUND(AVERAGE('MUSIC-ARTS'!J44,ARTS!J44,'PE-HEALTH'!J44,HEALTH!J44),0)))</f>
        <v/>
      </c>
      <c r="K44" s="40"/>
      <c r="L44" s="40"/>
      <c r="M44" s="68"/>
      <c r="N44" s="39" t="str">
        <f>IF(OR('MUSIC-ARTS'!N44="",ARTS!N44="",'PE-HEALTH'!N44="",HEALTH!N44=""),"",IF(ISERROR(ROUND(AVERAGE('MUSIC-ARTS'!N44,ARTS!N44,'PE-HEALTH'!N44,HEALTH!N44),0)),"",ROUND(AVERAGE('MUSIC-ARTS'!N44,ARTS!N44,'PE-HEALTH'!N44,HEALTH!N44),0)))</f>
        <v/>
      </c>
      <c r="O44" s="40"/>
      <c r="P44" s="40"/>
      <c r="Q44" s="68"/>
      <c r="R44" s="39" t="str">
        <f>IF(OR('MUSIC-ARTS'!R44="",ARTS!R44="",'PE-HEALTH'!R44="",HEALTH!R44=""),"",IF(ISERROR(ROUND(AVERAGE('MUSIC-ARTS'!R44,ARTS!R44,'PE-HEALTH'!R44,HEALTH!R44),0)),"",ROUND(AVERAGE('MUSIC-ARTS'!R44,ARTS!R44,'PE-HEALTH'!R44,HEALTH!R44),0)))</f>
        <v/>
      </c>
      <c r="S44" s="40"/>
      <c r="T44" s="40"/>
      <c r="U44" s="68"/>
      <c r="V44" s="83" t="str">
        <f t="shared" si="0"/>
        <v/>
      </c>
      <c r="W44" s="83"/>
      <c r="X44" s="83"/>
      <c r="Y44" s="83"/>
      <c r="Z44" s="97" t="str">
        <f t="shared" si="1"/>
        <v/>
      </c>
      <c r="AA44" s="98"/>
      <c r="AB44" s="99"/>
    </row>
    <row r="45" ht="15" hidden="1" spans="1:28">
      <c r="A45" s="42">
        <v>34</v>
      </c>
      <c r="B45" s="47">
        <f>'INPUT DATA'!B45:D45</f>
        <v>0</v>
      </c>
      <c r="C45" s="43"/>
      <c r="D45" s="43"/>
      <c r="E45" s="44"/>
      <c r="F45" s="39" t="str">
        <f>IF(OR('MUSIC-ARTS'!F45="",ARTS!F45="",'PE-HEALTH'!F45="",HEALTH!F45=""),"",IF(ISERROR(ROUND(AVERAGE('MUSIC-ARTS'!F45,ARTS!F45,'PE-HEALTH'!F45,HEALTH!F45),0)),"",ROUND(AVERAGE('MUSIC-ARTS'!F45,ARTS!F45,'PE-HEALTH'!F45,HEALTH!F45),0)))</f>
        <v/>
      </c>
      <c r="G45" s="40"/>
      <c r="H45" s="40"/>
      <c r="I45" s="68"/>
      <c r="J45" s="39" t="str">
        <f>IF(OR('MUSIC-ARTS'!J45="",ARTS!J45="",'PE-HEALTH'!J45="",HEALTH!J45=""),"",IF(ISERROR(ROUND(AVERAGE('MUSIC-ARTS'!J45,ARTS!J45,'PE-HEALTH'!J45,HEALTH!J45),0)),"",ROUND(AVERAGE('MUSIC-ARTS'!J45,ARTS!J45,'PE-HEALTH'!J45,HEALTH!J45),0)))</f>
        <v/>
      </c>
      <c r="K45" s="40"/>
      <c r="L45" s="40"/>
      <c r="M45" s="68"/>
      <c r="N45" s="39" t="str">
        <f>IF(OR('MUSIC-ARTS'!N45="",ARTS!N45="",'PE-HEALTH'!N45="",HEALTH!N45=""),"",IF(ISERROR(ROUND(AVERAGE('MUSIC-ARTS'!N45,ARTS!N45,'PE-HEALTH'!N45,HEALTH!N45),0)),"",ROUND(AVERAGE('MUSIC-ARTS'!N45,ARTS!N45,'PE-HEALTH'!N45,HEALTH!N45),0)))</f>
        <v/>
      </c>
      <c r="O45" s="40"/>
      <c r="P45" s="40"/>
      <c r="Q45" s="68"/>
      <c r="R45" s="39" t="str">
        <f>IF(OR('MUSIC-ARTS'!R45="",ARTS!R45="",'PE-HEALTH'!R45="",HEALTH!R45=""),"",IF(ISERROR(ROUND(AVERAGE('MUSIC-ARTS'!R45,ARTS!R45,'PE-HEALTH'!R45,HEALTH!R45),0)),"",ROUND(AVERAGE('MUSIC-ARTS'!R45,ARTS!R45,'PE-HEALTH'!R45,HEALTH!R45),0)))</f>
        <v/>
      </c>
      <c r="S45" s="40"/>
      <c r="T45" s="40"/>
      <c r="U45" s="68"/>
      <c r="V45" s="83" t="str">
        <f t="shared" si="0"/>
        <v/>
      </c>
      <c r="W45" s="83"/>
      <c r="X45" s="83"/>
      <c r="Y45" s="83"/>
      <c r="Z45" s="97" t="str">
        <f t="shared" si="1"/>
        <v/>
      </c>
      <c r="AA45" s="98"/>
      <c r="AB45" s="99"/>
    </row>
    <row r="46" ht="15" hidden="1" spans="1:28">
      <c r="A46" s="42">
        <v>35</v>
      </c>
      <c r="B46" s="45">
        <f>'INPUT DATA'!B46:D46</f>
        <v>0</v>
      </c>
      <c r="C46" s="43"/>
      <c r="D46" s="43"/>
      <c r="E46" s="44"/>
      <c r="F46" s="39" t="str">
        <f>IF(OR('MUSIC-ARTS'!F46="",ARTS!F46="",'PE-HEALTH'!F46="",HEALTH!F46=""),"",IF(ISERROR(ROUND(AVERAGE('MUSIC-ARTS'!F46,ARTS!F46,'PE-HEALTH'!F46,HEALTH!F46),0)),"",ROUND(AVERAGE('MUSIC-ARTS'!F46,ARTS!F46,'PE-HEALTH'!F46,HEALTH!F46),0)))</f>
        <v/>
      </c>
      <c r="G46" s="40"/>
      <c r="H46" s="40"/>
      <c r="I46" s="68"/>
      <c r="J46" s="39" t="str">
        <f>IF(OR('MUSIC-ARTS'!J46="",ARTS!J46="",'PE-HEALTH'!J46="",HEALTH!J46=""),"",IF(ISERROR(ROUND(AVERAGE('MUSIC-ARTS'!J46,ARTS!J46,'PE-HEALTH'!J46,HEALTH!J46),0)),"",ROUND(AVERAGE('MUSIC-ARTS'!J46,ARTS!J46,'PE-HEALTH'!J46,HEALTH!J46),0)))</f>
        <v/>
      </c>
      <c r="K46" s="40"/>
      <c r="L46" s="40"/>
      <c r="M46" s="68"/>
      <c r="N46" s="39" t="str">
        <f>IF(OR('MUSIC-ARTS'!N46="",ARTS!N46="",'PE-HEALTH'!N46="",HEALTH!N46=""),"",IF(ISERROR(ROUND(AVERAGE('MUSIC-ARTS'!N46,ARTS!N46,'PE-HEALTH'!N46,HEALTH!N46),0)),"",ROUND(AVERAGE('MUSIC-ARTS'!N46,ARTS!N46,'PE-HEALTH'!N46,HEALTH!N46),0)))</f>
        <v/>
      </c>
      <c r="O46" s="40"/>
      <c r="P46" s="40"/>
      <c r="Q46" s="68"/>
      <c r="R46" s="39" t="str">
        <f>IF(OR('MUSIC-ARTS'!R46="",ARTS!R46="",'PE-HEALTH'!R46="",HEALTH!R46=""),"",IF(ISERROR(ROUND(AVERAGE('MUSIC-ARTS'!R46,ARTS!R46,'PE-HEALTH'!R46,HEALTH!R46),0)),"",ROUND(AVERAGE('MUSIC-ARTS'!R46,ARTS!R46,'PE-HEALTH'!R46,HEALTH!R46),0)))</f>
        <v/>
      </c>
      <c r="S46" s="40"/>
      <c r="T46" s="40"/>
      <c r="U46" s="68"/>
      <c r="V46" s="83" t="str">
        <f t="shared" si="0"/>
        <v/>
      </c>
      <c r="W46" s="83"/>
      <c r="X46" s="83"/>
      <c r="Y46" s="83"/>
      <c r="Z46" s="97" t="str">
        <f t="shared" si="1"/>
        <v/>
      </c>
      <c r="AA46" s="98"/>
      <c r="AB46" s="99"/>
    </row>
    <row r="47" ht="15" hidden="1" spans="1:28">
      <c r="A47" s="42">
        <v>36</v>
      </c>
      <c r="B47" s="46">
        <f>'INPUT DATA'!B47:D47</f>
        <v>0</v>
      </c>
      <c r="C47" s="43"/>
      <c r="D47" s="43"/>
      <c r="E47" s="44"/>
      <c r="F47" s="39" t="str">
        <f>IF(OR('MUSIC-ARTS'!F47="",ARTS!F47="",'PE-HEALTH'!F47="",HEALTH!F47=""),"",IF(ISERROR(ROUND(AVERAGE('MUSIC-ARTS'!F47,ARTS!F47,'PE-HEALTH'!F47,HEALTH!F47),0)),"",ROUND(AVERAGE('MUSIC-ARTS'!F47,ARTS!F47,'PE-HEALTH'!F47,HEALTH!F47),0)))</f>
        <v/>
      </c>
      <c r="G47" s="40"/>
      <c r="H47" s="40"/>
      <c r="I47" s="68"/>
      <c r="J47" s="39" t="str">
        <f>IF(OR('MUSIC-ARTS'!J47="",ARTS!J47="",'PE-HEALTH'!J47="",HEALTH!J47=""),"",IF(ISERROR(ROUND(AVERAGE('MUSIC-ARTS'!J47,ARTS!J47,'PE-HEALTH'!J47,HEALTH!J47),0)),"",ROUND(AVERAGE('MUSIC-ARTS'!J47,ARTS!J47,'PE-HEALTH'!J47,HEALTH!J47),0)))</f>
        <v/>
      </c>
      <c r="K47" s="40"/>
      <c r="L47" s="40"/>
      <c r="M47" s="68"/>
      <c r="N47" s="39" t="str">
        <f>IF(OR('MUSIC-ARTS'!N47="",ARTS!N47="",'PE-HEALTH'!N47="",HEALTH!N47=""),"",IF(ISERROR(ROUND(AVERAGE('MUSIC-ARTS'!N47,ARTS!N47,'PE-HEALTH'!N47,HEALTH!N47),0)),"",ROUND(AVERAGE('MUSIC-ARTS'!N47,ARTS!N47,'PE-HEALTH'!N47,HEALTH!N47),0)))</f>
        <v/>
      </c>
      <c r="O47" s="40"/>
      <c r="P47" s="40"/>
      <c r="Q47" s="68"/>
      <c r="R47" s="39" t="str">
        <f>IF(OR('MUSIC-ARTS'!R47="",ARTS!R47="",'PE-HEALTH'!R47="",HEALTH!R47=""),"",IF(ISERROR(ROUND(AVERAGE('MUSIC-ARTS'!R47,ARTS!R47,'PE-HEALTH'!R47,HEALTH!R47),0)),"",ROUND(AVERAGE('MUSIC-ARTS'!R47,ARTS!R47,'PE-HEALTH'!R47,HEALTH!R47),0)))</f>
        <v/>
      </c>
      <c r="S47" s="40"/>
      <c r="T47" s="40"/>
      <c r="U47" s="68"/>
      <c r="V47" s="83" t="str">
        <f t="shared" si="0"/>
        <v/>
      </c>
      <c r="W47" s="83"/>
      <c r="X47" s="83"/>
      <c r="Y47" s="83"/>
      <c r="Z47" s="97" t="str">
        <f t="shared" si="1"/>
        <v/>
      </c>
      <c r="AA47" s="98"/>
      <c r="AB47" s="99"/>
    </row>
    <row r="48" ht="15" hidden="1" spans="1:28">
      <c r="A48" s="42">
        <v>37</v>
      </c>
      <c r="B48" s="47">
        <f>'INPUT DATA'!B48:D48</f>
        <v>0</v>
      </c>
      <c r="C48" s="43"/>
      <c r="D48" s="43"/>
      <c r="E48" s="44"/>
      <c r="F48" s="39" t="str">
        <f>IF(OR('MUSIC-ARTS'!F48="",ARTS!F48="",'PE-HEALTH'!F48="",HEALTH!F48=""),"",IF(ISERROR(ROUND(AVERAGE('MUSIC-ARTS'!F48,ARTS!F48,'PE-HEALTH'!F48,HEALTH!F48),0)),"",ROUND(AVERAGE('MUSIC-ARTS'!F48,ARTS!F48,'PE-HEALTH'!F48,HEALTH!F48),0)))</f>
        <v/>
      </c>
      <c r="G48" s="40"/>
      <c r="H48" s="40"/>
      <c r="I48" s="68"/>
      <c r="J48" s="39" t="str">
        <f>IF(OR('MUSIC-ARTS'!J48="",ARTS!J48="",'PE-HEALTH'!J48="",HEALTH!J48=""),"",IF(ISERROR(ROUND(AVERAGE('MUSIC-ARTS'!J48,ARTS!J48,'PE-HEALTH'!J48,HEALTH!J48),0)),"",ROUND(AVERAGE('MUSIC-ARTS'!J48,ARTS!J48,'PE-HEALTH'!J48,HEALTH!J48),0)))</f>
        <v/>
      </c>
      <c r="K48" s="40"/>
      <c r="L48" s="40"/>
      <c r="M48" s="68"/>
      <c r="N48" s="39" t="str">
        <f>IF(OR('MUSIC-ARTS'!N48="",ARTS!N48="",'PE-HEALTH'!N48="",HEALTH!N48=""),"",IF(ISERROR(ROUND(AVERAGE('MUSIC-ARTS'!N48,ARTS!N48,'PE-HEALTH'!N48,HEALTH!N48),0)),"",ROUND(AVERAGE('MUSIC-ARTS'!N48,ARTS!N48,'PE-HEALTH'!N48,HEALTH!N48),0)))</f>
        <v/>
      </c>
      <c r="O48" s="40"/>
      <c r="P48" s="40"/>
      <c r="Q48" s="68"/>
      <c r="R48" s="39" t="str">
        <f>IF(OR('MUSIC-ARTS'!R48="",ARTS!R48="",'PE-HEALTH'!R48="",HEALTH!R48=""),"",IF(ISERROR(ROUND(AVERAGE('MUSIC-ARTS'!R48,ARTS!R48,'PE-HEALTH'!R48,HEALTH!R48),0)),"",ROUND(AVERAGE('MUSIC-ARTS'!R48,ARTS!R48,'PE-HEALTH'!R48,HEALTH!R48),0)))</f>
        <v/>
      </c>
      <c r="S48" s="40"/>
      <c r="T48" s="40"/>
      <c r="U48" s="68"/>
      <c r="V48" s="83" t="str">
        <f t="shared" si="0"/>
        <v/>
      </c>
      <c r="W48" s="83"/>
      <c r="X48" s="83"/>
      <c r="Y48" s="83"/>
      <c r="Z48" s="97" t="str">
        <f t="shared" si="1"/>
        <v/>
      </c>
      <c r="AA48" s="98"/>
      <c r="AB48" s="99"/>
    </row>
    <row r="49" ht="15" hidden="1" spans="1:28">
      <c r="A49" s="42">
        <v>38</v>
      </c>
      <c r="B49" s="33">
        <f>'INPUT DATA'!B49:D49</f>
        <v>0</v>
      </c>
      <c r="C49" s="43"/>
      <c r="D49" s="43"/>
      <c r="E49" s="44"/>
      <c r="F49" s="39" t="str">
        <f>IF(OR('MUSIC-ARTS'!F49="",ARTS!F49="",'PE-HEALTH'!F49="",HEALTH!F49=""),"",IF(ISERROR(ROUND(AVERAGE('MUSIC-ARTS'!F49,ARTS!F49,'PE-HEALTH'!F49,HEALTH!F49),0)),"",ROUND(AVERAGE('MUSIC-ARTS'!F49,ARTS!F49,'PE-HEALTH'!F49,HEALTH!F49),0)))</f>
        <v/>
      </c>
      <c r="G49" s="40"/>
      <c r="H49" s="40"/>
      <c r="I49" s="68"/>
      <c r="J49" s="39" t="str">
        <f>IF(OR('MUSIC-ARTS'!J49="",ARTS!J49="",'PE-HEALTH'!J49="",HEALTH!J49=""),"",IF(ISERROR(ROUND(AVERAGE('MUSIC-ARTS'!J49,ARTS!J49,'PE-HEALTH'!J49,HEALTH!J49),0)),"",ROUND(AVERAGE('MUSIC-ARTS'!J49,ARTS!J49,'PE-HEALTH'!J49,HEALTH!J49),0)))</f>
        <v/>
      </c>
      <c r="K49" s="40"/>
      <c r="L49" s="40"/>
      <c r="M49" s="68"/>
      <c r="N49" s="39" t="str">
        <f>IF(OR('MUSIC-ARTS'!N49="",ARTS!N49="",'PE-HEALTH'!N49="",HEALTH!N49=""),"",IF(ISERROR(ROUND(AVERAGE('MUSIC-ARTS'!N49,ARTS!N49,'PE-HEALTH'!N49,HEALTH!N49),0)),"",ROUND(AVERAGE('MUSIC-ARTS'!N49,ARTS!N49,'PE-HEALTH'!N49,HEALTH!N49),0)))</f>
        <v/>
      </c>
      <c r="O49" s="40"/>
      <c r="P49" s="40"/>
      <c r="Q49" s="68"/>
      <c r="R49" s="39" t="str">
        <f>IF(OR('MUSIC-ARTS'!R49="",ARTS!R49="",'PE-HEALTH'!R49="",HEALTH!R49=""),"",IF(ISERROR(ROUND(AVERAGE('MUSIC-ARTS'!R49,ARTS!R49,'PE-HEALTH'!R49,HEALTH!R49),0)),"",ROUND(AVERAGE('MUSIC-ARTS'!R49,ARTS!R49,'PE-HEALTH'!R49,HEALTH!R49),0)))</f>
        <v/>
      </c>
      <c r="S49" s="40"/>
      <c r="T49" s="40"/>
      <c r="U49" s="68"/>
      <c r="V49" s="83" t="str">
        <f t="shared" si="0"/>
        <v/>
      </c>
      <c r="W49" s="83"/>
      <c r="X49" s="83"/>
      <c r="Y49" s="83"/>
      <c r="Z49" s="97" t="str">
        <f t="shared" si="1"/>
        <v/>
      </c>
      <c r="AA49" s="98"/>
      <c r="AB49" s="99"/>
    </row>
    <row r="50" ht="15.75" hidden="1" spans="1:28">
      <c r="A50" s="42">
        <v>39</v>
      </c>
      <c r="B50" s="33">
        <f>'INPUT DATA'!B50:D50</f>
        <v>0</v>
      </c>
      <c r="C50" s="48"/>
      <c r="D50" s="48"/>
      <c r="E50" s="49"/>
      <c r="F50" s="39" t="str">
        <f>IF(OR('MUSIC-ARTS'!F50="",ARTS!F50="",'PE-HEALTH'!F50="",HEALTH!F50=""),"",IF(ISERROR(ROUND(AVERAGE('MUSIC-ARTS'!F50,ARTS!F50,'PE-HEALTH'!F50,HEALTH!F50),0)),"",ROUND(AVERAGE('MUSIC-ARTS'!F50,ARTS!F50,'PE-HEALTH'!F50,HEALTH!F50),0)))</f>
        <v/>
      </c>
      <c r="G50" s="40"/>
      <c r="H50" s="40"/>
      <c r="I50" s="68"/>
      <c r="J50" s="39" t="str">
        <f>IF(OR('MUSIC-ARTS'!J50="",ARTS!J50="",'PE-HEALTH'!J50="",HEALTH!J50=""),"",IF(ISERROR(ROUND(AVERAGE('MUSIC-ARTS'!J50,ARTS!J50,'PE-HEALTH'!J50,HEALTH!J50),0)),"",ROUND(AVERAGE('MUSIC-ARTS'!J50,ARTS!J50,'PE-HEALTH'!J50,HEALTH!J50),0)))</f>
        <v/>
      </c>
      <c r="K50" s="40"/>
      <c r="L50" s="40"/>
      <c r="M50" s="68"/>
      <c r="N50" s="39" t="str">
        <f>IF(OR('MUSIC-ARTS'!N50="",ARTS!N50="",'PE-HEALTH'!N50="",HEALTH!N50=""),"",IF(ISERROR(ROUND(AVERAGE('MUSIC-ARTS'!N50,ARTS!N50,'PE-HEALTH'!N50,HEALTH!N50),0)),"",ROUND(AVERAGE('MUSIC-ARTS'!N50,ARTS!N50,'PE-HEALTH'!N50,HEALTH!N50),0)))</f>
        <v/>
      </c>
      <c r="O50" s="40"/>
      <c r="P50" s="40"/>
      <c r="Q50" s="68"/>
      <c r="R50" s="39" t="str">
        <f>IF(OR('MUSIC-ARTS'!R50="",ARTS!R50="",'PE-HEALTH'!R50="",HEALTH!R50=""),"",IF(ISERROR(ROUND(AVERAGE('MUSIC-ARTS'!R50,ARTS!R50,'PE-HEALTH'!R50,HEALTH!R50),0)),"",ROUND(AVERAGE('MUSIC-ARTS'!R50,ARTS!R50,'PE-HEALTH'!R50,HEALTH!R50),0)))</f>
        <v/>
      </c>
      <c r="S50" s="40"/>
      <c r="T50" s="40"/>
      <c r="U50" s="68"/>
      <c r="V50" s="83" t="str">
        <f t="shared" si="0"/>
        <v/>
      </c>
      <c r="W50" s="83"/>
      <c r="X50" s="83"/>
      <c r="Y50" s="83"/>
      <c r="Z50" s="97" t="str">
        <f t="shared" si="1"/>
        <v/>
      </c>
      <c r="AA50" s="98"/>
      <c r="AB50" s="99"/>
    </row>
    <row r="51" ht="15.75" spans="1:28">
      <c r="A51" s="27"/>
      <c r="B51" s="28" t="s">
        <v>39</v>
      </c>
      <c r="C51" s="29"/>
      <c r="D51" s="29"/>
      <c r="E51" s="50"/>
      <c r="F51" s="51"/>
      <c r="G51" s="52"/>
      <c r="H51" s="52"/>
      <c r="I51" s="69"/>
      <c r="J51" s="70" t="str">
        <f>IF(OR('MUSIC-ARTS'!J51="",ARTS!J51="",'PE-HEALTH'!J51="",HEALTH!J51=""),"",IF(ISERROR(ROUND(AVERAGE('MUSIC-ARTS'!J51,ARTS!J51,'PE-HEALTH'!J51,HEALTH!J51),0)),"",ROUND(AVERAGE('MUSIC-ARTS'!J51,ARTS!J51,'PE-HEALTH'!J51,HEALTH!J51),0)))</f>
        <v/>
      </c>
      <c r="K51" s="71"/>
      <c r="L51" s="71"/>
      <c r="M51" s="72"/>
      <c r="N51" s="51"/>
      <c r="O51" s="52"/>
      <c r="P51" s="52"/>
      <c r="Q51" s="69"/>
      <c r="R51" s="51"/>
      <c r="S51" s="52"/>
      <c r="T51" s="52"/>
      <c r="U51" s="69"/>
      <c r="V51" s="84" t="str">
        <f t="shared" si="0"/>
        <v/>
      </c>
      <c r="W51" s="85"/>
      <c r="X51" s="85"/>
      <c r="Y51" s="100"/>
      <c r="Z51" s="101" t="str">
        <f t="shared" si="1"/>
        <v/>
      </c>
      <c r="AA51" s="102"/>
      <c r="AB51" s="103"/>
    </row>
    <row r="52" ht="15" spans="1:28">
      <c r="A52" s="32">
        <v>1</v>
      </c>
      <c r="B52" s="33" t="str">
        <f>'INPUT DATA'!B53:D53</f>
        <v>ANGCOY, PRINCESS NAILLE T.</v>
      </c>
      <c r="C52" s="34"/>
      <c r="D52" s="34"/>
      <c r="E52" s="53"/>
      <c r="F52" s="54" t="str">
        <f>IF(OR('MUSIC-ARTS'!F52="",ARTS!F52="",'PE-HEALTH'!F52="",HEALTH!F52=""),"",IF(ISERROR(ROUND(AVERAGE('MUSIC-ARTS'!F52,ARTS!F52,'PE-HEALTH'!F52,HEALTH!F52),0)),"",ROUND(AVERAGE('MUSIC-ARTS'!F52,ARTS!F52,'PE-HEALTH'!F52,HEALTH!F52),0)))</f>
        <v/>
      </c>
      <c r="G52" s="55"/>
      <c r="H52" s="55"/>
      <c r="I52" s="73"/>
      <c r="J52" s="54" t="str">
        <f>IF(OR('MUSIC-ARTS'!J52="",ARTS!J52="",'PE-HEALTH'!J52="",HEALTH!J52=""),"",IF(ISERROR(ROUND(AVERAGE('MUSIC-ARTS'!J52,ARTS!J52,'PE-HEALTH'!J52,HEALTH!J52),0)),"",ROUND(AVERAGE('MUSIC-ARTS'!J52,ARTS!J52,'PE-HEALTH'!J52,HEALTH!J52),0)))</f>
        <v/>
      </c>
      <c r="K52" s="55"/>
      <c r="L52" s="55"/>
      <c r="M52" s="73"/>
      <c r="N52" s="54" t="str">
        <f>IF(OR('MUSIC-ARTS'!N52="",ARTS!N52="",'PE-HEALTH'!N52="",HEALTH!N52=""),"",IF(ISERROR(ROUND(AVERAGE('MUSIC-ARTS'!N52,ARTS!N52,'PE-HEALTH'!N52,HEALTH!N52),0)),"",ROUND(AVERAGE('MUSIC-ARTS'!N52,ARTS!N52,'PE-HEALTH'!N52,HEALTH!N52),0)))</f>
        <v/>
      </c>
      <c r="O52" s="55"/>
      <c r="P52" s="55"/>
      <c r="Q52" s="73"/>
      <c r="R52" s="54" t="str">
        <f>IF(OR('MUSIC-ARTS'!R52="",ARTS!R52="",'PE-HEALTH'!R52="",HEALTH!R52=""),"",IF(ISERROR(ROUND(AVERAGE('MUSIC-ARTS'!R52,ARTS!R52,'PE-HEALTH'!R52,HEALTH!R52),0)),"",ROUND(AVERAGE('MUSIC-ARTS'!R52,ARTS!R52,'PE-HEALTH'!R52,HEALTH!R52),0)))</f>
        <v/>
      </c>
      <c r="S52" s="55"/>
      <c r="T52" s="55"/>
      <c r="U52" s="73"/>
      <c r="V52" s="81" t="str">
        <f t="shared" si="0"/>
        <v/>
      </c>
      <c r="W52" s="82"/>
      <c r="X52" s="82"/>
      <c r="Y52" s="93"/>
      <c r="Z52" s="104" t="str">
        <f t="shared" si="1"/>
        <v/>
      </c>
      <c r="AA52" s="105"/>
      <c r="AB52" s="106"/>
    </row>
    <row r="53" ht="15" spans="1:28">
      <c r="A53" s="37">
        <v>2</v>
      </c>
      <c r="B53" s="33" t="str">
        <f>'INPUT DATA'!B54:D54</f>
        <v>BIMOS, SHEILLA KATE O.</v>
      </c>
      <c r="C53" s="38"/>
      <c r="D53" s="38"/>
      <c r="E53" s="41"/>
      <c r="F53" s="54" t="str">
        <f>IF(OR('MUSIC-ARTS'!F53="",ARTS!F53="",'PE-HEALTH'!F53="",HEALTH!F53=""),"",IF(ISERROR(ROUND(AVERAGE('MUSIC-ARTS'!F53,ARTS!F53,'PE-HEALTH'!F53,HEALTH!F53),0)),"",ROUND(AVERAGE('MUSIC-ARTS'!F53,ARTS!F53,'PE-HEALTH'!F53,HEALTH!F53),0)))</f>
        <v/>
      </c>
      <c r="G53" s="55"/>
      <c r="H53" s="55"/>
      <c r="I53" s="73"/>
      <c r="J53" s="39" t="str">
        <f>IF(OR('MUSIC-ARTS'!J53="",ARTS!J53="",'PE-HEALTH'!J53="",HEALTH!J53=""),"",IF(ISERROR(ROUND(AVERAGE('MUSIC-ARTS'!J53,ARTS!J53,'PE-HEALTH'!J53,HEALTH!J53),0)),"",ROUND(AVERAGE('MUSIC-ARTS'!J53,ARTS!J53,'PE-HEALTH'!J53,HEALTH!J53),0)))</f>
        <v/>
      </c>
      <c r="K53" s="40"/>
      <c r="L53" s="40"/>
      <c r="M53" s="68"/>
      <c r="N53" s="39" t="str">
        <f>IF(OR('MUSIC-ARTS'!N53="",ARTS!N53="",'PE-HEALTH'!N53="",HEALTH!N53=""),"",IF(ISERROR(ROUND(AVERAGE('MUSIC-ARTS'!N53,ARTS!N53,'PE-HEALTH'!N53,HEALTH!N53),0)),"",ROUND(AVERAGE('MUSIC-ARTS'!N53,ARTS!N53,'PE-HEALTH'!N53,HEALTH!N53),0)))</f>
        <v/>
      </c>
      <c r="O53" s="40"/>
      <c r="P53" s="40"/>
      <c r="Q53" s="68"/>
      <c r="R53" s="39" t="str">
        <f>IF(OR('MUSIC-ARTS'!R53="",ARTS!R53="",'PE-HEALTH'!R53="",HEALTH!R53=""),"",IF(ISERROR(ROUND(AVERAGE('MUSIC-ARTS'!R53,ARTS!R53,'PE-HEALTH'!R53,HEALTH!R53),0)),"",ROUND(AVERAGE('MUSIC-ARTS'!R53,ARTS!R53,'PE-HEALTH'!R53,HEALTH!R53),0)))</f>
        <v/>
      </c>
      <c r="S53" s="40"/>
      <c r="T53" s="40"/>
      <c r="U53" s="68"/>
      <c r="V53" s="81" t="str">
        <f t="shared" si="0"/>
        <v/>
      </c>
      <c r="W53" s="82"/>
      <c r="X53" s="82"/>
      <c r="Y53" s="93"/>
      <c r="Z53" s="97" t="str">
        <f t="shared" si="1"/>
        <v/>
      </c>
      <c r="AA53" s="98"/>
      <c r="AB53" s="99"/>
    </row>
    <row r="54" ht="15" spans="1:28">
      <c r="A54" s="37">
        <v>3</v>
      </c>
      <c r="B54" s="33" t="str">
        <f>'INPUT DATA'!B55:D55</f>
        <v>BONGABONG, DWEYN ZHAIRA A.</v>
      </c>
      <c r="C54" s="38"/>
      <c r="D54" s="38"/>
      <c r="E54" s="41"/>
      <c r="F54" s="54" t="str">
        <f>IF(OR('MUSIC-ARTS'!F54="",ARTS!F54="",'PE-HEALTH'!F54="",HEALTH!F54=""),"",IF(ISERROR(ROUND(AVERAGE('MUSIC-ARTS'!F54,ARTS!F54,'PE-HEALTH'!F54,HEALTH!F54),0)),"",ROUND(AVERAGE('MUSIC-ARTS'!F54,ARTS!F54,'PE-HEALTH'!F54,HEALTH!F54),0)))</f>
        <v/>
      </c>
      <c r="G54" s="55"/>
      <c r="H54" s="55"/>
      <c r="I54" s="73"/>
      <c r="J54" s="39" t="str">
        <f>IF(OR('MUSIC-ARTS'!J54="",ARTS!J54="",'PE-HEALTH'!J54="",HEALTH!J54=""),"",IF(ISERROR(ROUND(AVERAGE('MUSIC-ARTS'!J54,ARTS!J54,'PE-HEALTH'!J54,HEALTH!J54),0)),"",ROUND(AVERAGE('MUSIC-ARTS'!J54,ARTS!J54,'PE-HEALTH'!J54,HEALTH!J54),0)))</f>
        <v/>
      </c>
      <c r="K54" s="40"/>
      <c r="L54" s="40"/>
      <c r="M54" s="68"/>
      <c r="N54" s="39" t="str">
        <f>IF(OR('MUSIC-ARTS'!N54="",ARTS!N54="",'PE-HEALTH'!N54="",HEALTH!N54=""),"",IF(ISERROR(ROUND(AVERAGE('MUSIC-ARTS'!N54,ARTS!N54,'PE-HEALTH'!N54,HEALTH!N54),0)),"",ROUND(AVERAGE('MUSIC-ARTS'!N54,ARTS!N54,'PE-HEALTH'!N54,HEALTH!N54),0)))</f>
        <v/>
      </c>
      <c r="O54" s="40"/>
      <c r="P54" s="40"/>
      <c r="Q54" s="68"/>
      <c r="R54" s="39" t="str">
        <f>IF(OR('MUSIC-ARTS'!R54="",ARTS!R54="",'PE-HEALTH'!R54="",HEALTH!R54=""),"",IF(ISERROR(ROUND(AVERAGE('MUSIC-ARTS'!R54,ARTS!R54,'PE-HEALTH'!R54,HEALTH!R54),0)),"",ROUND(AVERAGE('MUSIC-ARTS'!R54,ARTS!R54,'PE-HEALTH'!R54,HEALTH!R54),0)))</f>
        <v/>
      </c>
      <c r="S54" s="40"/>
      <c r="T54" s="40"/>
      <c r="U54" s="68"/>
      <c r="V54" s="81" t="str">
        <f t="shared" si="0"/>
        <v/>
      </c>
      <c r="W54" s="82"/>
      <c r="X54" s="82"/>
      <c r="Y54" s="93"/>
      <c r="Z54" s="97" t="str">
        <f t="shared" si="1"/>
        <v/>
      </c>
      <c r="AA54" s="98"/>
      <c r="AB54" s="99"/>
    </row>
    <row r="55" ht="15" spans="1:28">
      <c r="A55" s="37">
        <v>4</v>
      </c>
      <c r="B55" s="33" t="str">
        <f>'INPUT DATA'!B56:D56</f>
        <v>CABEL, LOURENE A.</v>
      </c>
      <c r="C55" s="38"/>
      <c r="D55" s="38"/>
      <c r="E55" s="41"/>
      <c r="F55" s="54" t="str">
        <f>IF(OR('MUSIC-ARTS'!F55="",ARTS!F55="",'PE-HEALTH'!F55="",HEALTH!F55=""),"",IF(ISERROR(ROUND(AVERAGE('MUSIC-ARTS'!F55,ARTS!F55,'PE-HEALTH'!F55,HEALTH!F55),0)),"",ROUND(AVERAGE('MUSIC-ARTS'!F55,ARTS!F55,'PE-HEALTH'!F55,HEALTH!F55),0)))</f>
        <v/>
      </c>
      <c r="G55" s="55"/>
      <c r="H55" s="55"/>
      <c r="I55" s="73"/>
      <c r="J55" s="39" t="str">
        <f>IF(OR('MUSIC-ARTS'!J55="",ARTS!J55="",'PE-HEALTH'!J55="",HEALTH!J55=""),"",IF(ISERROR(ROUND(AVERAGE('MUSIC-ARTS'!J55,ARTS!J55,'PE-HEALTH'!J55,HEALTH!J55),0)),"",ROUND(AVERAGE('MUSIC-ARTS'!J55,ARTS!J55,'PE-HEALTH'!J55,HEALTH!J55),0)))</f>
        <v/>
      </c>
      <c r="K55" s="40"/>
      <c r="L55" s="40"/>
      <c r="M55" s="68"/>
      <c r="N55" s="39" t="str">
        <f>IF(OR('MUSIC-ARTS'!N55="",ARTS!N55="",'PE-HEALTH'!N55="",HEALTH!N55=""),"",IF(ISERROR(ROUND(AVERAGE('MUSIC-ARTS'!N55,ARTS!N55,'PE-HEALTH'!N55,HEALTH!N55),0)),"",ROUND(AVERAGE('MUSIC-ARTS'!N55,ARTS!N55,'PE-HEALTH'!N55,HEALTH!N55),0)))</f>
        <v/>
      </c>
      <c r="O55" s="40"/>
      <c r="P55" s="40"/>
      <c r="Q55" s="68"/>
      <c r="R55" s="39" t="str">
        <f>IF(OR('MUSIC-ARTS'!R55="",ARTS!R55="",'PE-HEALTH'!R55="",HEALTH!R55=""),"",IF(ISERROR(ROUND(AVERAGE('MUSIC-ARTS'!R55,ARTS!R55,'PE-HEALTH'!R55,HEALTH!R55),0)),"",ROUND(AVERAGE('MUSIC-ARTS'!R55,ARTS!R55,'PE-HEALTH'!R55,HEALTH!R55),0)))</f>
        <v/>
      </c>
      <c r="S55" s="40"/>
      <c r="T55" s="40"/>
      <c r="U55" s="68"/>
      <c r="V55" s="81" t="str">
        <f t="shared" si="0"/>
        <v/>
      </c>
      <c r="W55" s="82"/>
      <c r="X55" s="82"/>
      <c r="Y55" s="93"/>
      <c r="Z55" s="97" t="str">
        <f t="shared" si="1"/>
        <v/>
      </c>
      <c r="AA55" s="98"/>
      <c r="AB55" s="99"/>
    </row>
    <row r="56" ht="15" spans="1:28">
      <c r="A56" s="37">
        <v>5</v>
      </c>
      <c r="B56" s="33" t="str">
        <f>'INPUT DATA'!B57:D57</f>
        <v>CAMIGAO, DHENISE CLARE V.</v>
      </c>
      <c r="C56" s="38"/>
      <c r="D56" s="38"/>
      <c r="E56" s="41"/>
      <c r="F56" s="54" t="str">
        <f>IF(OR('MUSIC-ARTS'!F56="",ARTS!F56="",'PE-HEALTH'!F56="",HEALTH!F56=""),"",IF(ISERROR(ROUND(AVERAGE('MUSIC-ARTS'!F56,ARTS!F56,'PE-HEALTH'!F56,HEALTH!F56),0)),"",ROUND(AVERAGE('MUSIC-ARTS'!F56,ARTS!F56,'PE-HEALTH'!F56,HEALTH!F56),0)))</f>
        <v/>
      </c>
      <c r="G56" s="55"/>
      <c r="H56" s="55"/>
      <c r="I56" s="73"/>
      <c r="J56" s="39" t="str">
        <f>IF(OR('MUSIC-ARTS'!J56="",ARTS!J56="",'PE-HEALTH'!J56="",HEALTH!J56=""),"",IF(ISERROR(ROUND(AVERAGE('MUSIC-ARTS'!J56,ARTS!J56,'PE-HEALTH'!J56,HEALTH!J56),0)),"",ROUND(AVERAGE('MUSIC-ARTS'!J56,ARTS!J56,'PE-HEALTH'!J56,HEALTH!J56),0)))</f>
        <v/>
      </c>
      <c r="K56" s="40"/>
      <c r="L56" s="40"/>
      <c r="M56" s="68"/>
      <c r="N56" s="39" t="str">
        <f>IF(OR('MUSIC-ARTS'!N56="",ARTS!N56="",'PE-HEALTH'!N56="",HEALTH!N56=""),"",IF(ISERROR(ROUND(AVERAGE('MUSIC-ARTS'!N56,ARTS!N56,'PE-HEALTH'!N56,HEALTH!N56),0)),"",ROUND(AVERAGE('MUSIC-ARTS'!N56,ARTS!N56,'PE-HEALTH'!N56,HEALTH!N56),0)))</f>
        <v/>
      </c>
      <c r="O56" s="40"/>
      <c r="P56" s="40"/>
      <c r="Q56" s="68"/>
      <c r="R56" s="39" t="str">
        <f>IF(OR('MUSIC-ARTS'!R56="",ARTS!R56="",'PE-HEALTH'!R56="",HEALTH!R56=""),"",IF(ISERROR(ROUND(AVERAGE('MUSIC-ARTS'!R56,ARTS!R56,'PE-HEALTH'!R56,HEALTH!R56),0)),"",ROUND(AVERAGE('MUSIC-ARTS'!R56,ARTS!R56,'PE-HEALTH'!R56,HEALTH!R56),0)))</f>
        <v/>
      </c>
      <c r="S56" s="40"/>
      <c r="T56" s="40"/>
      <c r="U56" s="68"/>
      <c r="V56" s="81" t="str">
        <f t="shared" si="0"/>
        <v/>
      </c>
      <c r="W56" s="82"/>
      <c r="X56" s="82"/>
      <c r="Y56" s="93"/>
      <c r="Z56" s="97" t="str">
        <f t="shared" si="1"/>
        <v/>
      </c>
      <c r="AA56" s="98"/>
      <c r="AB56" s="99"/>
    </row>
    <row r="57" ht="15" spans="1:28">
      <c r="A57" s="37">
        <v>6</v>
      </c>
      <c r="B57" s="33" t="str">
        <f>'INPUT DATA'!B58:D58</f>
        <v>CARISMA, NATHALIA MAE M.</v>
      </c>
      <c r="C57" s="38"/>
      <c r="D57" s="38"/>
      <c r="E57" s="41"/>
      <c r="F57" s="54" t="str">
        <f>IF(OR('MUSIC-ARTS'!F57="",ARTS!F57="",'PE-HEALTH'!F57="",HEALTH!F57=""),"",IF(ISERROR(ROUND(AVERAGE('MUSIC-ARTS'!F57,ARTS!F57,'PE-HEALTH'!F57,HEALTH!F57),0)),"",ROUND(AVERAGE('MUSIC-ARTS'!F57,ARTS!F57,'PE-HEALTH'!F57,HEALTH!F57),0)))</f>
        <v/>
      </c>
      <c r="G57" s="55"/>
      <c r="H57" s="55"/>
      <c r="I57" s="73"/>
      <c r="J57" s="39" t="str">
        <f>IF(OR('MUSIC-ARTS'!J57="",ARTS!J57="",'PE-HEALTH'!J57="",HEALTH!J57=""),"",IF(ISERROR(ROUND(AVERAGE('MUSIC-ARTS'!J57,ARTS!J57,'PE-HEALTH'!J57,HEALTH!J57),0)),"",ROUND(AVERAGE('MUSIC-ARTS'!J57,ARTS!J57,'PE-HEALTH'!J57,HEALTH!J57),0)))</f>
        <v/>
      </c>
      <c r="K57" s="40"/>
      <c r="L57" s="40"/>
      <c r="M57" s="68"/>
      <c r="N57" s="39" t="str">
        <f>IF(OR('MUSIC-ARTS'!N57="",ARTS!N57="",'PE-HEALTH'!N57="",HEALTH!N57=""),"",IF(ISERROR(ROUND(AVERAGE('MUSIC-ARTS'!N57,ARTS!N57,'PE-HEALTH'!N57,HEALTH!N57),0)),"",ROUND(AVERAGE('MUSIC-ARTS'!N57,ARTS!N57,'PE-HEALTH'!N57,HEALTH!N57),0)))</f>
        <v/>
      </c>
      <c r="O57" s="40"/>
      <c r="P57" s="40"/>
      <c r="Q57" s="68"/>
      <c r="R57" s="39" t="str">
        <f>IF(OR('MUSIC-ARTS'!R57="",ARTS!R57="",'PE-HEALTH'!R57="",HEALTH!R57=""),"",IF(ISERROR(ROUND(AVERAGE('MUSIC-ARTS'!R57,ARTS!R57,'PE-HEALTH'!R57,HEALTH!R57),0)),"",ROUND(AVERAGE('MUSIC-ARTS'!R57,ARTS!R57,'PE-HEALTH'!R57,HEALTH!R57),0)))</f>
        <v/>
      </c>
      <c r="S57" s="40"/>
      <c r="T57" s="40"/>
      <c r="U57" s="68"/>
      <c r="V57" s="81" t="str">
        <f t="shared" si="0"/>
        <v/>
      </c>
      <c r="W57" s="82"/>
      <c r="X57" s="82"/>
      <c r="Y57" s="93"/>
      <c r="Z57" s="97" t="str">
        <f t="shared" si="1"/>
        <v/>
      </c>
      <c r="AA57" s="98"/>
      <c r="AB57" s="99"/>
    </row>
    <row r="58" ht="15" spans="1:28">
      <c r="A58" s="37">
        <v>7</v>
      </c>
      <c r="B58" s="33" t="str">
        <f>'INPUT DATA'!B59:D59</f>
        <v>CLARO, REANZ P.</v>
      </c>
      <c r="C58" s="38"/>
      <c r="D58" s="38"/>
      <c r="E58" s="41"/>
      <c r="F58" s="54" t="str">
        <f>IF(OR('MUSIC-ARTS'!F58="",ARTS!F58="",'PE-HEALTH'!F58="",HEALTH!F58=""),"",IF(ISERROR(ROUND(AVERAGE('MUSIC-ARTS'!F58,ARTS!F58,'PE-HEALTH'!F58,HEALTH!F58),0)),"",ROUND(AVERAGE('MUSIC-ARTS'!F58,ARTS!F58,'PE-HEALTH'!F58,HEALTH!F58),0)))</f>
        <v/>
      </c>
      <c r="G58" s="55"/>
      <c r="H58" s="55"/>
      <c r="I58" s="73"/>
      <c r="J58" s="39" t="str">
        <f>IF(OR('MUSIC-ARTS'!J58="",ARTS!J58="",'PE-HEALTH'!J58="",HEALTH!J58=""),"",IF(ISERROR(ROUND(AVERAGE('MUSIC-ARTS'!J58,ARTS!J58,'PE-HEALTH'!J58,HEALTH!J58),0)),"",ROUND(AVERAGE('MUSIC-ARTS'!J58,ARTS!J58,'PE-HEALTH'!J58,HEALTH!J58),0)))</f>
        <v/>
      </c>
      <c r="K58" s="40"/>
      <c r="L58" s="40"/>
      <c r="M58" s="68"/>
      <c r="N58" s="39" t="str">
        <f>IF(OR('MUSIC-ARTS'!N58="",ARTS!N58="",'PE-HEALTH'!N58="",HEALTH!N58=""),"",IF(ISERROR(ROUND(AVERAGE('MUSIC-ARTS'!N58,ARTS!N58,'PE-HEALTH'!N58,HEALTH!N58),0)),"",ROUND(AVERAGE('MUSIC-ARTS'!N58,ARTS!N58,'PE-HEALTH'!N58,HEALTH!N58),0)))</f>
        <v/>
      </c>
      <c r="O58" s="40"/>
      <c r="P58" s="40"/>
      <c r="Q58" s="68"/>
      <c r="R58" s="39" t="str">
        <f>IF(OR('MUSIC-ARTS'!R58="",ARTS!R58="",'PE-HEALTH'!R58="",HEALTH!R58=""),"",IF(ISERROR(ROUND(AVERAGE('MUSIC-ARTS'!R58,ARTS!R58,'PE-HEALTH'!R58,HEALTH!R58),0)),"",ROUND(AVERAGE('MUSIC-ARTS'!R58,ARTS!R58,'PE-HEALTH'!R58,HEALTH!R58),0)))</f>
        <v/>
      </c>
      <c r="S58" s="40"/>
      <c r="T58" s="40"/>
      <c r="U58" s="68"/>
      <c r="V58" s="81" t="str">
        <f t="shared" si="0"/>
        <v/>
      </c>
      <c r="W58" s="82"/>
      <c r="X58" s="82"/>
      <c r="Y58" s="93"/>
      <c r="Z58" s="97" t="str">
        <f t="shared" si="1"/>
        <v/>
      </c>
      <c r="AA58" s="98"/>
      <c r="AB58" s="99"/>
    </row>
    <row r="59" ht="15" spans="1:28">
      <c r="A59" s="37">
        <v>8</v>
      </c>
      <c r="B59" s="33" t="str">
        <f>'INPUT DATA'!B60:D60</f>
        <v>FRANCISCO, YSABELLA BEATRICE B.</v>
      </c>
      <c r="C59" s="38"/>
      <c r="D59" s="38"/>
      <c r="E59" s="41"/>
      <c r="F59" s="54" t="str">
        <f>IF(OR('MUSIC-ARTS'!F59="",ARTS!F59="",'PE-HEALTH'!F59="",HEALTH!F59=""),"",IF(ISERROR(ROUND(AVERAGE('MUSIC-ARTS'!F59,ARTS!F59,'PE-HEALTH'!F59,HEALTH!F59),0)),"",ROUND(AVERAGE('MUSIC-ARTS'!F59,ARTS!F59,'PE-HEALTH'!F59,HEALTH!F59),0)))</f>
        <v/>
      </c>
      <c r="G59" s="55"/>
      <c r="H59" s="55"/>
      <c r="I59" s="73"/>
      <c r="J59" s="39" t="str">
        <f>IF(OR('MUSIC-ARTS'!J59="",ARTS!J59="",'PE-HEALTH'!J59="",HEALTH!J59=""),"",IF(ISERROR(ROUND(AVERAGE('MUSIC-ARTS'!J59,ARTS!J59,'PE-HEALTH'!J59,HEALTH!J59),0)),"",ROUND(AVERAGE('MUSIC-ARTS'!J59,ARTS!J59,'PE-HEALTH'!J59,HEALTH!J59),0)))</f>
        <v/>
      </c>
      <c r="K59" s="40"/>
      <c r="L59" s="40"/>
      <c r="M59" s="68"/>
      <c r="N59" s="39" t="str">
        <f>IF(OR('MUSIC-ARTS'!N59="",ARTS!N59="",'PE-HEALTH'!N59="",HEALTH!N59=""),"",IF(ISERROR(ROUND(AVERAGE('MUSIC-ARTS'!N59,ARTS!N59,'PE-HEALTH'!N59,HEALTH!N59),0)),"",ROUND(AVERAGE('MUSIC-ARTS'!N59,ARTS!N59,'PE-HEALTH'!N59,HEALTH!N59),0)))</f>
        <v/>
      </c>
      <c r="O59" s="40"/>
      <c r="P59" s="40"/>
      <c r="Q59" s="68"/>
      <c r="R59" s="39" t="str">
        <f>IF(OR('MUSIC-ARTS'!R59="",ARTS!R59="",'PE-HEALTH'!R59="",HEALTH!R59=""),"",IF(ISERROR(ROUND(AVERAGE('MUSIC-ARTS'!R59,ARTS!R59,'PE-HEALTH'!R59,HEALTH!R59),0)),"",ROUND(AVERAGE('MUSIC-ARTS'!R59,ARTS!R59,'PE-HEALTH'!R59,HEALTH!R59),0)))</f>
        <v/>
      </c>
      <c r="S59" s="40"/>
      <c r="T59" s="40"/>
      <c r="U59" s="68"/>
      <c r="V59" s="81" t="str">
        <f t="shared" si="0"/>
        <v/>
      </c>
      <c r="W59" s="82"/>
      <c r="X59" s="82"/>
      <c r="Y59" s="93"/>
      <c r="Z59" s="97" t="str">
        <f t="shared" si="1"/>
        <v/>
      </c>
      <c r="AA59" s="98"/>
      <c r="AB59" s="99"/>
    </row>
    <row r="60" ht="15" spans="1:28">
      <c r="A60" s="37">
        <v>9</v>
      </c>
      <c r="B60" s="33" t="str">
        <f>'INPUT DATA'!B61:D61</f>
        <v>GALDO, ALYSSA RHIAN P.</v>
      </c>
      <c r="C60" s="38"/>
      <c r="D60" s="38"/>
      <c r="E60" s="41"/>
      <c r="F60" s="54" t="str">
        <f>IF(OR('MUSIC-ARTS'!F60="",ARTS!F60="",'PE-HEALTH'!F60="",HEALTH!F60=""),"",IF(ISERROR(ROUND(AVERAGE('MUSIC-ARTS'!F60,ARTS!F60,'PE-HEALTH'!F60,HEALTH!F60),0)),"",ROUND(AVERAGE('MUSIC-ARTS'!F60,ARTS!F60,'PE-HEALTH'!F60,HEALTH!F60),0)))</f>
        <v/>
      </c>
      <c r="G60" s="55"/>
      <c r="H60" s="55"/>
      <c r="I60" s="73"/>
      <c r="J60" s="39" t="str">
        <f>IF(OR('MUSIC-ARTS'!J60="",ARTS!J60="",'PE-HEALTH'!J60="",HEALTH!J60=""),"",IF(ISERROR(ROUND(AVERAGE('MUSIC-ARTS'!J60,ARTS!J60,'PE-HEALTH'!J60,HEALTH!J60),0)),"",ROUND(AVERAGE('MUSIC-ARTS'!J60,ARTS!J60,'PE-HEALTH'!J60,HEALTH!J60),0)))</f>
        <v/>
      </c>
      <c r="K60" s="40"/>
      <c r="L60" s="40"/>
      <c r="M60" s="68"/>
      <c r="N60" s="39" t="str">
        <f>IF(OR('MUSIC-ARTS'!N60="",ARTS!N60="",'PE-HEALTH'!N60="",HEALTH!N60=""),"",IF(ISERROR(ROUND(AVERAGE('MUSIC-ARTS'!N60,ARTS!N60,'PE-HEALTH'!N60,HEALTH!N60),0)),"",ROUND(AVERAGE('MUSIC-ARTS'!N60,ARTS!N60,'PE-HEALTH'!N60,HEALTH!N60),0)))</f>
        <v/>
      </c>
      <c r="O60" s="40"/>
      <c r="P60" s="40"/>
      <c r="Q60" s="68"/>
      <c r="R60" s="39" t="str">
        <f>IF(OR('MUSIC-ARTS'!R60="",ARTS!R60="",'PE-HEALTH'!R60="",HEALTH!R60=""),"",IF(ISERROR(ROUND(AVERAGE('MUSIC-ARTS'!R60,ARTS!R60,'PE-HEALTH'!R60,HEALTH!R60),0)),"",ROUND(AVERAGE('MUSIC-ARTS'!R60,ARTS!R60,'PE-HEALTH'!R60,HEALTH!R60),0)))</f>
        <v/>
      </c>
      <c r="S60" s="40"/>
      <c r="T60" s="40"/>
      <c r="U60" s="68"/>
      <c r="V60" s="81" t="str">
        <f t="shared" si="0"/>
        <v/>
      </c>
      <c r="W60" s="82"/>
      <c r="X60" s="82"/>
      <c r="Y60" s="93"/>
      <c r="Z60" s="97" t="str">
        <f t="shared" si="1"/>
        <v/>
      </c>
      <c r="AA60" s="98"/>
      <c r="AB60" s="99"/>
    </row>
    <row r="61" ht="15" spans="1:28">
      <c r="A61" s="37">
        <v>10</v>
      </c>
      <c r="B61" s="33" t="str">
        <f>'INPUT DATA'!B62:D62</f>
        <v>HURAÑO, RIOMI M.</v>
      </c>
      <c r="C61" s="38"/>
      <c r="D61" s="38"/>
      <c r="E61" s="41"/>
      <c r="F61" s="54" t="str">
        <f>IF(OR('MUSIC-ARTS'!F61="",ARTS!F61="",'PE-HEALTH'!F61="",HEALTH!F61=""),"",IF(ISERROR(ROUND(AVERAGE('MUSIC-ARTS'!F61,ARTS!F61,'PE-HEALTH'!F61,HEALTH!F61),0)),"",ROUND(AVERAGE('MUSIC-ARTS'!F61,ARTS!F61,'PE-HEALTH'!F61,HEALTH!F61),0)))</f>
        <v/>
      </c>
      <c r="G61" s="55"/>
      <c r="H61" s="55"/>
      <c r="I61" s="73"/>
      <c r="J61" s="39" t="str">
        <f>IF(OR('MUSIC-ARTS'!J61="",ARTS!J61="",'PE-HEALTH'!J61="",HEALTH!J61=""),"",IF(ISERROR(ROUND(AVERAGE('MUSIC-ARTS'!J61,ARTS!J61,'PE-HEALTH'!J61,HEALTH!J61),0)),"",ROUND(AVERAGE('MUSIC-ARTS'!J61,ARTS!J61,'PE-HEALTH'!J61,HEALTH!J61),0)))</f>
        <v/>
      </c>
      <c r="K61" s="40"/>
      <c r="L61" s="40"/>
      <c r="M61" s="68"/>
      <c r="N61" s="39" t="str">
        <f>IF(OR('MUSIC-ARTS'!N61="",ARTS!N61="",'PE-HEALTH'!N61="",HEALTH!N61=""),"",IF(ISERROR(ROUND(AVERAGE('MUSIC-ARTS'!N61,ARTS!N61,'PE-HEALTH'!N61,HEALTH!N61),0)),"",ROUND(AVERAGE('MUSIC-ARTS'!N61,ARTS!N61,'PE-HEALTH'!N61,HEALTH!N61),0)))</f>
        <v/>
      </c>
      <c r="O61" s="40"/>
      <c r="P61" s="40"/>
      <c r="Q61" s="68"/>
      <c r="R61" s="39" t="str">
        <f>IF(OR('MUSIC-ARTS'!R61="",ARTS!R61="",'PE-HEALTH'!R61="",HEALTH!R61=""),"",IF(ISERROR(ROUND(AVERAGE('MUSIC-ARTS'!R61,ARTS!R61,'PE-HEALTH'!R61,HEALTH!R61),0)),"",ROUND(AVERAGE('MUSIC-ARTS'!R61,ARTS!R61,'PE-HEALTH'!R61,HEALTH!R61),0)))</f>
        <v/>
      </c>
      <c r="S61" s="40"/>
      <c r="T61" s="40"/>
      <c r="U61" s="68"/>
      <c r="V61" s="81" t="str">
        <f t="shared" si="0"/>
        <v/>
      </c>
      <c r="W61" s="82"/>
      <c r="X61" s="82"/>
      <c r="Y61" s="93"/>
      <c r="Z61" s="97" t="str">
        <f t="shared" si="1"/>
        <v/>
      </c>
      <c r="AA61" s="98"/>
      <c r="AB61" s="99"/>
    </row>
    <row r="62" ht="15" spans="1:28">
      <c r="A62" s="37">
        <v>11</v>
      </c>
      <c r="B62" s="33" t="str">
        <f>'INPUT DATA'!B63:D63</f>
        <v>LAGUNA, WELLAIZA O.</v>
      </c>
      <c r="C62" s="38"/>
      <c r="D62" s="38"/>
      <c r="E62" s="41"/>
      <c r="F62" s="54" t="str">
        <f>IF(OR('MUSIC-ARTS'!F62="",ARTS!F62="",'PE-HEALTH'!F62="",HEALTH!F62=""),"",IF(ISERROR(ROUND(AVERAGE('MUSIC-ARTS'!F62,ARTS!F62,'PE-HEALTH'!F62,HEALTH!F62),0)),"",ROUND(AVERAGE('MUSIC-ARTS'!F62,ARTS!F62,'PE-HEALTH'!F62,HEALTH!F62),0)))</f>
        <v/>
      </c>
      <c r="G62" s="55"/>
      <c r="H62" s="55"/>
      <c r="I62" s="73"/>
      <c r="J62" s="39" t="str">
        <f>IF(OR('MUSIC-ARTS'!J62="",ARTS!J62="",'PE-HEALTH'!J62="",HEALTH!J62=""),"",IF(ISERROR(ROUND(AVERAGE('MUSIC-ARTS'!J62,ARTS!J62,'PE-HEALTH'!J62,HEALTH!J62),0)),"",ROUND(AVERAGE('MUSIC-ARTS'!J62,ARTS!J62,'PE-HEALTH'!J62,HEALTH!J62),0)))</f>
        <v/>
      </c>
      <c r="K62" s="40"/>
      <c r="L62" s="40"/>
      <c r="M62" s="68"/>
      <c r="N62" s="39" t="str">
        <f>IF(OR('MUSIC-ARTS'!N62="",ARTS!N62="",'PE-HEALTH'!N62="",HEALTH!N62=""),"",IF(ISERROR(ROUND(AVERAGE('MUSIC-ARTS'!N62,ARTS!N62,'PE-HEALTH'!N62,HEALTH!N62),0)),"",ROUND(AVERAGE('MUSIC-ARTS'!N62,ARTS!N62,'PE-HEALTH'!N62,HEALTH!N62),0)))</f>
        <v/>
      </c>
      <c r="O62" s="40"/>
      <c r="P62" s="40"/>
      <c r="Q62" s="68"/>
      <c r="R62" s="39" t="str">
        <f>IF(OR('MUSIC-ARTS'!R62="",ARTS!R62="",'PE-HEALTH'!R62="",HEALTH!R62=""),"",IF(ISERROR(ROUND(AVERAGE('MUSIC-ARTS'!R62,ARTS!R62,'PE-HEALTH'!R62,HEALTH!R62),0)),"",ROUND(AVERAGE('MUSIC-ARTS'!R62,ARTS!R62,'PE-HEALTH'!R62,HEALTH!R62),0)))</f>
        <v/>
      </c>
      <c r="S62" s="40"/>
      <c r="T62" s="40"/>
      <c r="U62" s="68"/>
      <c r="V62" s="81" t="str">
        <f t="shared" si="0"/>
        <v/>
      </c>
      <c r="W62" s="82"/>
      <c r="X62" s="82"/>
      <c r="Y62" s="93"/>
      <c r="Z62" s="97" t="str">
        <f t="shared" si="1"/>
        <v/>
      </c>
      <c r="AA62" s="98"/>
      <c r="AB62" s="99"/>
    </row>
    <row r="63" ht="15" spans="1:28">
      <c r="A63" s="37">
        <v>12</v>
      </c>
      <c r="B63" s="33" t="str">
        <f>'INPUT DATA'!B64:D64</f>
        <v>LAZAGA, PRINCESS JEAN O.</v>
      </c>
      <c r="C63" s="38"/>
      <c r="D63" s="38"/>
      <c r="E63" s="41"/>
      <c r="F63" s="54" t="str">
        <f>IF(OR('MUSIC-ARTS'!F63="",ARTS!F63="",'PE-HEALTH'!F63="",HEALTH!F63=""),"",IF(ISERROR(ROUND(AVERAGE('MUSIC-ARTS'!F63,ARTS!F63,'PE-HEALTH'!F63,HEALTH!F63),0)),"",ROUND(AVERAGE('MUSIC-ARTS'!F63,ARTS!F63,'PE-HEALTH'!F63,HEALTH!F63),0)))</f>
        <v/>
      </c>
      <c r="G63" s="55"/>
      <c r="H63" s="55"/>
      <c r="I63" s="73"/>
      <c r="J63" s="39" t="str">
        <f>IF(OR('MUSIC-ARTS'!J63="",ARTS!J63="",'PE-HEALTH'!J63="",HEALTH!J63=""),"",IF(ISERROR(ROUND(AVERAGE('MUSIC-ARTS'!J63,ARTS!J63,'PE-HEALTH'!J63,HEALTH!J63),0)),"",ROUND(AVERAGE('MUSIC-ARTS'!J63,ARTS!J63,'PE-HEALTH'!J63,HEALTH!J63),0)))</f>
        <v/>
      </c>
      <c r="K63" s="40"/>
      <c r="L63" s="40"/>
      <c r="M63" s="68"/>
      <c r="N63" s="39" t="str">
        <f>IF(OR('MUSIC-ARTS'!N63="",ARTS!N63="",'PE-HEALTH'!N63="",HEALTH!N63=""),"",IF(ISERROR(ROUND(AVERAGE('MUSIC-ARTS'!N63,ARTS!N63,'PE-HEALTH'!N63,HEALTH!N63),0)),"",ROUND(AVERAGE('MUSIC-ARTS'!N63,ARTS!N63,'PE-HEALTH'!N63,HEALTH!N63),0)))</f>
        <v/>
      </c>
      <c r="O63" s="40"/>
      <c r="P63" s="40"/>
      <c r="Q63" s="68"/>
      <c r="R63" s="39" t="str">
        <f>IF(OR('MUSIC-ARTS'!R63="",ARTS!R63="",'PE-HEALTH'!R63="",HEALTH!R63=""),"",IF(ISERROR(ROUND(AVERAGE('MUSIC-ARTS'!R63,ARTS!R63,'PE-HEALTH'!R63,HEALTH!R63),0)),"",ROUND(AVERAGE('MUSIC-ARTS'!R63,ARTS!R63,'PE-HEALTH'!R63,HEALTH!R63),0)))</f>
        <v/>
      </c>
      <c r="S63" s="40"/>
      <c r="T63" s="40"/>
      <c r="U63" s="68"/>
      <c r="V63" s="81" t="str">
        <f t="shared" si="0"/>
        <v/>
      </c>
      <c r="W63" s="82"/>
      <c r="X63" s="82"/>
      <c r="Y63" s="93"/>
      <c r="Z63" s="97" t="str">
        <f t="shared" si="1"/>
        <v/>
      </c>
      <c r="AA63" s="98"/>
      <c r="AB63" s="99"/>
    </row>
    <row r="64" ht="15" spans="1:28">
      <c r="A64" s="37">
        <v>13</v>
      </c>
      <c r="B64" s="33" t="str">
        <f>'INPUT DATA'!B65:D65</f>
        <v>LIBRES, MIKYLLA B.</v>
      </c>
      <c r="C64" s="38"/>
      <c r="D64" s="38"/>
      <c r="E64" s="41"/>
      <c r="F64" s="54" t="str">
        <f>IF(OR('MUSIC-ARTS'!F64="",ARTS!F64="",'PE-HEALTH'!F64="",HEALTH!F64=""),"",IF(ISERROR(ROUND(AVERAGE('MUSIC-ARTS'!F64,ARTS!F64,'PE-HEALTH'!F64,HEALTH!F64),0)),"",ROUND(AVERAGE('MUSIC-ARTS'!F64,ARTS!F64,'PE-HEALTH'!F64,HEALTH!F64),0)))</f>
        <v/>
      </c>
      <c r="G64" s="55"/>
      <c r="H64" s="55"/>
      <c r="I64" s="73"/>
      <c r="J64" s="39" t="str">
        <f>IF(OR('MUSIC-ARTS'!J64="",ARTS!J64="",'PE-HEALTH'!J64="",HEALTH!J64=""),"",IF(ISERROR(ROUND(AVERAGE('MUSIC-ARTS'!J64,ARTS!J64,'PE-HEALTH'!J64,HEALTH!J64),0)),"",ROUND(AVERAGE('MUSIC-ARTS'!J64,ARTS!J64,'PE-HEALTH'!J64,HEALTH!J64),0)))</f>
        <v/>
      </c>
      <c r="K64" s="40"/>
      <c r="L64" s="40"/>
      <c r="M64" s="68"/>
      <c r="N64" s="39" t="str">
        <f>IF(OR('MUSIC-ARTS'!N64="",ARTS!N64="",'PE-HEALTH'!N64="",HEALTH!N64=""),"",IF(ISERROR(ROUND(AVERAGE('MUSIC-ARTS'!N64,ARTS!N64,'PE-HEALTH'!N64,HEALTH!N64),0)),"",ROUND(AVERAGE('MUSIC-ARTS'!N64,ARTS!N64,'PE-HEALTH'!N64,HEALTH!N64),0)))</f>
        <v/>
      </c>
      <c r="O64" s="40"/>
      <c r="P64" s="40"/>
      <c r="Q64" s="68"/>
      <c r="R64" s="39" t="str">
        <f>IF(OR('MUSIC-ARTS'!R64="",ARTS!R64="",'PE-HEALTH'!R64="",HEALTH!R64=""),"",IF(ISERROR(ROUND(AVERAGE('MUSIC-ARTS'!R64,ARTS!R64,'PE-HEALTH'!R64,HEALTH!R64),0)),"",ROUND(AVERAGE('MUSIC-ARTS'!R64,ARTS!R64,'PE-HEALTH'!R64,HEALTH!R64),0)))</f>
        <v/>
      </c>
      <c r="S64" s="40"/>
      <c r="T64" s="40"/>
      <c r="U64" s="68"/>
      <c r="V64" s="81" t="str">
        <f t="shared" si="0"/>
        <v/>
      </c>
      <c r="W64" s="82"/>
      <c r="X64" s="82"/>
      <c r="Y64" s="93"/>
      <c r="Z64" s="97" t="str">
        <f t="shared" si="1"/>
        <v/>
      </c>
      <c r="AA64" s="98"/>
      <c r="AB64" s="99"/>
    </row>
    <row r="65" ht="15" spans="1:28">
      <c r="A65" s="37">
        <v>14</v>
      </c>
      <c r="B65" s="33" t="str">
        <f>'INPUT DATA'!B66:D66</f>
        <v>LIM, LENNIE GRACE S.</v>
      </c>
      <c r="C65" s="38"/>
      <c r="D65" s="38"/>
      <c r="E65" s="41"/>
      <c r="F65" s="54" t="str">
        <f>IF(OR('MUSIC-ARTS'!F65="",ARTS!F65="",'PE-HEALTH'!F65="",HEALTH!F65=""),"",IF(ISERROR(ROUND(AVERAGE('MUSIC-ARTS'!F65,ARTS!F65,'PE-HEALTH'!F65,HEALTH!F65),0)),"",ROUND(AVERAGE('MUSIC-ARTS'!F65,ARTS!F65,'PE-HEALTH'!F65,HEALTH!F65),0)))</f>
        <v/>
      </c>
      <c r="G65" s="55"/>
      <c r="H65" s="55"/>
      <c r="I65" s="73"/>
      <c r="J65" s="39" t="str">
        <f>IF(OR('MUSIC-ARTS'!J65="",ARTS!J65="",'PE-HEALTH'!J65="",HEALTH!J65=""),"",IF(ISERROR(ROUND(AVERAGE('MUSIC-ARTS'!J65,ARTS!J65,'PE-HEALTH'!J65,HEALTH!J65),0)),"",ROUND(AVERAGE('MUSIC-ARTS'!J65,ARTS!J65,'PE-HEALTH'!J65,HEALTH!J65),0)))</f>
        <v/>
      </c>
      <c r="K65" s="40"/>
      <c r="L65" s="40"/>
      <c r="M65" s="68"/>
      <c r="N65" s="39" t="str">
        <f>IF(OR('MUSIC-ARTS'!N65="",ARTS!N65="",'PE-HEALTH'!N65="",HEALTH!N65=""),"",IF(ISERROR(ROUND(AVERAGE('MUSIC-ARTS'!N65,ARTS!N65,'PE-HEALTH'!N65,HEALTH!N65),0)),"",ROUND(AVERAGE('MUSIC-ARTS'!N65,ARTS!N65,'PE-HEALTH'!N65,HEALTH!N65),0)))</f>
        <v/>
      </c>
      <c r="O65" s="40"/>
      <c r="P65" s="40"/>
      <c r="Q65" s="68"/>
      <c r="R65" s="39" t="str">
        <f>IF(OR('MUSIC-ARTS'!R65="",ARTS!R65="",'PE-HEALTH'!R65="",HEALTH!R65=""),"",IF(ISERROR(ROUND(AVERAGE('MUSIC-ARTS'!R65,ARTS!R65,'PE-HEALTH'!R65,HEALTH!R65),0)),"",ROUND(AVERAGE('MUSIC-ARTS'!R65,ARTS!R65,'PE-HEALTH'!R65,HEALTH!R65),0)))</f>
        <v/>
      </c>
      <c r="S65" s="40"/>
      <c r="T65" s="40"/>
      <c r="U65" s="68"/>
      <c r="V65" s="81" t="str">
        <f t="shared" si="0"/>
        <v/>
      </c>
      <c r="W65" s="82"/>
      <c r="X65" s="82"/>
      <c r="Y65" s="93"/>
      <c r="Z65" s="97" t="str">
        <f t="shared" si="1"/>
        <v/>
      </c>
      <c r="AA65" s="98"/>
      <c r="AB65" s="99"/>
    </row>
    <row r="66" ht="15" spans="1:28">
      <c r="A66" s="37">
        <v>15</v>
      </c>
      <c r="B66" s="33" t="str">
        <f>'INPUT DATA'!B67:D67</f>
        <v>MASAYON, RHEA JANE L.</v>
      </c>
      <c r="C66" s="38"/>
      <c r="D66" s="38"/>
      <c r="E66" s="41"/>
      <c r="F66" s="54" t="str">
        <f>IF(OR('MUSIC-ARTS'!F66="",ARTS!F66="",'PE-HEALTH'!F66="",HEALTH!F66=""),"",IF(ISERROR(ROUND(AVERAGE('MUSIC-ARTS'!F66,ARTS!F66,'PE-HEALTH'!F66,HEALTH!F66),0)),"",ROUND(AVERAGE('MUSIC-ARTS'!F66,ARTS!F66,'PE-HEALTH'!F66,HEALTH!F66),0)))</f>
        <v/>
      </c>
      <c r="G66" s="55"/>
      <c r="H66" s="55"/>
      <c r="I66" s="73"/>
      <c r="J66" s="39" t="str">
        <f>IF(OR('MUSIC-ARTS'!J66="",ARTS!J66="",'PE-HEALTH'!J66="",HEALTH!J66=""),"",IF(ISERROR(ROUND(AVERAGE('MUSIC-ARTS'!J66,ARTS!J66,'PE-HEALTH'!J66,HEALTH!J66),0)),"",ROUND(AVERAGE('MUSIC-ARTS'!J66,ARTS!J66,'PE-HEALTH'!J66,HEALTH!J66),0)))</f>
        <v/>
      </c>
      <c r="K66" s="40"/>
      <c r="L66" s="40"/>
      <c r="M66" s="68"/>
      <c r="N66" s="39" t="str">
        <f>IF(OR('MUSIC-ARTS'!N66="",ARTS!N66="",'PE-HEALTH'!N66="",HEALTH!N66=""),"",IF(ISERROR(ROUND(AVERAGE('MUSIC-ARTS'!N66,ARTS!N66,'PE-HEALTH'!N66,HEALTH!N66),0)),"",ROUND(AVERAGE('MUSIC-ARTS'!N66,ARTS!N66,'PE-HEALTH'!N66,HEALTH!N66),0)))</f>
        <v/>
      </c>
      <c r="O66" s="40"/>
      <c r="P66" s="40"/>
      <c r="Q66" s="68"/>
      <c r="R66" s="39" t="str">
        <f>IF(OR('MUSIC-ARTS'!R66="",ARTS!R66="",'PE-HEALTH'!R66="",HEALTH!R66=""),"",IF(ISERROR(ROUND(AVERAGE('MUSIC-ARTS'!R66,ARTS!R66,'PE-HEALTH'!R66,HEALTH!R66),0)),"",ROUND(AVERAGE('MUSIC-ARTS'!R66,ARTS!R66,'PE-HEALTH'!R66,HEALTH!R66),0)))</f>
        <v/>
      </c>
      <c r="S66" s="40"/>
      <c r="T66" s="40"/>
      <c r="U66" s="68"/>
      <c r="V66" s="81" t="str">
        <f t="shared" si="0"/>
        <v/>
      </c>
      <c r="W66" s="82"/>
      <c r="X66" s="82"/>
      <c r="Y66" s="93"/>
      <c r="Z66" s="97" t="str">
        <f t="shared" si="1"/>
        <v/>
      </c>
      <c r="AA66" s="98"/>
      <c r="AB66" s="99"/>
    </row>
    <row r="67" ht="15" spans="1:28">
      <c r="A67" s="37">
        <v>16</v>
      </c>
      <c r="B67" s="33" t="str">
        <f>'INPUT DATA'!B68:D68</f>
        <v>MORANCIL, JENEVI A.</v>
      </c>
      <c r="C67" s="38"/>
      <c r="D67" s="38"/>
      <c r="E67" s="41"/>
      <c r="F67" s="54" t="str">
        <f>IF(OR('MUSIC-ARTS'!F67="",ARTS!F67="",'PE-HEALTH'!F67="",HEALTH!F67=""),"",IF(ISERROR(ROUND(AVERAGE('MUSIC-ARTS'!F67,ARTS!F67,'PE-HEALTH'!F67,HEALTH!F67),0)),"",ROUND(AVERAGE('MUSIC-ARTS'!F67,ARTS!F67,'PE-HEALTH'!F67,HEALTH!F67),0)))</f>
        <v/>
      </c>
      <c r="G67" s="55"/>
      <c r="H67" s="55"/>
      <c r="I67" s="73"/>
      <c r="J67" s="39" t="str">
        <f>IF(OR('MUSIC-ARTS'!J67="",ARTS!J67="",'PE-HEALTH'!J67="",HEALTH!J67=""),"",IF(ISERROR(ROUND(AVERAGE('MUSIC-ARTS'!J67,ARTS!J67,'PE-HEALTH'!J67,HEALTH!J67),0)),"",ROUND(AVERAGE('MUSIC-ARTS'!J67,ARTS!J67,'PE-HEALTH'!J67,HEALTH!J67),0)))</f>
        <v/>
      </c>
      <c r="K67" s="40"/>
      <c r="L67" s="40"/>
      <c r="M67" s="68"/>
      <c r="N67" s="39" t="str">
        <f>IF(OR('MUSIC-ARTS'!N67="",ARTS!N67="",'PE-HEALTH'!N67="",HEALTH!N67=""),"",IF(ISERROR(ROUND(AVERAGE('MUSIC-ARTS'!N67,ARTS!N67,'PE-HEALTH'!N67,HEALTH!N67),0)),"",ROUND(AVERAGE('MUSIC-ARTS'!N67,ARTS!N67,'PE-HEALTH'!N67,HEALTH!N67),0)))</f>
        <v/>
      </c>
      <c r="O67" s="40"/>
      <c r="P67" s="40"/>
      <c r="Q67" s="68"/>
      <c r="R67" s="39" t="str">
        <f>IF(OR('MUSIC-ARTS'!R67="",ARTS!R67="",'PE-HEALTH'!R67="",HEALTH!R67=""),"",IF(ISERROR(ROUND(AVERAGE('MUSIC-ARTS'!R67,ARTS!R67,'PE-HEALTH'!R67,HEALTH!R67),0)),"",ROUND(AVERAGE('MUSIC-ARTS'!R67,ARTS!R67,'PE-HEALTH'!R67,HEALTH!R67),0)))</f>
        <v/>
      </c>
      <c r="S67" s="40"/>
      <c r="T67" s="40"/>
      <c r="U67" s="68"/>
      <c r="V67" s="81" t="str">
        <f t="shared" si="0"/>
        <v/>
      </c>
      <c r="W67" s="82"/>
      <c r="X67" s="82"/>
      <c r="Y67" s="93"/>
      <c r="Z67" s="97" t="str">
        <f t="shared" si="1"/>
        <v/>
      </c>
      <c r="AA67" s="98"/>
      <c r="AB67" s="99"/>
    </row>
    <row r="68" ht="15" spans="1:28">
      <c r="A68" s="37">
        <v>17</v>
      </c>
      <c r="B68" s="33" t="str">
        <f>'INPUT DATA'!B69:D69</f>
        <v>PATRICIO, MICHA ELLA P.</v>
      </c>
      <c r="C68" s="38"/>
      <c r="D68" s="38"/>
      <c r="E68" s="41"/>
      <c r="F68" s="54" t="str">
        <f>IF(OR('MUSIC-ARTS'!F68="",ARTS!F68="",'PE-HEALTH'!F68="",HEALTH!F68=""),"",IF(ISERROR(ROUND(AVERAGE('MUSIC-ARTS'!F68,ARTS!F68,'PE-HEALTH'!F68,HEALTH!F68),0)),"",ROUND(AVERAGE('MUSIC-ARTS'!F68,ARTS!F68,'PE-HEALTH'!F68,HEALTH!F68),0)))</f>
        <v/>
      </c>
      <c r="G68" s="55"/>
      <c r="H68" s="55"/>
      <c r="I68" s="73"/>
      <c r="J68" s="39" t="str">
        <f>IF(OR('MUSIC-ARTS'!J68="",ARTS!J68="",'PE-HEALTH'!J68="",HEALTH!J68=""),"",IF(ISERROR(ROUND(AVERAGE('MUSIC-ARTS'!J68,ARTS!J68,'PE-HEALTH'!J68,HEALTH!J68),0)),"",ROUND(AVERAGE('MUSIC-ARTS'!J68,ARTS!J68,'PE-HEALTH'!J68,HEALTH!J68),0)))</f>
        <v/>
      </c>
      <c r="K68" s="40"/>
      <c r="L68" s="40"/>
      <c r="M68" s="68"/>
      <c r="N68" s="39" t="str">
        <f>IF(OR('MUSIC-ARTS'!N68="",ARTS!N68="",'PE-HEALTH'!N68="",HEALTH!N68=""),"",IF(ISERROR(ROUND(AVERAGE('MUSIC-ARTS'!N68,ARTS!N68,'PE-HEALTH'!N68,HEALTH!N68),0)),"",ROUND(AVERAGE('MUSIC-ARTS'!N68,ARTS!N68,'PE-HEALTH'!N68,HEALTH!N68),0)))</f>
        <v/>
      </c>
      <c r="O68" s="40"/>
      <c r="P68" s="40"/>
      <c r="Q68" s="68"/>
      <c r="R68" s="39" t="str">
        <f>IF(OR('MUSIC-ARTS'!R68="",ARTS!R68="",'PE-HEALTH'!R68="",HEALTH!R68=""),"",IF(ISERROR(ROUND(AVERAGE('MUSIC-ARTS'!R68,ARTS!R68,'PE-HEALTH'!R68,HEALTH!R68),0)),"",ROUND(AVERAGE('MUSIC-ARTS'!R68,ARTS!R68,'PE-HEALTH'!R68,HEALTH!R68),0)))</f>
        <v/>
      </c>
      <c r="S68" s="40"/>
      <c r="T68" s="40"/>
      <c r="U68" s="68"/>
      <c r="V68" s="81" t="str">
        <f t="shared" si="0"/>
        <v/>
      </c>
      <c r="W68" s="82"/>
      <c r="X68" s="82"/>
      <c r="Y68" s="93"/>
      <c r="Z68" s="97" t="str">
        <f t="shared" si="1"/>
        <v/>
      </c>
      <c r="AA68" s="98"/>
      <c r="AB68" s="99"/>
    </row>
    <row r="69" ht="15" spans="1:28">
      <c r="A69" s="37">
        <v>18</v>
      </c>
      <c r="B69" s="33" t="str">
        <f>'INPUT DATA'!B70:D70</f>
        <v>PELINGON , ASHLEY C.</v>
      </c>
      <c r="C69" s="38"/>
      <c r="D69" s="38"/>
      <c r="E69" s="41"/>
      <c r="F69" s="54" t="str">
        <f>IF(OR('MUSIC-ARTS'!F69="",ARTS!F69="",'PE-HEALTH'!F69="",HEALTH!F69=""),"",IF(ISERROR(ROUND(AVERAGE('MUSIC-ARTS'!F69,ARTS!F69,'PE-HEALTH'!F69,HEALTH!F69),0)),"",ROUND(AVERAGE('MUSIC-ARTS'!F69,ARTS!F69,'PE-HEALTH'!F69,HEALTH!F69),0)))</f>
        <v/>
      </c>
      <c r="G69" s="55"/>
      <c r="H69" s="55"/>
      <c r="I69" s="73"/>
      <c r="J69" s="39" t="str">
        <f>IF(OR('MUSIC-ARTS'!J69="",ARTS!J69="",'PE-HEALTH'!J69="",HEALTH!J69=""),"",IF(ISERROR(ROUND(AVERAGE('MUSIC-ARTS'!J69,ARTS!J69,'PE-HEALTH'!J69,HEALTH!J69),0)),"",ROUND(AVERAGE('MUSIC-ARTS'!J69,ARTS!J69,'PE-HEALTH'!J69,HEALTH!J69),0)))</f>
        <v/>
      </c>
      <c r="K69" s="40"/>
      <c r="L69" s="40"/>
      <c r="M69" s="68"/>
      <c r="N69" s="39" t="str">
        <f>IF(OR('MUSIC-ARTS'!N69="",ARTS!N69="",'PE-HEALTH'!N69="",HEALTH!N69=""),"",IF(ISERROR(ROUND(AVERAGE('MUSIC-ARTS'!N69,ARTS!N69,'PE-HEALTH'!N69,HEALTH!N69),0)),"",ROUND(AVERAGE('MUSIC-ARTS'!N69,ARTS!N69,'PE-HEALTH'!N69,HEALTH!N69),0)))</f>
        <v/>
      </c>
      <c r="O69" s="40"/>
      <c r="P69" s="40"/>
      <c r="Q69" s="68"/>
      <c r="R69" s="39" t="str">
        <f>IF(OR('MUSIC-ARTS'!R69="",ARTS!R69="",'PE-HEALTH'!R69="",HEALTH!R69=""),"",IF(ISERROR(ROUND(AVERAGE('MUSIC-ARTS'!R69,ARTS!R69,'PE-HEALTH'!R69,HEALTH!R69),0)),"",ROUND(AVERAGE('MUSIC-ARTS'!R69,ARTS!R69,'PE-HEALTH'!R69,HEALTH!R69),0)))</f>
        <v/>
      </c>
      <c r="S69" s="40"/>
      <c r="T69" s="40"/>
      <c r="U69" s="68"/>
      <c r="V69" s="81" t="str">
        <f t="shared" si="0"/>
        <v/>
      </c>
      <c r="W69" s="82"/>
      <c r="X69" s="82"/>
      <c r="Y69" s="93"/>
      <c r="Z69" s="97" t="str">
        <f t="shared" si="1"/>
        <v/>
      </c>
      <c r="AA69" s="98"/>
      <c r="AB69" s="99"/>
    </row>
    <row r="70" ht="15" spans="1:28">
      <c r="A70" s="37">
        <v>19</v>
      </c>
      <c r="B70" s="33" t="str">
        <f>'INPUT DATA'!B71:D71</f>
        <v>PEREZ, MERCY JEAN T.</v>
      </c>
      <c r="C70" s="38"/>
      <c r="D70" s="38"/>
      <c r="E70" s="41"/>
      <c r="F70" s="54" t="str">
        <f>IF(OR('MUSIC-ARTS'!F70="",ARTS!F70="",'PE-HEALTH'!F70="",HEALTH!F70=""),"",IF(ISERROR(ROUND(AVERAGE('MUSIC-ARTS'!F70,ARTS!F70,'PE-HEALTH'!F70,HEALTH!F70),0)),"",ROUND(AVERAGE('MUSIC-ARTS'!F70,ARTS!F70,'PE-HEALTH'!F70,HEALTH!F70),0)))</f>
        <v/>
      </c>
      <c r="G70" s="55"/>
      <c r="H70" s="55"/>
      <c r="I70" s="73"/>
      <c r="J70" s="39" t="str">
        <f>IF(OR('MUSIC-ARTS'!J70="",ARTS!J70="",'PE-HEALTH'!J70="",HEALTH!J70=""),"",IF(ISERROR(ROUND(AVERAGE('MUSIC-ARTS'!J70,ARTS!J70,'PE-HEALTH'!J70,HEALTH!J70),0)),"",ROUND(AVERAGE('MUSIC-ARTS'!J70,ARTS!J70,'PE-HEALTH'!J70,HEALTH!J70),0)))</f>
        <v/>
      </c>
      <c r="K70" s="40"/>
      <c r="L70" s="40"/>
      <c r="M70" s="68"/>
      <c r="N70" s="39" t="str">
        <f>IF(OR('MUSIC-ARTS'!N70="",ARTS!N70="",'PE-HEALTH'!N70="",HEALTH!N70=""),"",IF(ISERROR(ROUND(AVERAGE('MUSIC-ARTS'!N70,ARTS!N70,'PE-HEALTH'!N70,HEALTH!N70),0)),"",ROUND(AVERAGE('MUSIC-ARTS'!N70,ARTS!N70,'PE-HEALTH'!N70,HEALTH!N70),0)))</f>
        <v/>
      </c>
      <c r="O70" s="40"/>
      <c r="P70" s="40"/>
      <c r="Q70" s="68"/>
      <c r="R70" s="39" t="str">
        <f>IF(OR('MUSIC-ARTS'!R70="",ARTS!R70="",'PE-HEALTH'!R70="",HEALTH!R70=""),"",IF(ISERROR(ROUND(AVERAGE('MUSIC-ARTS'!R70,ARTS!R70,'PE-HEALTH'!R70,HEALTH!R70),0)),"",ROUND(AVERAGE('MUSIC-ARTS'!R70,ARTS!R70,'PE-HEALTH'!R70,HEALTH!R70),0)))</f>
        <v/>
      </c>
      <c r="S70" s="40"/>
      <c r="T70" s="40"/>
      <c r="U70" s="68"/>
      <c r="V70" s="81" t="str">
        <f t="shared" si="0"/>
        <v/>
      </c>
      <c r="W70" s="82"/>
      <c r="X70" s="82"/>
      <c r="Y70" s="93"/>
      <c r="Z70" s="97" t="str">
        <f t="shared" si="1"/>
        <v/>
      </c>
      <c r="AA70" s="98"/>
      <c r="AB70" s="99"/>
    </row>
    <row r="71" ht="15" spans="1:28">
      <c r="A71" s="37">
        <v>20</v>
      </c>
      <c r="B71" s="33" t="str">
        <f>'INPUT DATA'!B72:D72</f>
        <v>PINGOT, RHEA L.</v>
      </c>
      <c r="C71" s="38"/>
      <c r="D71" s="38"/>
      <c r="E71" s="41"/>
      <c r="F71" s="54" t="str">
        <f>IF(OR('MUSIC-ARTS'!F71="",ARTS!F71="",'PE-HEALTH'!F71="",HEALTH!F71=""),"",IF(ISERROR(ROUND(AVERAGE('MUSIC-ARTS'!F71,ARTS!F71,'PE-HEALTH'!F71,HEALTH!F71),0)),"",ROUND(AVERAGE('MUSIC-ARTS'!F71,ARTS!F71,'PE-HEALTH'!F71,HEALTH!F71),0)))</f>
        <v/>
      </c>
      <c r="G71" s="55"/>
      <c r="H71" s="55"/>
      <c r="I71" s="73"/>
      <c r="J71" s="39" t="str">
        <f>IF(OR('MUSIC-ARTS'!J71="",ARTS!J71="",'PE-HEALTH'!J71="",HEALTH!J71=""),"",IF(ISERROR(ROUND(AVERAGE('MUSIC-ARTS'!J71,ARTS!J71,'PE-HEALTH'!J71,HEALTH!J71),0)),"",ROUND(AVERAGE('MUSIC-ARTS'!J71,ARTS!J71,'PE-HEALTH'!J71,HEALTH!J71),0)))</f>
        <v/>
      </c>
      <c r="K71" s="40"/>
      <c r="L71" s="40"/>
      <c r="M71" s="68"/>
      <c r="N71" s="39" t="str">
        <f>IF(OR('MUSIC-ARTS'!N71="",ARTS!N71="",'PE-HEALTH'!N71="",HEALTH!N71=""),"",IF(ISERROR(ROUND(AVERAGE('MUSIC-ARTS'!N71,ARTS!N71,'PE-HEALTH'!N71,HEALTH!N71),0)),"",ROUND(AVERAGE('MUSIC-ARTS'!N71,ARTS!N71,'PE-HEALTH'!N71,HEALTH!N71),0)))</f>
        <v/>
      </c>
      <c r="O71" s="40"/>
      <c r="P71" s="40"/>
      <c r="Q71" s="68"/>
      <c r="R71" s="39" t="str">
        <f>IF(OR('MUSIC-ARTS'!R71="",ARTS!R71="",'PE-HEALTH'!R71="",HEALTH!R71=""),"",IF(ISERROR(ROUND(AVERAGE('MUSIC-ARTS'!R71,ARTS!R71,'PE-HEALTH'!R71,HEALTH!R71),0)),"",ROUND(AVERAGE('MUSIC-ARTS'!R71,ARTS!R71,'PE-HEALTH'!R71,HEALTH!R71),0)))</f>
        <v/>
      </c>
      <c r="S71" s="40"/>
      <c r="T71" s="40"/>
      <c r="U71" s="68"/>
      <c r="V71" s="81" t="str">
        <f t="shared" si="0"/>
        <v/>
      </c>
      <c r="W71" s="82"/>
      <c r="X71" s="82"/>
      <c r="Y71" s="93"/>
      <c r="Z71" s="97" t="str">
        <f t="shared" si="1"/>
        <v/>
      </c>
      <c r="AA71" s="98"/>
      <c r="AB71" s="99"/>
    </row>
    <row r="72" ht="15" spans="1:28">
      <c r="A72" s="37">
        <v>21</v>
      </c>
      <c r="B72" s="33" t="str">
        <f>'INPUT DATA'!B73:D73</f>
        <v>QUILAT, FERRA MAE</v>
      </c>
      <c r="C72" s="38"/>
      <c r="D72" s="38"/>
      <c r="E72" s="41"/>
      <c r="F72" s="54" t="str">
        <f>IF(OR('MUSIC-ARTS'!F72="",ARTS!F72="",'PE-HEALTH'!F72="",HEALTH!F72=""),"",IF(ISERROR(ROUND(AVERAGE('MUSIC-ARTS'!F72,ARTS!F72,'PE-HEALTH'!F72,HEALTH!F72),0)),"",ROUND(AVERAGE('MUSIC-ARTS'!F72,ARTS!F72,'PE-HEALTH'!F72,HEALTH!F72),0)))</f>
        <v/>
      </c>
      <c r="G72" s="55"/>
      <c r="H72" s="55"/>
      <c r="I72" s="73"/>
      <c r="J72" s="39" t="str">
        <f>IF(OR('MUSIC-ARTS'!J72="",ARTS!J72="",'PE-HEALTH'!J72="",HEALTH!J72=""),"",IF(ISERROR(ROUND(AVERAGE('MUSIC-ARTS'!J72,ARTS!J72,'PE-HEALTH'!J72,HEALTH!J72),0)),"",ROUND(AVERAGE('MUSIC-ARTS'!J72,ARTS!J72,'PE-HEALTH'!J72,HEALTH!J72),0)))</f>
        <v/>
      </c>
      <c r="K72" s="40"/>
      <c r="L72" s="40"/>
      <c r="M72" s="68"/>
      <c r="N72" s="39" t="str">
        <f>IF(OR('MUSIC-ARTS'!N72="",ARTS!N72="",'PE-HEALTH'!N72="",HEALTH!N72=""),"",IF(ISERROR(ROUND(AVERAGE('MUSIC-ARTS'!N72,ARTS!N72,'PE-HEALTH'!N72,HEALTH!N72),0)),"",ROUND(AVERAGE('MUSIC-ARTS'!N72,ARTS!N72,'PE-HEALTH'!N72,HEALTH!N72),0)))</f>
        <v/>
      </c>
      <c r="O72" s="40"/>
      <c r="P72" s="40"/>
      <c r="Q72" s="68"/>
      <c r="R72" s="39" t="str">
        <f>IF(OR('MUSIC-ARTS'!R72="",ARTS!R72="",'PE-HEALTH'!R72="",HEALTH!R72=""),"",IF(ISERROR(ROUND(AVERAGE('MUSIC-ARTS'!R72,ARTS!R72,'PE-HEALTH'!R72,HEALTH!R72),0)),"",ROUND(AVERAGE('MUSIC-ARTS'!R72,ARTS!R72,'PE-HEALTH'!R72,HEALTH!R72),0)))</f>
        <v/>
      </c>
      <c r="S72" s="40"/>
      <c r="T72" s="40"/>
      <c r="U72" s="68"/>
      <c r="V72" s="81" t="str">
        <f t="shared" si="0"/>
        <v/>
      </c>
      <c r="W72" s="82"/>
      <c r="X72" s="82"/>
      <c r="Y72" s="93"/>
      <c r="Z72" s="97" t="str">
        <f t="shared" si="1"/>
        <v/>
      </c>
      <c r="AA72" s="98"/>
      <c r="AB72" s="99"/>
    </row>
    <row r="73" ht="15" spans="1:28">
      <c r="A73" s="37">
        <v>22</v>
      </c>
      <c r="B73" s="33" t="str">
        <f>'INPUT DATA'!B74:D74</f>
        <v>ROSALES, RYZA MAE C.</v>
      </c>
      <c r="C73" s="38"/>
      <c r="D73" s="38"/>
      <c r="E73" s="41"/>
      <c r="F73" s="54" t="str">
        <f>IF(OR('MUSIC-ARTS'!F73="",ARTS!F73="",'PE-HEALTH'!F73="",HEALTH!F73=""),"",IF(ISERROR(ROUND(AVERAGE('MUSIC-ARTS'!F73,ARTS!F73,'PE-HEALTH'!F73,HEALTH!F73),0)),"",ROUND(AVERAGE('MUSIC-ARTS'!F73,ARTS!F73,'PE-HEALTH'!F73,HEALTH!F73),0)))</f>
        <v/>
      </c>
      <c r="G73" s="55"/>
      <c r="H73" s="55"/>
      <c r="I73" s="73"/>
      <c r="J73" s="39" t="str">
        <f>IF(OR('MUSIC-ARTS'!J73="",ARTS!J73="",'PE-HEALTH'!J73="",HEALTH!J73=""),"",IF(ISERROR(ROUND(AVERAGE('MUSIC-ARTS'!J73,ARTS!J73,'PE-HEALTH'!J73,HEALTH!J73),0)),"",ROUND(AVERAGE('MUSIC-ARTS'!J73,ARTS!J73,'PE-HEALTH'!J73,HEALTH!J73),0)))</f>
        <v/>
      </c>
      <c r="K73" s="40"/>
      <c r="L73" s="40"/>
      <c r="M73" s="68"/>
      <c r="N73" s="39" t="str">
        <f>IF(OR('MUSIC-ARTS'!N73="",ARTS!N73="",'PE-HEALTH'!N73="",HEALTH!N73=""),"",IF(ISERROR(ROUND(AVERAGE('MUSIC-ARTS'!N73,ARTS!N73,'PE-HEALTH'!N73,HEALTH!N73),0)),"",ROUND(AVERAGE('MUSIC-ARTS'!N73,ARTS!N73,'PE-HEALTH'!N73,HEALTH!N73),0)))</f>
        <v/>
      </c>
      <c r="O73" s="40"/>
      <c r="P73" s="40"/>
      <c r="Q73" s="68"/>
      <c r="R73" s="39" t="str">
        <f>IF(OR('MUSIC-ARTS'!R73="",ARTS!R73="",'PE-HEALTH'!R73="",HEALTH!R73=""),"",IF(ISERROR(ROUND(AVERAGE('MUSIC-ARTS'!R73,ARTS!R73,'PE-HEALTH'!R73,HEALTH!R73),0)),"",ROUND(AVERAGE('MUSIC-ARTS'!R73,ARTS!R73,'PE-HEALTH'!R73,HEALTH!R73),0)))</f>
        <v/>
      </c>
      <c r="S73" s="40"/>
      <c r="T73" s="40"/>
      <c r="U73" s="68"/>
      <c r="V73" s="81" t="str">
        <f t="shared" si="0"/>
        <v/>
      </c>
      <c r="W73" s="82"/>
      <c r="X73" s="82"/>
      <c r="Y73" s="93"/>
      <c r="Z73" s="97" t="str">
        <f t="shared" si="1"/>
        <v/>
      </c>
      <c r="AA73" s="98"/>
      <c r="AB73" s="99"/>
    </row>
    <row r="74" ht="15" spans="1:28">
      <c r="A74" s="37">
        <v>23</v>
      </c>
      <c r="B74" s="33">
        <f>'INPUT DATA'!B75:D75</f>
        <v>0</v>
      </c>
      <c r="C74" s="38"/>
      <c r="D74" s="38"/>
      <c r="E74" s="41"/>
      <c r="F74" s="54" t="str">
        <f>IF(OR('MUSIC-ARTS'!F74="",ARTS!F74="",'PE-HEALTH'!F74="",HEALTH!F74=""),"",IF(ISERROR(ROUND(AVERAGE('MUSIC-ARTS'!F74,ARTS!F74,'PE-HEALTH'!F74,HEALTH!F74),0)),"",ROUND(AVERAGE('MUSIC-ARTS'!F74,ARTS!F74,'PE-HEALTH'!F74,HEALTH!F74),0)))</f>
        <v/>
      </c>
      <c r="G74" s="55"/>
      <c r="H74" s="55"/>
      <c r="I74" s="73"/>
      <c r="J74" s="39" t="str">
        <f>IF(OR('MUSIC-ARTS'!J74="",ARTS!J74="",'PE-HEALTH'!J74="",HEALTH!J74=""),"",IF(ISERROR(ROUND(AVERAGE('MUSIC-ARTS'!J74,ARTS!J74,'PE-HEALTH'!J74,HEALTH!J74),0)),"",ROUND(AVERAGE('MUSIC-ARTS'!J74,ARTS!J74,'PE-HEALTH'!J74,HEALTH!J74),0)))</f>
        <v/>
      </c>
      <c r="K74" s="40"/>
      <c r="L74" s="40"/>
      <c r="M74" s="68"/>
      <c r="N74" s="39" t="str">
        <f>IF(OR('MUSIC-ARTS'!N74="",ARTS!N74="",'PE-HEALTH'!N74="",HEALTH!N74=""),"",IF(ISERROR(ROUND(AVERAGE('MUSIC-ARTS'!N74,ARTS!N74,'PE-HEALTH'!N74,HEALTH!N74),0)),"",ROUND(AVERAGE('MUSIC-ARTS'!N74,ARTS!N74,'PE-HEALTH'!N74,HEALTH!N74),0)))</f>
        <v/>
      </c>
      <c r="O74" s="40"/>
      <c r="P74" s="40"/>
      <c r="Q74" s="68"/>
      <c r="R74" s="39" t="str">
        <f>IF(OR('MUSIC-ARTS'!R74="",ARTS!R74="",'PE-HEALTH'!R74="",HEALTH!R74=""),"",IF(ISERROR(ROUND(AVERAGE('MUSIC-ARTS'!R74,ARTS!R74,'PE-HEALTH'!R74,HEALTH!R74),0)),"",ROUND(AVERAGE('MUSIC-ARTS'!R74,ARTS!R74,'PE-HEALTH'!R74,HEALTH!R74),0)))</f>
        <v/>
      </c>
      <c r="S74" s="40"/>
      <c r="T74" s="40"/>
      <c r="U74" s="68"/>
      <c r="V74" s="81" t="str">
        <f t="shared" si="0"/>
        <v/>
      </c>
      <c r="W74" s="82"/>
      <c r="X74" s="82"/>
      <c r="Y74" s="93"/>
      <c r="Z74" s="97" t="str">
        <f t="shared" si="1"/>
        <v/>
      </c>
      <c r="AA74" s="98"/>
      <c r="AB74" s="99"/>
    </row>
    <row r="75" ht="15" spans="1:28">
      <c r="A75" s="37">
        <v>24</v>
      </c>
      <c r="B75" s="33">
        <f>'INPUT DATA'!B76:D76</f>
        <v>0</v>
      </c>
      <c r="C75" s="38"/>
      <c r="D75" s="38"/>
      <c r="E75" s="41"/>
      <c r="F75" s="54" t="str">
        <f>IF(OR('MUSIC-ARTS'!F75="",ARTS!F75="",'PE-HEALTH'!F75="",HEALTH!F75=""),"",IF(ISERROR(ROUND(AVERAGE('MUSIC-ARTS'!F75,ARTS!F75,'PE-HEALTH'!F75,HEALTH!F75),0)),"",ROUND(AVERAGE('MUSIC-ARTS'!F75,ARTS!F75,'PE-HEALTH'!F75,HEALTH!F75),0)))</f>
        <v/>
      </c>
      <c r="G75" s="55"/>
      <c r="H75" s="55"/>
      <c r="I75" s="73"/>
      <c r="J75" s="39" t="str">
        <f>IF(OR('MUSIC-ARTS'!J75="",ARTS!J75="",'PE-HEALTH'!J75="",HEALTH!J75=""),"",IF(ISERROR(ROUND(AVERAGE('MUSIC-ARTS'!J75,ARTS!J75,'PE-HEALTH'!J75,HEALTH!J75),0)),"",ROUND(AVERAGE('MUSIC-ARTS'!J75,ARTS!J75,'PE-HEALTH'!J75,HEALTH!J75),0)))</f>
        <v/>
      </c>
      <c r="K75" s="40"/>
      <c r="L75" s="40"/>
      <c r="M75" s="68"/>
      <c r="N75" s="39" t="str">
        <f>IF(OR('MUSIC-ARTS'!N75="",ARTS!N75="",'PE-HEALTH'!N75="",HEALTH!N75=""),"",IF(ISERROR(ROUND(AVERAGE('MUSIC-ARTS'!N75,ARTS!N75,'PE-HEALTH'!N75,HEALTH!N75),0)),"",ROUND(AVERAGE('MUSIC-ARTS'!N75,ARTS!N75,'PE-HEALTH'!N75,HEALTH!N75),0)))</f>
        <v/>
      </c>
      <c r="O75" s="40"/>
      <c r="P75" s="40"/>
      <c r="Q75" s="68"/>
      <c r="R75" s="39" t="str">
        <f>IF(OR('MUSIC-ARTS'!R75="",ARTS!R75="",'PE-HEALTH'!R75="",HEALTH!R75=""),"",IF(ISERROR(ROUND(AVERAGE('MUSIC-ARTS'!R75,ARTS!R75,'PE-HEALTH'!R75,HEALTH!R75),0)),"",ROUND(AVERAGE('MUSIC-ARTS'!R75,ARTS!R75,'PE-HEALTH'!R75,HEALTH!R75),0)))</f>
        <v/>
      </c>
      <c r="S75" s="40"/>
      <c r="T75" s="40"/>
      <c r="U75" s="68"/>
      <c r="V75" s="81" t="str">
        <f t="shared" si="0"/>
        <v/>
      </c>
      <c r="W75" s="82"/>
      <c r="X75" s="82"/>
      <c r="Y75" s="93"/>
      <c r="Z75" s="97" t="str">
        <f t="shared" si="1"/>
        <v/>
      </c>
      <c r="AA75" s="98"/>
      <c r="AB75" s="99"/>
    </row>
    <row r="76" ht="15" spans="1:28">
      <c r="A76" s="37">
        <v>25</v>
      </c>
      <c r="B76" s="33">
        <f>'INPUT DATA'!B77:D77</f>
        <v>0</v>
      </c>
      <c r="C76" s="38"/>
      <c r="D76" s="38"/>
      <c r="E76" s="41"/>
      <c r="F76" s="54" t="str">
        <f>IF(OR('MUSIC-ARTS'!F76="",ARTS!F76="",'PE-HEALTH'!F76="",HEALTH!F76=""),"",IF(ISERROR(ROUND(AVERAGE('MUSIC-ARTS'!F76,ARTS!F76,'PE-HEALTH'!F76,HEALTH!F76),0)),"",ROUND(AVERAGE('MUSIC-ARTS'!F76,ARTS!F76,'PE-HEALTH'!F76,HEALTH!F76),0)))</f>
        <v/>
      </c>
      <c r="G76" s="55"/>
      <c r="H76" s="55"/>
      <c r="I76" s="73"/>
      <c r="J76" s="39" t="str">
        <f>IF(OR('MUSIC-ARTS'!J76="",ARTS!J76="",'PE-HEALTH'!J76="",HEALTH!J76=""),"",IF(ISERROR(ROUND(AVERAGE('MUSIC-ARTS'!J76,ARTS!J76,'PE-HEALTH'!J76,HEALTH!J76),0)),"",ROUND(AVERAGE('MUSIC-ARTS'!J76,ARTS!J76,'PE-HEALTH'!J76,HEALTH!J76),0)))</f>
        <v/>
      </c>
      <c r="K76" s="40"/>
      <c r="L76" s="40"/>
      <c r="M76" s="68"/>
      <c r="N76" s="39" t="str">
        <f>IF(OR('MUSIC-ARTS'!N76="",ARTS!N76="",'PE-HEALTH'!N76="",HEALTH!N76=""),"",IF(ISERROR(ROUND(AVERAGE('MUSIC-ARTS'!N76,ARTS!N76,'PE-HEALTH'!N76,HEALTH!N76),0)),"",ROUND(AVERAGE('MUSIC-ARTS'!N76,ARTS!N76,'PE-HEALTH'!N76,HEALTH!N76),0)))</f>
        <v/>
      </c>
      <c r="O76" s="40"/>
      <c r="P76" s="40"/>
      <c r="Q76" s="68"/>
      <c r="R76" s="39" t="str">
        <f>IF(OR('MUSIC-ARTS'!R76="",ARTS!R76="",'PE-HEALTH'!R76="",HEALTH!R76=""),"",IF(ISERROR(ROUND(AVERAGE('MUSIC-ARTS'!R76,ARTS!R76,'PE-HEALTH'!R76,HEALTH!R76),0)),"",ROUND(AVERAGE('MUSIC-ARTS'!R76,ARTS!R76,'PE-HEALTH'!R76,HEALTH!R76),0)))</f>
        <v/>
      </c>
      <c r="S76" s="40"/>
      <c r="T76" s="40"/>
      <c r="U76" s="68"/>
      <c r="V76" s="81" t="str">
        <f t="shared" ref="V76:V86" si="2">IF(OR(F76="",J76="",N76="",R76=""),"",IF(ISERROR(ROUND(AVERAGE(F76,J76,N76,R76),0)),"",ROUND(AVERAGE(F76,J76,N76,R76),0)))</f>
        <v/>
      </c>
      <c r="W76" s="82"/>
      <c r="X76" s="82"/>
      <c r="Y76" s="93"/>
      <c r="Z76" s="97" t="str">
        <f t="shared" ref="Z76:Z86" si="3">IF(OR($F76="",$J76="",$N76="",$R76="",$V76=""),"",IF($V76&gt;=75,"PASSED","FAILED"))</f>
        <v/>
      </c>
      <c r="AA76" s="98"/>
      <c r="AB76" s="99"/>
    </row>
    <row r="77" ht="15" hidden="1" spans="1:28">
      <c r="A77" s="42">
        <v>26</v>
      </c>
      <c r="B77" s="33">
        <f>'INPUT DATA'!B78:D78</f>
        <v>0</v>
      </c>
      <c r="C77" s="107"/>
      <c r="D77" s="107"/>
      <c r="E77" s="108"/>
      <c r="F77" s="54" t="str">
        <f>IF(OR('MUSIC-ARTS'!F77="",ARTS!F77="",'PE-HEALTH'!F77="",HEALTH!F77=""),"",IF(ISERROR(ROUND(AVERAGE('MUSIC-ARTS'!F77,ARTS!F77,'PE-HEALTH'!F77,HEALTH!F77),0)),"",ROUND(AVERAGE('MUSIC-ARTS'!F77,ARTS!F77,'PE-HEALTH'!F77,HEALTH!F77),0)))</f>
        <v/>
      </c>
      <c r="G77" s="55"/>
      <c r="H77" s="55"/>
      <c r="I77" s="73"/>
      <c r="J77" s="39" t="str">
        <f>IF(OR('MUSIC-ARTS'!J77="",ARTS!J77="",'PE-HEALTH'!J77="",HEALTH!J77=""),"",IF(ISERROR(ROUND(AVERAGE('MUSIC-ARTS'!J77,ARTS!J77,'PE-HEALTH'!J77,HEALTH!J77),0)),"",ROUND(AVERAGE('MUSIC-ARTS'!J77,ARTS!J77,'PE-HEALTH'!J77,HEALTH!J77),0)))</f>
        <v/>
      </c>
      <c r="K77" s="40"/>
      <c r="L77" s="40"/>
      <c r="M77" s="68"/>
      <c r="N77" s="39" t="str">
        <f>IF(OR('MUSIC-ARTS'!N77="",ARTS!N77="",'PE-HEALTH'!N77="",HEALTH!N77=""),"",IF(ISERROR(ROUND(AVERAGE('MUSIC-ARTS'!N77,ARTS!N77,'PE-HEALTH'!N77,HEALTH!N77),0)),"",ROUND(AVERAGE('MUSIC-ARTS'!N77,ARTS!N77,'PE-HEALTH'!N77,HEALTH!N77),0)))</f>
        <v/>
      </c>
      <c r="O77" s="40"/>
      <c r="P77" s="40"/>
      <c r="Q77" s="68"/>
      <c r="R77" s="39" t="str">
        <f>IF(OR('MUSIC-ARTS'!R77="",ARTS!R77="",'PE-HEALTH'!R77="",HEALTH!R77=""),"",IF(ISERROR(ROUND(AVERAGE('MUSIC-ARTS'!R77,ARTS!R77,'PE-HEALTH'!R77,HEALTH!R77),0)),"",ROUND(AVERAGE('MUSIC-ARTS'!R77,ARTS!R77,'PE-HEALTH'!R77,HEALTH!R77),0)))</f>
        <v/>
      </c>
      <c r="S77" s="40"/>
      <c r="T77" s="40"/>
      <c r="U77" s="68"/>
      <c r="V77" s="81" t="str">
        <f t="shared" si="2"/>
        <v/>
      </c>
      <c r="W77" s="82"/>
      <c r="X77" s="82"/>
      <c r="Y77" s="93"/>
      <c r="Z77" s="97" t="str">
        <f t="shared" si="3"/>
        <v/>
      </c>
      <c r="AA77" s="98"/>
      <c r="AB77" s="99"/>
    </row>
    <row r="78" ht="15" hidden="1" spans="1:28">
      <c r="A78" s="42">
        <v>27</v>
      </c>
      <c r="B78" s="33">
        <f>'INPUT DATA'!B79:D79</f>
        <v>0</v>
      </c>
      <c r="C78" s="109"/>
      <c r="D78" s="109"/>
      <c r="E78" s="110"/>
      <c r="F78" s="54" t="str">
        <f>IF(OR('MUSIC-ARTS'!F78="",ARTS!F78="",'PE-HEALTH'!F78="",HEALTH!F78=""),"",IF(ISERROR(ROUND(AVERAGE('MUSIC-ARTS'!F78,ARTS!F78,'PE-HEALTH'!F78,HEALTH!F78),0)),"",ROUND(AVERAGE('MUSIC-ARTS'!F78,ARTS!F78,'PE-HEALTH'!F78,HEALTH!F78),0)))</f>
        <v/>
      </c>
      <c r="G78" s="55"/>
      <c r="H78" s="55"/>
      <c r="I78" s="73"/>
      <c r="J78" s="39" t="str">
        <f>IF(OR('MUSIC-ARTS'!J78="",ARTS!J78="",'PE-HEALTH'!J78="",HEALTH!J78=""),"",IF(ISERROR(ROUND(AVERAGE('MUSIC-ARTS'!J78,ARTS!J78,'PE-HEALTH'!J78,HEALTH!J78),0)),"",ROUND(AVERAGE('MUSIC-ARTS'!J78,ARTS!J78,'PE-HEALTH'!J78,HEALTH!J78),0)))</f>
        <v/>
      </c>
      <c r="K78" s="40"/>
      <c r="L78" s="40"/>
      <c r="M78" s="68"/>
      <c r="N78" s="39" t="str">
        <f>IF(OR('MUSIC-ARTS'!N78="",ARTS!N78="",'PE-HEALTH'!N78="",HEALTH!N78=""),"",IF(ISERROR(ROUND(AVERAGE('MUSIC-ARTS'!N78,ARTS!N78,'PE-HEALTH'!N78,HEALTH!N78),0)),"",ROUND(AVERAGE('MUSIC-ARTS'!N78,ARTS!N78,'PE-HEALTH'!N78,HEALTH!N78),0)))</f>
        <v/>
      </c>
      <c r="O78" s="40"/>
      <c r="P78" s="40"/>
      <c r="Q78" s="68"/>
      <c r="R78" s="39" t="str">
        <f>IF(OR('MUSIC-ARTS'!R78="",ARTS!R78="",'PE-HEALTH'!R78="",HEALTH!R78=""),"",IF(ISERROR(ROUND(AVERAGE('MUSIC-ARTS'!R78,ARTS!R78,'PE-HEALTH'!R78,HEALTH!R78),0)),"",ROUND(AVERAGE('MUSIC-ARTS'!R78,ARTS!R78,'PE-HEALTH'!R78,HEALTH!R78),0)))</f>
        <v/>
      </c>
      <c r="S78" s="40"/>
      <c r="T78" s="40"/>
      <c r="U78" s="68"/>
      <c r="V78" s="81" t="str">
        <f t="shared" si="2"/>
        <v/>
      </c>
      <c r="W78" s="82"/>
      <c r="X78" s="82"/>
      <c r="Y78" s="93"/>
      <c r="Z78" s="97" t="str">
        <f t="shared" si="3"/>
        <v/>
      </c>
      <c r="AA78" s="98"/>
      <c r="AB78" s="99"/>
    </row>
    <row r="79" ht="15" hidden="1" spans="1:28">
      <c r="A79" s="42">
        <v>28</v>
      </c>
      <c r="B79" s="33">
        <f>'INPUT DATA'!B80:D80</f>
        <v>0</v>
      </c>
      <c r="C79" s="109"/>
      <c r="D79" s="109"/>
      <c r="E79" s="110"/>
      <c r="F79" s="54" t="str">
        <f>IF(OR('MUSIC-ARTS'!F79="",ARTS!F79="",'PE-HEALTH'!F79="",HEALTH!F79=""),"",IF(ISERROR(ROUND(AVERAGE('MUSIC-ARTS'!F79,ARTS!F79,'PE-HEALTH'!F79,HEALTH!F79),0)),"",ROUND(AVERAGE('MUSIC-ARTS'!F79,ARTS!F79,'PE-HEALTH'!F79,HEALTH!F79),0)))</f>
        <v/>
      </c>
      <c r="G79" s="55"/>
      <c r="H79" s="55"/>
      <c r="I79" s="73"/>
      <c r="J79" s="39" t="str">
        <f>IF(OR('MUSIC-ARTS'!J79="",ARTS!J79="",'PE-HEALTH'!J79="",HEALTH!J79=""),"",IF(ISERROR(ROUND(AVERAGE('MUSIC-ARTS'!J79,ARTS!J79,'PE-HEALTH'!J79,HEALTH!J79),0)),"",ROUND(AVERAGE('MUSIC-ARTS'!J79,ARTS!J79,'PE-HEALTH'!J79,HEALTH!J79),0)))</f>
        <v/>
      </c>
      <c r="K79" s="40"/>
      <c r="L79" s="40"/>
      <c r="M79" s="68"/>
      <c r="N79" s="39" t="str">
        <f>IF(OR('MUSIC-ARTS'!N79="",ARTS!N79="",'PE-HEALTH'!N79="",HEALTH!N79=""),"",IF(ISERROR(ROUND(AVERAGE('MUSIC-ARTS'!N79,ARTS!N79,'PE-HEALTH'!N79,HEALTH!N79),0)),"",ROUND(AVERAGE('MUSIC-ARTS'!N79,ARTS!N79,'PE-HEALTH'!N79,HEALTH!N79),0)))</f>
        <v/>
      </c>
      <c r="O79" s="40"/>
      <c r="P79" s="40"/>
      <c r="Q79" s="68"/>
      <c r="R79" s="39" t="str">
        <f>IF(OR('MUSIC-ARTS'!R79="",ARTS!R79="",'PE-HEALTH'!R79="",HEALTH!R79=""),"",IF(ISERROR(ROUND(AVERAGE('MUSIC-ARTS'!R79,ARTS!R79,'PE-HEALTH'!R79,HEALTH!R79),0)),"",ROUND(AVERAGE('MUSIC-ARTS'!R79,ARTS!R79,'PE-HEALTH'!R79,HEALTH!R79),0)))</f>
        <v/>
      </c>
      <c r="S79" s="40"/>
      <c r="T79" s="40"/>
      <c r="U79" s="68"/>
      <c r="V79" s="81" t="str">
        <f t="shared" si="2"/>
        <v/>
      </c>
      <c r="W79" s="82"/>
      <c r="X79" s="82"/>
      <c r="Y79" s="93"/>
      <c r="Z79" s="97" t="str">
        <f t="shared" si="3"/>
        <v/>
      </c>
      <c r="AA79" s="98"/>
      <c r="AB79" s="99"/>
    </row>
    <row r="80" ht="15" hidden="1" spans="1:28">
      <c r="A80" s="42">
        <v>29</v>
      </c>
      <c r="B80" s="33">
        <f>'INPUT DATA'!B81:D81</f>
        <v>0</v>
      </c>
      <c r="C80" s="109"/>
      <c r="D80" s="109"/>
      <c r="E80" s="110"/>
      <c r="F80" s="54" t="str">
        <f>IF(OR('MUSIC-ARTS'!F80="",ARTS!F80="",'PE-HEALTH'!F80="",HEALTH!F80=""),"",IF(ISERROR(ROUND(AVERAGE('MUSIC-ARTS'!F80,ARTS!F80,'PE-HEALTH'!F80,HEALTH!F80),0)),"",ROUND(AVERAGE('MUSIC-ARTS'!F80,ARTS!F80,'PE-HEALTH'!F80,HEALTH!F80),0)))</f>
        <v/>
      </c>
      <c r="G80" s="55"/>
      <c r="H80" s="55"/>
      <c r="I80" s="73"/>
      <c r="J80" s="39" t="str">
        <f>IF(OR('MUSIC-ARTS'!J80="",ARTS!J80="",'PE-HEALTH'!J80="",HEALTH!J80=""),"",IF(ISERROR(ROUND(AVERAGE('MUSIC-ARTS'!J80,ARTS!J80,'PE-HEALTH'!J80,HEALTH!J80),0)),"",ROUND(AVERAGE('MUSIC-ARTS'!J80,ARTS!J80,'PE-HEALTH'!J80,HEALTH!J80),0)))</f>
        <v/>
      </c>
      <c r="K80" s="40"/>
      <c r="L80" s="40"/>
      <c r="M80" s="68"/>
      <c r="N80" s="39" t="str">
        <f>IF(OR('MUSIC-ARTS'!N80="",ARTS!N80="",'PE-HEALTH'!N80="",HEALTH!N80=""),"",IF(ISERROR(ROUND(AVERAGE('MUSIC-ARTS'!N80,ARTS!N80,'PE-HEALTH'!N80,HEALTH!N80),0)),"",ROUND(AVERAGE('MUSIC-ARTS'!N80,ARTS!N80,'PE-HEALTH'!N80,HEALTH!N80),0)))</f>
        <v/>
      </c>
      <c r="O80" s="40"/>
      <c r="P80" s="40"/>
      <c r="Q80" s="68"/>
      <c r="R80" s="39" t="str">
        <f>IF(OR('MUSIC-ARTS'!R80="",ARTS!R80="",'PE-HEALTH'!R80="",HEALTH!R80=""),"",IF(ISERROR(ROUND(AVERAGE('MUSIC-ARTS'!R80,ARTS!R80,'PE-HEALTH'!R80,HEALTH!R80),0)),"",ROUND(AVERAGE('MUSIC-ARTS'!R80,ARTS!R80,'PE-HEALTH'!R80,HEALTH!R80),0)))</f>
        <v/>
      </c>
      <c r="S80" s="40"/>
      <c r="T80" s="40"/>
      <c r="U80" s="68"/>
      <c r="V80" s="81" t="str">
        <f t="shared" si="2"/>
        <v/>
      </c>
      <c r="W80" s="82"/>
      <c r="X80" s="82"/>
      <c r="Y80" s="93"/>
      <c r="Z80" s="97" t="str">
        <f t="shared" si="3"/>
        <v/>
      </c>
      <c r="AA80" s="98"/>
      <c r="AB80" s="99"/>
    </row>
    <row r="81" ht="15" hidden="1" spans="1:28">
      <c r="A81" s="42">
        <v>30</v>
      </c>
      <c r="B81" s="33">
        <f>'INPUT DATA'!B82:D82</f>
        <v>0</v>
      </c>
      <c r="C81" s="109"/>
      <c r="D81" s="109"/>
      <c r="E81" s="110"/>
      <c r="F81" s="54" t="str">
        <f>IF(OR('MUSIC-ARTS'!F81="",ARTS!F81="",'PE-HEALTH'!F81="",HEALTH!F81=""),"",IF(ISERROR(ROUND(AVERAGE('MUSIC-ARTS'!F81,ARTS!F81,'PE-HEALTH'!F81,HEALTH!F81),0)),"",ROUND(AVERAGE('MUSIC-ARTS'!F81,ARTS!F81,'PE-HEALTH'!F81,HEALTH!F81),0)))</f>
        <v/>
      </c>
      <c r="G81" s="55"/>
      <c r="H81" s="55"/>
      <c r="I81" s="73"/>
      <c r="J81" s="39" t="str">
        <f>IF(OR('MUSIC-ARTS'!J81="",ARTS!J81="",'PE-HEALTH'!J81="",HEALTH!J81=""),"",IF(ISERROR(ROUND(AVERAGE('MUSIC-ARTS'!J81,ARTS!J81,'PE-HEALTH'!J81,HEALTH!J81),0)),"",ROUND(AVERAGE('MUSIC-ARTS'!J81,ARTS!J81,'PE-HEALTH'!J81,HEALTH!J81),0)))</f>
        <v/>
      </c>
      <c r="K81" s="40"/>
      <c r="L81" s="40"/>
      <c r="M81" s="68"/>
      <c r="N81" s="39" t="str">
        <f>IF(OR('MUSIC-ARTS'!N81="",ARTS!N81="",'PE-HEALTH'!N81="",HEALTH!N81=""),"",IF(ISERROR(ROUND(AVERAGE('MUSIC-ARTS'!N81,ARTS!N81,'PE-HEALTH'!N81,HEALTH!N81),0)),"",ROUND(AVERAGE('MUSIC-ARTS'!N81,ARTS!N81,'PE-HEALTH'!N81,HEALTH!N81),0)))</f>
        <v/>
      </c>
      <c r="O81" s="40"/>
      <c r="P81" s="40"/>
      <c r="Q81" s="68"/>
      <c r="R81" s="39" t="str">
        <f>IF(OR('MUSIC-ARTS'!R81="",ARTS!R81="",'PE-HEALTH'!R81="",HEALTH!R81=""),"",IF(ISERROR(ROUND(AVERAGE('MUSIC-ARTS'!R81,ARTS!R81,'PE-HEALTH'!R81,HEALTH!R81),0)),"",ROUND(AVERAGE('MUSIC-ARTS'!R81,ARTS!R81,'PE-HEALTH'!R81,HEALTH!R81),0)))</f>
        <v/>
      </c>
      <c r="S81" s="40"/>
      <c r="T81" s="40"/>
      <c r="U81" s="68"/>
      <c r="V81" s="81" t="str">
        <f t="shared" si="2"/>
        <v/>
      </c>
      <c r="W81" s="82"/>
      <c r="X81" s="82"/>
      <c r="Y81" s="93"/>
      <c r="Z81" s="97" t="str">
        <f t="shared" si="3"/>
        <v/>
      </c>
      <c r="AA81" s="98"/>
      <c r="AB81" s="99"/>
    </row>
    <row r="82" ht="15" hidden="1" spans="1:28">
      <c r="A82" s="42">
        <v>31</v>
      </c>
      <c r="B82" s="33">
        <f>'INPUT DATA'!B83:D83</f>
        <v>0</v>
      </c>
      <c r="C82" s="109"/>
      <c r="D82" s="109"/>
      <c r="E82" s="110"/>
      <c r="F82" s="54" t="str">
        <f>IF(OR('MUSIC-ARTS'!F82="",ARTS!F82="",'PE-HEALTH'!F82="",HEALTH!F82=""),"",IF(ISERROR(ROUND(AVERAGE('MUSIC-ARTS'!F82,ARTS!F82,'PE-HEALTH'!F82,HEALTH!F82),0)),"",ROUND(AVERAGE('MUSIC-ARTS'!F82,ARTS!F82,'PE-HEALTH'!F82,HEALTH!F82),0)))</f>
        <v/>
      </c>
      <c r="G82" s="55"/>
      <c r="H82" s="55"/>
      <c r="I82" s="73"/>
      <c r="J82" s="39" t="str">
        <f>IF(OR('MUSIC-ARTS'!J82="",ARTS!J82="",'PE-HEALTH'!J82="",HEALTH!J82=""),"",IF(ISERROR(ROUND(AVERAGE('MUSIC-ARTS'!J82,ARTS!J82,'PE-HEALTH'!J82,HEALTH!J82),0)),"",ROUND(AVERAGE('MUSIC-ARTS'!J82,ARTS!J82,'PE-HEALTH'!J82,HEALTH!J82),0)))</f>
        <v/>
      </c>
      <c r="K82" s="40"/>
      <c r="L82" s="40"/>
      <c r="M82" s="68"/>
      <c r="N82" s="39" t="str">
        <f>IF(OR('MUSIC-ARTS'!N82="",ARTS!N82="",'PE-HEALTH'!N82="",HEALTH!N82=""),"",IF(ISERROR(ROUND(AVERAGE('MUSIC-ARTS'!N82,ARTS!N82,'PE-HEALTH'!N82,HEALTH!N82),0)),"",ROUND(AVERAGE('MUSIC-ARTS'!N82,ARTS!N82,'PE-HEALTH'!N82,HEALTH!N82),0)))</f>
        <v/>
      </c>
      <c r="O82" s="40"/>
      <c r="P82" s="40"/>
      <c r="Q82" s="68"/>
      <c r="R82" s="39" t="str">
        <f>IF(OR('MUSIC-ARTS'!R82="",ARTS!R82="",'PE-HEALTH'!R82="",HEALTH!R82=""),"",IF(ISERROR(ROUND(AVERAGE('MUSIC-ARTS'!R82,ARTS!R82,'PE-HEALTH'!R82,HEALTH!R82),0)),"",ROUND(AVERAGE('MUSIC-ARTS'!R82,ARTS!R82,'PE-HEALTH'!R82,HEALTH!R82),0)))</f>
        <v/>
      </c>
      <c r="S82" s="40"/>
      <c r="T82" s="40"/>
      <c r="U82" s="68"/>
      <c r="V82" s="81" t="str">
        <f t="shared" si="2"/>
        <v/>
      </c>
      <c r="W82" s="82"/>
      <c r="X82" s="82"/>
      <c r="Y82" s="93"/>
      <c r="Z82" s="97" t="str">
        <f t="shared" si="3"/>
        <v/>
      </c>
      <c r="AA82" s="98"/>
      <c r="AB82" s="99"/>
    </row>
    <row r="83" ht="15" hidden="1" spans="1:28">
      <c r="A83" s="42">
        <v>32</v>
      </c>
      <c r="B83" s="33">
        <f>'INPUT DATA'!B84:D84</f>
        <v>0</v>
      </c>
      <c r="C83" s="109"/>
      <c r="D83" s="109"/>
      <c r="E83" s="110"/>
      <c r="F83" s="54" t="str">
        <f>IF(OR('MUSIC-ARTS'!F83="",ARTS!F83="",'PE-HEALTH'!F83="",HEALTH!F83=""),"",IF(ISERROR(ROUND(AVERAGE('MUSIC-ARTS'!F83,ARTS!F83,'PE-HEALTH'!F83,HEALTH!F83),0)),"",ROUND(AVERAGE('MUSIC-ARTS'!F83,ARTS!F83,'PE-HEALTH'!F83,HEALTH!F83),0)))</f>
        <v/>
      </c>
      <c r="G83" s="55"/>
      <c r="H83" s="55"/>
      <c r="I83" s="73"/>
      <c r="J83" s="39" t="str">
        <f>IF(OR('MUSIC-ARTS'!J83="",ARTS!J83="",'PE-HEALTH'!J83="",HEALTH!J83=""),"",IF(ISERROR(ROUND(AVERAGE('MUSIC-ARTS'!J83,ARTS!J83,'PE-HEALTH'!J83,HEALTH!J83),0)),"",ROUND(AVERAGE('MUSIC-ARTS'!J83,ARTS!J83,'PE-HEALTH'!J83,HEALTH!J83),0)))</f>
        <v/>
      </c>
      <c r="K83" s="40"/>
      <c r="L83" s="40"/>
      <c r="M83" s="68"/>
      <c r="N83" s="39" t="str">
        <f>IF(OR('MUSIC-ARTS'!N83="",ARTS!N83="",'PE-HEALTH'!N83="",HEALTH!N83=""),"",IF(ISERROR(ROUND(AVERAGE('MUSIC-ARTS'!N83,ARTS!N83,'PE-HEALTH'!N83,HEALTH!N83),0)),"",ROUND(AVERAGE('MUSIC-ARTS'!N83,ARTS!N83,'PE-HEALTH'!N83,HEALTH!N83),0)))</f>
        <v/>
      </c>
      <c r="O83" s="40"/>
      <c r="P83" s="40"/>
      <c r="Q83" s="68"/>
      <c r="R83" s="39" t="str">
        <f>IF(OR('MUSIC-ARTS'!R83="",ARTS!R83="",'PE-HEALTH'!R83="",HEALTH!R83=""),"",IF(ISERROR(ROUND(AVERAGE('MUSIC-ARTS'!R83,ARTS!R83,'PE-HEALTH'!R83,HEALTH!R83),0)),"",ROUND(AVERAGE('MUSIC-ARTS'!R83,ARTS!R83,'PE-HEALTH'!R83,HEALTH!R83),0)))</f>
        <v/>
      </c>
      <c r="S83" s="40"/>
      <c r="T83" s="40"/>
      <c r="U83" s="68"/>
      <c r="V83" s="81" t="str">
        <f t="shared" si="2"/>
        <v/>
      </c>
      <c r="W83" s="82"/>
      <c r="X83" s="82"/>
      <c r="Y83" s="93"/>
      <c r="Z83" s="97" t="str">
        <f t="shared" si="3"/>
        <v/>
      </c>
      <c r="AA83" s="98"/>
      <c r="AB83" s="99"/>
    </row>
    <row r="84" ht="15" hidden="1" spans="1:28">
      <c r="A84" s="42">
        <v>33</v>
      </c>
      <c r="B84" s="33">
        <f>'INPUT DATA'!B85:D85</f>
        <v>0</v>
      </c>
      <c r="C84" s="109"/>
      <c r="D84" s="109"/>
      <c r="E84" s="110"/>
      <c r="F84" s="54" t="str">
        <f>IF(OR('MUSIC-ARTS'!F84="",ARTS!F84="",'PE-HEALTH'!F84="",HEALTH!F84=""),"",IF(ISERROR(ROUND(AVERAGE('MUSIC-ARTS'!F84,ARTS!F84,'PE-HEALTH'!F84,HEALTH!F84),0)),"",ROUND(AVERAGE('MUSIC-ARTS'!F84,ARTS!F84,'PE-HEALTH'!F84,HEALTH!F84),0)))</f>
        <v/>
      </c>
      <c r="G84" s="55"/>
      <c r="H84" s="55"/>
      <c r="I84" s="73"/>
      <c r="J84" s="39" t="str">
        <f>IF(OR('MUSIC-ARTS'!J84="",ARTS!J84="",'PE-HEALTH'!J84="",HEALTH!J84=""),"",IF(ISERROR(ROUND(AVERAGE('MUSIC-ARTS'!J84,ARTS!J84,'PE-HEALTH'!J84,HEALTH!J84),0)),"",ROUND(AVERAGE('MUSIC-ARTS'!J84,ARTS!J84,'PE-HEALTH'!J84,HEALTH!J84),0)))</f>
        <v/>
      </c>
      <c r="K84" s="40"/>
      <c r="L84" s="40"/>
      <c r="M84" s="68"/>
      <c r="N84" s="39" t="str">
        <f>IF(OR('MUSIC-ARTS'!N84="",ARTS!N84="",'PE-HEALTH'!N84="",HEALTH!N84=""),"",IF(ISERROR(ROUND(AVERAGE('MUSIC-ARTS'!N84,ARTS!N84,'PE-HEALTH'!N84,HEALTH!N84),0)),"",ROUND(AVERAGE('MUSIC-ARTS'!N84,ARTS!N84,'PE-HEALTH'!N84,HEALTH!N84),0)))</f>
        <v/>
      </c>
      <c r="O84" s="40"/>
      <c r="P84" s="40"/>
      <c r="Q84" s="68"/>
      <c r="R84" s="39" t="str">
        <f>IF(OR('MUSIC-ARTS'!R84="",ARTS!R84="",'PE-HEALTH'!R84="",HEALTH!R84=""),"",IF(ISERROR(ROUND(AVERAGE('MUSIC-ARTS'!R84,ARTS!R84,'PE-HEALTH'!R84,HEALTH!R84),0)),"",ROUND(AVERAGE('MUSIC-ARTS'!R84,ARTS!R84,'PE-HEALTH'!R84,HEALTH!R84),0)))</f>
        <v/>
      </c>
      <c r="S84" s="40"/>
      <c r="T84" s="40"/>
      <c r="U84" s="68"/>
      <c r="V84" s="81" t="str">
        <f t="shared" si="2"/>
        <v/>
      </c>
      <c r="W84" s="82"/>
      <c r="X84" s="82"/>
      <c r="Y84" s="93"/>
      <c r="Z84" s="97" t="str">
        <f t="shared" si="3"/>
        <v/>
      </c>
      <c r="AA84" s="98"/>
      <c r="AB84" s="99"/>
    </row>
    <row r="85" ht="15" hidden="1" spans="1:28">
      <c r="A85" s="42">
        <v>34</v>
      </c>
      <c r="B85" s="33">
        <f>'INPUT DATA'!B86:D86</f>
        <v>0</v>
      </c>
      <c r="C85" s="109"/>
      <c r="D85" s="109"/>
      <c r="E85" s="110"/>
      <c r="F85" s="54" t="str">
        <f>IF(OR('MUSIC-ARTS'!F85="",ARTS!F85="",'PE-HEALTH'!F85="",HEALTH!F85=""),"",IF(ISERROR(ROUND(AVERAGE('MUSIC-ARTS'!F85,ARTS!F85,'PE-HEALTH'!F85,HEALTH!F85),0)),"",ROUND(AVERAGE('MUSIC-ARTS'!F85,ARTS!F85,'PE-HEALTH'!F85,HEALTH!F85),0)))</f>
        <v/>
      </c>
      <c r="G85" s="55"/>
      <c r="H85" s="55"/>
      <c r="I85" s="73"/>
      <c r="J85" s="39" t="str">
        <f>IF(OR('MUSIC-ARTS'!J85="",ARTS!J85="",'PE-HEALTH'!J85="",HEALTH!J85=""),"",IF(ISERROR(ROUND(AVERAGE('MUSIC-ARTS'!J85,ARTS!J85,'PE-HEALTH'!J85,HEALTH!J85),0)),"",ROUND(AVERAGE('MUSIC-ARTS'!J85,ARTS!J85,'PE-HEALTH'!J85,HEALTH!J85),0)))</f>
        <v/>
      </c>
      <c r="K85" s="40"/>
      <c r="L85" s="40"/>
      <c r="M85" s="68"/>
      <c r="N85" s="39" t="str">
        <f>IF(OR('MUSIC-ARTS'!N85="",ARTS!N85="",'PE-HEALTH'!N85="",HEALTH!N85=""),"",IF(ISERROR(ROUND(AVERAGE('MUSIC-ARTS'!N85,ARTS!N85,'PE-HEALTH'!N85,HEALTH!N85),0)),"",ROUND(AVERAGE('MUSIC-ARTS'!N85,ARTS!N85,'PE-HEALTH'!N85,HEALTH!N85),0)))</f>
        <v/>
      </c>
      <c r="O85" s="40"/>
      <c r="P85" s="40"/>
      <c r="Q85" s="68"/>
      <c r="R85" s="39" t="str">
        <f>IF(OR('MUSIC-ARTS'!R85="",ARTS!R85="",'PE-HEALTH'!R85="",HEALTH!R85=""),"",IF(ISERROR(ROUND(AVERAGE('MUSIC-ARTS'!R85,ARTS!R85,'PE-HEALTH'!R85,HEALTH!R85),0)),"",ROUND(AVERAGE('MUSIC-ARTS'!R85,ARTS!R85,'PE-HEALTH'!R85,HEALTH!R85),0)))</f>
        <v/>
      </c>
      <c r="S85" s="40"/>
      <c r="T85" s="40"/>
      <c r="U85" s="68"/>
      <c r="V85" s="81" t="str">
        <f t="shared" si="2"/>
        <v/>
      </c>
      <c r="W85" s="82"/>
      <c r="X85" s="82"/>
      <c r="Y85" s="93"/>
      <c r="Z85" s="97" t="str">
        <f t="shared" si="3"/>
        <v/>
      </c>
      <c r="AA85" s="98"/>
      <c r="AB85" s="99"/>
    </row>
    <row r="86" ht="15" hidden="1" spans="1:28">
      <c r="A86" s="42">
        <v>35</v>
      </c>
      <c r="B86" s="33">
        <f>'INPUT DATA'!B87:D87</f>
        <v>0</v>
      </c>
      <c r="C86" s="109"/>
      <c r="D86" s="109"/>
      <c r="E86" s="110"/>
      <c r="F86" s="54" t="str">
        <f>IF(OR('MUSIC-ARTS'!F86="",ARTS!F86="",'PE-HEALTH'!F86="",HEALTH!F86=""),"",IF(ISERROR(ROUND(AVERAGE('MUSIC-ARTS'!F86,ARTS!F86,'PE-HEALTH'!F86,HEALTH!F86),0)),"",ROUND(AVERAGE('MUSIC-ARTS'!F86,ARTS!F86,'PE-HEALTH'!F86,HEALTH!F86),0)))</f>
        <v/>
      </c>
      <c r="G86" s="55"/>
      <c r="H86" s="55"/>
      <c r="I86" s="73"/>
      <c r="J86" s="39" t="str">
        <f>IF(OR('MUSIC-ARTS'!J86="",ARTS!J86="",'PE-HEALTH'!J86="",HEALTH!J86=""),"",IF(ISERROR(ROUND(AVERAGE('MUSIC-ARTS'!J86,ARTS!J86,'PE-HEALTH'!J86,HEALTH!J86),0)),"",ROUND(AVERAGE('MUSIC-ARTS'!J86,ARTS!J86,'PE-HEALTH'!J86,HEALTH!J86),0)))</f>
        <v/>
      </c>
      <c r="K86" s="40"/>
      <c r="L86" s="40"/>
      <c r="M86" s="68"/>
      <c r="N86" s="39" t="str">
        <f>IF(OR('MUSIC-ARTS'!N86="",ARTS!N86="",'PE-HEALTH'!N86="",HEALTH!N86=""),"",IF(ISERROR(ROUND(AVERAGE('MUSIC-ARTS'!N86,ARTS!N86,'PE-HEALTH'!N86,HEALTH!N86),0)),"",ROUND(AVERAGE('MUSIC-ARTS'!N86,ARTS!N86,'PE-HEALTH'!N86,HEALTH!N86),0)))</f>
        <v/>
      </c>
      <c r="O86" s="40"/>
      <c r="P86" s="40"/>
      <c r="Q86" s="68"/>
      <c r="R86" s="39" t="str">
        <f>IF(OR('MUSIC-ARTS'!R86="",ARTS!R86="",'PE-HEALTH'!R86="",HEALTH!R86=""),"",IF(ISERROR(ROUND(AVERAGE('MUSIC-ARTS'!R86,ARTS!R86,'PE-HEALTH'!R86,HEALTH!R86),0)),"",ROUND(AVERAGE('MUSIC-ARTS'!R86,ARTS!R86,'PE-HEALTH'!R86,HEALTH!R86),0)))</f>
        <v/>
      </c>
      <c r="S86" s="40"/>
      <c r="T86" s="40"/>
      <c r="U86" s="68"/>
      <c r="V86" s="81" t="str">
        <f t="shared" si="2"/>
        <v/>
      </c>
      <c r="W86" s="82"/>
      <c r="X86" s="82"/>
      <c r="Y86" s="93"/>
      <c r="Z86" s="97" t="str">
        <f t="shared" si="3"/>
        <v/>
      </c>
      <c r="AA86" s="98"/>
      <c r="AB86" s="99"/>
    </row>
  </sheetData>
  <mergeCells count="490">
    <mergeCell ref="C5:F5"/>
    <mergeCell ref="G5:J5"/>
    <mergeCell ref="L5:N5"/>
    <mergeCell ref="O5:R5"/>
    <mergeCell ref="S5:V5"/>
    <mergeCell ref="W5:AB5"/>
    <mergeCell ref="B6:F6"/>
    <mergeCell ref="G6:R6"/>
    <mergeCell ref="S6:V6"/>
    <mergeCell ref="W6:AB6"/>
    <mergeCell ref="F7:J7"/>
    <mergeCell ref="K7:R7"/>
    <mergeCell ref="S7:V7"/>
    <mergeCell ref="W7:AB7"/>
    <mergeCell ref="F8:J8"/>
    <mergeCell ref="K8:R8"/>
    <mergeCell ref="S8:V8"/>
    <mergeCell ref="W8:AB8"/>
    <mergeCell ref="F9:I9"/>
    <mergeCell ref="J9:M9"/>
    <mergeCell ref="N9:Q9"/>
    <mergeCell ref="R9:U9"/>
    <mergeCell ref="V9:Y9"/>
    <mergeCell ref="F10:I10"/>
    <mergeCell ref="J10:M10"/>
    <mergeCell ref="N10:Q10"/>
    <mergeCell ref="R10:U10"/>
    <mergeCell ref="V10:Y10"/>
    <mergeCell ref="B11:E11"/>
    <mergeCell ref="F11:I11"/>
    <mergeCell ref="J11:M11"/>
    <mergeCell ref="N11:Q11"/>
    <mergeCell ref="R11:U11"/>
    <mergeCell ref="V11:Y11"/>
    <mergeCell ref="Z11:AB11"/>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B51:E51"/>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63:I63"/>
    <mergeCell ref="J63:M63"/>
    <mergeCell ref="N63:Q63"/>
    <mergeCell ref="R63:U63"/>
    <mergeCell ref="V63:Y63"/>
    <mergeCell ref="Z63:AB63"/>
    <mergeCell ref="F64:I64"/>
    <mergeCell ref="J64:M64"/>
    <mergeCell ref="N64:Q64"/>
    <mergeCell ref="R64:U64"/>
    <mergeCell ref="V64:Y64"/>
    <mergeCell ref="Z64:AB64"/>
    <mergeCell ref="F65:I65"/>
    <mergeCell ref="J65:M65"/>
    <mergeCell ref="N65:Q65"/>
    <mergeCell ref="R65:U65"/>
    <mergeCell ref="V65:Y65"/>
    <mergeCell ref="Z65:AB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A7:A10"/>
    <mergeCell ref="A1:AB2"/>
    <mergeCell ref="B7:E10"/>
    <mergeCell ref="Z9:AB10"/>
  </mergeCells>
  <dataValidations count="3">
    <dataValidation allowBlank="1" showErrorMessage="1" prompt="EITHER WRITE YOUR OWN HPS OR EMPTY" sqref="F9:I9 J9:M9 N9:U9 V9:AB9 F10:AB10"/>
    <dataValidation allowBlank="1" showInputMessage="1" showErrorMessage="1" prompt="EITHER WRITE YOUR OWN HPS OR EMPTY" sqref="F11"/>
    <dataValidation allowBlank="1" showErrorMessage="1" sqref="F12:AB86"/>
  </dataValidation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1" sqref="B$1:B$1048576"/>
    </sheetView>
  </sheetViews>
  <sheetFormatPr defaultColWidth="8.88888888888889" defaultRowHeight="13.2"/>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20</vt:i4>
      </vt:variant>
    </vt:vector>
  </HeadingPairs>
  <TitlesOfParts>
    <vt:vector size="20" baseType="lpstr">
      <vt:lpstr>INPUT DATA</vt:lpstr>
      <vt:lpstr>FILIPINO</vt:lpstr>
      <vt:lpstr>ENGLISH</vt:lpstr>
      <vt:lpstr>MATHEMATICS</vt:lpstr>
      <vt:lpstr>SCIENCE</vt:lpstr>
      <vt:lpstr>AP</vt:lpstr>
      <vt:lpstr>VALED</vt:lpstr>
      <vt:lpstr>TLE</vt:lpstr>
      <vt:lpstr>MUSIC-ARTS</vt:lpstr>
      <vt:lpstr>ARTS</vt:lpstr>
      <vt:lpstr>PE-HEALTH</vt:lpstr>
      <vt:lpstr>HEALTH</vt:lpstr>
      <vt:lpstr> MAPEH FINAL</vt:lpstr>
      <vt:lpstr>SUMMARY - FINAL GRADES</vt:lpstr>
      <vt:lpstr>1ST QTR</vt:lpstr>
      <vt:lpstr>2ND QTR</vt:lpstr>
      <vt:lpstr>3RD QTR</vt:lpstr>
      <vt:lpstr>4TH QTR</vt:lpstr>
      <vt:lpstr>HOMEROOM GUIDANCE</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jenno</cp:lastModifiedBy>
  <dcterms:created xsi:type="dcterms:W3CDTF">2007-08-20T07:15:00Z</dcterms:created>
  <cp:lastPrinted>2008-07-17T08:11:00Z</cp:lastPrinted>
  <dcterms:modified xsi:type="dcterms:W3CDTF">2026-03-17T16:28:51Z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C664E4850F69479ABAF82CBA830B2494_13</vt:lpwstr>
  </property>
  <property fmtid="{D5CDD505-2E9C-101B-9397-08002B2CF9AE}" pid="3" name="KSOProductBuildVer">
    <vt:lpwstr>1033-12.2.0.13213</vt:lpwstr>
  </property>
</Properties>
</file>